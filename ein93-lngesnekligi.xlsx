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s/Documents/calismalar/enerjiistatistiknotları/"/>
    </mc:Choice>
  </mc:AlternateContent>
  <xr:revisionPtr revIDLastSave="0" documentId="8_{826F2C6F-C2AC-7249-A43C-38B058F9F017}" xr6:coauthVersionLast="47" xr6:coauthVersionMax="47" xr10:uidLastSave="{00000000-0000-0000-0000-000000000000}"/>
  <bookViews>
    <workbookView xWindow="17880" yWindow="12680" windowWidth="44220" windowHeight="27700" activeTab="3" xr2:uid="{00000000-000D-0000-FFFF-FFFF00000000}"/>
  </bookViews>
  <sheets>
    <sheet name="Sheet1" sheetId="1" r:id="rId1"/>
    <sheet name="Sheet2" sheetId="2" r:id="rId2"/>
    <sheet name="Sheet3" sheetId="3" r:id="rId3"/>
    <sheet name="kesilmis-miktar" sheetId="6" r:id="rId4"/>
    <sheet name="kesilmis-or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6" l="1"/>
  <c r="R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2" i="3"/>
</calcChain>
</file>

<file path=xl/sharedStrings.xml><?xml version="1.0" encoding="utf-8"?>
<sst xmlns="http://schemas.openxmlformats.org/spreadsheetml/2006/main" count="657" uniqueCount="205">
  <si>
    <t>Price</t>
  </si>
  <si>
    <t>Close</t>
  </si>
  <si>
    <t>High</t>
  </si>
  <si>
    <t>Low</t>
  </si>
  <si>
    <t>Open</t>
  </si>
  <si>
    <t>Volume</t>
  </si>
  <si>
    <t>Ticker</t>
  </si>
  <si>
    <t>TTF=F</t>
  </si>
  <si>
    <t>Date</t>
  </si>
  <si>
    <t>TIME_PERIOD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</si>
  <si>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</si>
  <si>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</si>
  <si>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</si>
  <si>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</si>
  <si>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</si>
  <si>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</si>
  <si>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</si>
  <si>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</si>
  <si>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</si>
  <si>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</si>
  <si>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</si>
  <si>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</si>
  <si>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</si>
  <si>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</si>
  <si>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</si>
  <si>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</si>
  <si>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</si>
  <si>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</si>
  <si>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</si>
  <si>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</si>
  <si>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</si>
  <si>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</si>
  <si>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</si>
  <si>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</si>
  <si>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</si>
  <si>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</si>
  <si>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</si>
  <si>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</si>
  <si>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</si>
  <si>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</si>
  <si>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</si>
  <si>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</si>
  <si>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</si>
  <si>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</si>
  <si>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</si>
  <si>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</si>
  <si>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</si>
  <si>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</si>
  <si>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</si>
  <si>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</si>
  <si>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</si>
  <si>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</si>
  <si>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</si>
  <si>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</si>
  <si>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</si>
  <si>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</si>
  <si>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</si>
  <si>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</si>
  <si>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</si>
  <si>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</si>
  <si>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</si>
  <si>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</si>
  <si>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</si>
  <si>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</si>
  <si>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</si>
  <si>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</si>
  <si>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</si>
  <si>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</si>
  <si>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</si>
  <si>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</si>
  <si>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</si>
  <si>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</si>
  <si>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</si>
  <si>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</si>
  <si>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</si>
  <si>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</si>
  <si>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</si>
  <si>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</si>
  <si>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</si>
  <si>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</si>
  <si>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</si>
  <si>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</si>
  <si>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</si>
  <si>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</si>
  <si>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</si>
  <si>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</si>
  <si>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</si>
  <si>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</si>
  <si>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</si>
  <si>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</si>
  <si>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</si>
  <si>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</si>
  <si>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</si>
  <si>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</si>
  <si>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</si>
  <si>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</si>
  <si>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</si>
  <si>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</si>
  <si>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</si>
  <si>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</si>
  <si>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</si>
  <si>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</si>
  <si>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</si>
  <si>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</si>
  <si>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</si>
  <si>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</si>
  <si>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</si>
  <si>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</si>
  <si>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</si>
  <si>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</si>
  <si>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</si>
  <si>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</si>
  <si>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</si>
  <si>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</si>
  <si>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</si>
  <si>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</si>
  <si>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</si>
  <si>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</si>
  <si>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</si>
  <si>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</si>
  <si>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</si>
  <si>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</si>
  <si>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</si>
  <si>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</si>
  <si>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</si>
  <si>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</si>
  <si>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</si>
  <si>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</si>
  <si>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</si>
  <si>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</si>
  <si>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</si>
  <si>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</si>
  <si>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</si>
  <si>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</si>
  <si>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</si>
  <si>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</si>
  <si>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</si>
  <si>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</si>
  <si>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</si>
  <si>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</si>
  <si>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</si>
  <si>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</si>
  <si>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</si>
  <si>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</si>
  <si>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</si>
  <si>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</si>
  <si>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</si>
  <si>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</si>
  <si>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</si>
  <si>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</si>
  <si>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</si>
  <si>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</si>
  <si>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</si>
  <si>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</si>
  <si>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</si>
  <si>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</si>
  <si>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</si>
  <si>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</si>
  <si>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</si>
  <si>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</si>
  <si>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</si>
  <si>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</si>
  <si>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</si>
  <si>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</si>
  <si>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</si>
  <si>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</si>
  <si>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</si>
  <si>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</si>
  <si>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</si>
  <si>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</si>
  <si>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</si>
  <si>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</si>
  <si>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</si>
  <si>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</si>
  <si>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</si>
  <si>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</si>
  <si>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</si>
  <si>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</si>
  <si>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</si>
  <si>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</si>
  <si>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</si>
  <si>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</si>
  <si>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</si>
  <si>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</si>
  <si>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</si>
  <si>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</si>
  <si>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</si>
  <si>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</si>
  <si>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</si>
  <si>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</si>
  <si>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</si>
  <si>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</si>
  <si>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</si>
  <si>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</si>
  <si>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</si>
  <si>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</si>
  <si>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</si>
  <si>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</si>
  <si>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</si>
  <si>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IMPLNG</t>
  </si>
  <si>
    <t>IMPPIP</t>
  </si>
  <si>
    <t>TOTDEMO</t>
  </si>
  <si>
    <t>TTF</t>
  </si>
  <si>
    <t>ç</t>
  </si>
  <si>
    <t>LNG İthalat 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</si>
</sst>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Sheet3!$J$2:$J$97</c:f>
              <c:numCache>
                <c:formatCode>General</c:formatCode>
                <c:ptCount val="96"/>
                <c:pt idx="0">
                  <c:v>496</c:v>
                </c:pt>
                <c:pt idx="1">
                  <c:v>1405</c:v>
                </c:pt>
                <c:pt idx="2">
                  <c:v>1977</c:v>
                </c:pt>
                <c:pt idx="3">
                  <c:v>1960</c:v>
                </c:pt>
                <c:pt idx="4">
                  <c:v>1660</c:v>
                </c:pt>
                <c:pt idx="5">
                  <c:v>947</c:v>
                </c:pt>
                <c:pt idx="6">
                  <c:v>609</c:v>
                </c:pt>
                <c:pt idx="7">
                  <c:v>555</c:v>
                </c:pt>
                <c:pt idx="8">
                  <c:v>512</c:v>
                </c:pt>
                <c:pt idx="9">
                  <c:v>456</c:v>
                </c:pt>
                <c:pt idx="10">
                  <c:v>447</c:v>
                </c:pt>
                <c:pt idx="11">
                  <c:v>321</c:v>
                </c:pt>
                <c:pt idx="12">
                  <c:v>701</c:v>
                </c:pt>
                <c:pt idx="13">
                  <c:v>714</c:v>
                </c:pt>
                <c:pt idx="14">
                  <c:v>2100</c:v>
                </c:pt>
                <c:pt idx="15">
                  <c:v>2341</c:v>
                </c:pt>
                <c:pt idx="16">
                  <c:v>1694</c:v>
                </c:pt>
                <c:pt idx="17">
                  <c:v>1292</c:v>
                </c:pt>
                <c:pt idx="18">
                  <c:v>688</c:v>
                </c:pt>
                <c:pt idx="19">
                  <c:v>473</c:v>
                </c:pt>
                <c:pt idx="20">
                  <c:v>648</c:v>
                </c:pt>
                <c:pt idx="21">
                  <c:v>573</c:v>
                </c:pt>
                <c:pt idx="22">
                  <c:v>802</c:v>
                </c:pt>
                <c:pt idx="23">
                  <c:v>570</c:v>
                </c:pt>
                <c:pt idx="24">
                  <c:v>776</c:v>
                </c:pt>
                <c:pt idx="25">
                  <c:v>1087</c:v>
                </c:pt>
                <c:pt idx="26">
                  <c:v>1752</c:v>
                </c:pt>
                <c:pt idx="27">
                  <c:v>2130</c:v>
                </c:pt>
                <c:pt idx="28">
                  <c:v>2522</c:v>
                </c:pt>
                <c:pt idx="29">
                  <c:v>2069</c:v>
                </c:pt>
                <c:pt idx="30">
                  <c:v>1247</c:v>
                </c:pt>
                <c:pt idx="31">
                  <c:v>1446</c:v>
                </c:pt>
                <c:pt idx="32">
                  <c:v>917</c:v>
                </c:pt>
                <c:pt idx="33">
                  <c:v>508</c:v>
                </c:pt>
                <c:pt idx="34">
                  <c:v>592</c:v>
                </c:pt>
                <c:pt idx="35">
                  <c:v>610</c:v>
                </c:pt>
                <c:pt idx="36">
                  <c:v>795</c:v>
                </c:pt>
                <c:pt idx="37">
                  <c:v>862</c:v>
                </c:pt>
                <c:pt idx="38">
                  <c:v>1391</c:v>
                </c:pt>
                <c:pt idx="39">
                  <c:v>1585</c:v>
                </c:pt>
                <c:pt idx="40">
                  <c:v>1852</c:v>
                </c:pt>
                <c:pt idx="41">
                  <c:v>1321</c:v>
                </c:pt>
                <c:pt idx="42">
                  <c:v>578</c:v>
                </c:pt>
                <c:pt idx="43">
                  <c:v>449</c:v>
                </c:pt>
                <c:pt idx="44">
                  <c:v>278</c:v>
                </c:pt>
                <c:pt idx="45">
                  <c:v>568</c:v>
                </c:pt>
                <c:pt idx="46">
                  <c:v>652</c:v>
                </c:pt>
                <c:pt idx="47">
                  <c:v>653</c:v>
                </c:pt>
                <c:pt idx="48">
                  <c:v>1635</c:v>
                </c:pt>
                <c:pt idx="49">
                  <c:v>2028</c:v>
                </c:pt>
                <c:pt idx="50">
                  <c:v>2515</c:v>
                </c:pt>
                <c:pt idx="51">
                  <c:v>2641</c:v>
                </c:pt>
                <c:pt idx="52">
                  <c:v>2658</c:v>
                </c:pt>
                <c:pt idx="53">
                  <c:v>1970</c:v>
                </c:pt>
                <c:pt idx="54">
                  <c:v>614</c:v>
                </c:pt>
                <c:pt idx="55">
                  <c:v>747</c:v>
                </c:pt>
                <c:pt idx="56">
                  <c:v>562</c:v>
                </c:pt>
                <c:pt idx="57">
                  <c:v>383</c:v>
                </c:pt>
                <c:pt idx="58">
                  <c:v>296</c:v>
                </c:pt>
                <c:pt idx="59">
                  <c:v>297</c:v>
                </c:pt>
                <c:pt idx="60">
                  <c:v>857</c:v>
                </c:pt>
                <c:pt idx="61">
                  <c:v>1770</c:v>
                </c:pt>
                <c:pt idx="62">
                  <c:v>2376</c:v>
                </c:pt>
                <c:pt idx="63">
                  <c:v>2831</c:v>
                </c:pt>
                <c:pt idx="64">
                  <c:v>2864</c:v>
                </c:pt>
                <c:pt idx="65">
                  <c:v>1488</c:v>
                </c:pt>
                <c:pt idx="66">
                  <c:v>698</c:v>
                </c:pt>
                <c:pt idx="67">
                  <c:v>860</c:v>
                </c:pt>
                <c:pt idx="68">
                  <c:v>462</c:v>
                </c:pt>
                <c:pt idx="69">
                  <c:v>483</c:v>
                </c:pt>
                <c:pt idx="70">
                  <c:v>400</c:v>
                </c:pt>
                <c:pt idx="71">
                  <c:v>501</c:v>
                </c:pt>
                <c:pt idx="72">
                  <c:v>525</c:v>
                </c:pt>
                <c:pt idx="73">
                  <c:v>862</c:v>
                </c:pt>
                <c:pt idx="74">
                  <c:v>642</c:v>
                </c:pt>
                <c:pt idx="75">
                  <c:v>2089</c:v>
                </c:pt>
                <c:pt idx="76">
                  <c:v>1662</c:v>
                </c:pt>
                <c:pt idx="77">
                  <c:v>1242</c:v>
                </c:pt>
                <c:pt idx="78">
                  <c:v>437</c:v>
                </c:pt>
                <c:pt idx="79">
                  <c:v>546</c:v>
                </c:pt>
                <c:pt idx="80">
                  <c:v>364</c:v>
                </c:pt>
                <c:pt idx="81">
                  <c:v>469</c:v>
                </c:pt>
                <c:pt idx="82">
                  <c:v>385</c:v>
                </c:pt>
                <c:pt idx="83">
                  <c:v>385</c:v>
                </c:pt>
                <c:pt idx="84">
                  <c:v>366</c:v>
                </c:pt>
                <c:pt idx="85">
                  <c:v>1254</c:v>
                </c:pt>
                <c:pt idx="86">
                  <c:v>2939</c:v>
                </c:pt>
                <c:pt idx="87">
                  <c:v>2656</c:v>
                </c:pt>
                <c:pt idx="88">
                  <c:v>3063</c:v>
                </c:pt>
                <c:pt idx="89">
                  <c:v>2601</c:v>
                </c:pt>
                <c:pt idx="90">
                  <c:v>405</c:v>
                </c:pt>
                <c:pt idx="91">
                  <c:v>378</c:v>
                </c:pt>
                <c:pt idx="92">
                  <c:v>378</c:v>
                </c:pt>
                <c:pt idx="93">
                  <c:v>279</c:v>
                </c:pt>
                <c:pt idx="94">
                  <c:v>299</c:v>
                </c:pt>
                <c:pt idx="95">
                  <c:v>393</c:v>
                </c:pt>
              </c:numCache>
            </c:numRef>
          </c:xVal>
          <c:yVal>
            <c:numRef>
              <c:f>Sheet3!$K$2:$K$97</c:f>
              <c:numCache>
                <c:formatCode>General</c:formatCode>
                <c:ptCount val="96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44.713590448552907</c:v>
                </c:pt>
                <c:pt idx="47">
                  <c:v>66.839047749837235</c:v>
                </c:pt>
                <c:pt idx="48">
                  <c:v>91.333141871861045</c:v>
                </c:pt>
                <c:pt idx="49">
                  <c:v>82.057619730631515</c:v>
                </c:pt>
                <c:pt idx="50">
                  <c:v>114.99272606589579</c:v>
                </c:pt>
                <c:pt idx="51">
                  <c:v>85.593600082397458</c:v>
                </c:pt>
                <c:pt idx="52">
                  <c:v>82.403052480597239</c:v>
                </c:pt>
                <c:pt idx="53">
                  <c:v>131.27382693083391</c:v>
                </c:pt>
                <c:pt idx="54">
                  <c:v>101.5196506500244</c:v>
                </c:pt>
                <c:pt idx="55">
                  <c:v>94.377048674083895</c:v>
                </c:pt>
                <c:pt idx="56">
                  <c:v>107.7004757835751</c:v>
                </c:pt>
                <c:pt idx="57">
                  <c:v>172.4152992248535</c:v>
                </c:pt>
                <c:pt idx="58">
                  <c:v>235.95530567998469</c:v>
                </c:pt>
                <c:pt idx="59">
                  <c:v>201.47780863444009</c:v>
                </c:pt>
                <c:pt idx="60">
                  <c:v>135.47933342343279</c:v>
                </c:pt>
                <c:pt idx="61">
                  <c:v>119.3362379528227</c:v>
                </c:pt>
                <c:pt idx="62">
                  <c:v>116.1687149774461</c:v>
                </c:pt>
                <c:pt idx="63">
                  <c:v>63.684649848937987</c:v>
                </c:pt>
                <c:pt idx="64">
                  <c:v>52.793158280222038</c:v>
                </c:pt>
                <c:pt idx="65">
                  <c:v>44.025304213814117</c:v>
                </c:pt>
                <c:pt idx="66">
                  <c:v>42.070315712376647</c:v>
                </c:pt>
                <c:pt idx="67">
                  <c:v>32.051181793212891</c:v>
                </c:pt>
                <c:pt idx="68">
                  <c:v>32.47385715302967</c:v>
                </c:pt>
                <c:pt idx="69">
                  <c:v>29.15274991989136</c:v>
                </c:pt>
                <c:pt idx="70">
                  <c:v>35.000434875488281</c:v>
                </c:pt>
                <c:pt idx="71">
                  <c:v>37.043300437927243</c:v>
                </c:pt>
                <c:pt idx="72">
                  <c:v>47.068136388605289</c:v>
                </c:pt>
                <c:pt idx="73">
                  <c:v>45.735636451027609</c:v>
                </c:pt>
                <c:pt idx="74">
                  <c:v>35.9706995010376</c:v>
                </c:pt>
                <c:pt idx="75">
                  <c:v>29.907999946957538</c:v>
                </c:pt>
                <c:pt idx="76">
                  <c:v>25.866250133514409</c:v>
                </c:pt>
                <c:pt idx="77">
                  <c:v>26.852850055694581</c:v>
                </c:pt>
                <c:pt idx="78">
                  <c:v>28.961809339977449</c:v>
                </c:pt>
                <c:pt idx="79">
                  <c:v>31.812363711270422</c:v>
                </c:pt>
                <c:pt idx="80">
                  <c:v>34.4207370155736</c:v>
                </c:pt>
                <c:pt idx="81">
                  <c:v>32.523045453158289</c:v>
                </c:pt>
                <c:pt idx="82">
                  <c:v>38.347045725042172</c:v>
                </c:pt>
                <c:pt idx="83">
                  <c:v>36.082599830627437</c:v>
                </c:pt>
                <c:pt idx="84">
                  <c:v>40.423434547756031</c:v>
                </c:pt>
                <c:pt idx="85">
                  <c:v>44.633600425720218</c:v>
                </c:pt>
                <c:pt idx="86">
                  <c:v>45.153618585495721</c:v>
                </c:pt>
                <c:pt idx="87">
                  <c:v>48.350666591099333</c:v>
                </c:pt>
                <c:pt idx="88">
                  <c:v>50.380420885587988</c:v>
                </c:pt>
                <c:pt idx="89">
                  <c:v>41.781190781366263</c:v>
                </c:pt>
                <c:pt idx="90">
                  <c:v>35.213476544334767</c:v>
                </c:pt>
                <c:pt idx="91">
                  <c:v>35.177713848295667</c:v>
                </c:pt>
                <c:pt idx="92">
                  <c:v>36.388399887084958</c:v>
                </c:pt>
                <c:pt idx="93">
                  <c:v>33.937173760455593</c:v>
                </c:pt>
                <c:pt idx="94">
                  <c:v>32.695904413859047</c:v>
                </c:pt>
                <c:pt idx="95">
                  <c:v>32.340333121163503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9-E340-9A50-397297D1D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468096"/>
        <c:axId val="1314470336"/>
      </c:scatterChart>
      <c:valAx>
        <c:axId val="131446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70336"/>
        <c:crosses val="autoZero"/>
        <c:crossBetween val="midCat"/>
      </c:valAx>
      <c:valAx>
        <c:axId val="131447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6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Sheet3!$J$1</c:f>
              <c:strCache>
                <c:ptCount val="1"/>
                <c:pt idx="0">
                  <c:v>IMPLNG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Sheet3!$I$2:$I$97</c:f>
              <c:strCache>
                <c:ptCount val="96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2021-09</c:v>
                </c:pt>
                <c:pt idx="48">
                  <c:v>2021-10</c:v>
                </c:pt>
                <c:pt idx="49">
                  <c:v>2021-11</c:v>
                </c:pt>
                <c:pt idx="50">
                  <c:v>2021-12</c:v>
                </c:pt>
                <c:pt idx="51">
                  <c:v>2022-01</c:v>
                </c:pt>
                <c:pt idx="52">
                  <c:v>2022-02</c:v>
                </c:pt>
                <c:pt idx="53">
                  <c:v>2022-03</c:v>
                </c:pt>
                <c:pt idx="54">
                  <c:v>2022-04</c:v>
                </c:pt>
                <c:pt idx="55">
                  <c:v>2022-05</c:v>
                </c:pt>
                <c:pt idx="56">
                  <c:v>2022-06</c:v>
                </c:pt>
                <c:pt idx="57">
                  <c:v>2022-07</c:v>
                </c:pt>
                <c:pt idx="58">
                  <c:v>2022-08</c:v>
                </c:pt>
                <c:pt idx="59">
                  <c:v>2022-09</c:v>
                </c:pt>
                <c:pt idx="60">
                  <c:v>2022-10</c:v>
                </c:pt>
                <c:pt idx="61">
                  <c:v>2022-11</c:v>
                </c:pt>
                <c:pt idx="62">
                  <c:v>2022-12</c:v>
                </c:pt>
                <c:pt idx="63">
                  <c:v>2023-01</c:v>
                </c:pt>
                <c:pt idx="64">
                  <c:v>2023-02</c:v>
                </c:pt>
                <c:pt idx="65">
                  <c:v>2023-03</c:v>
                </c:pt>
                <c:pt idx="66">
                  <c:v>2023-04</c:v>
                </c:pt>
                <c:pt idx="67">
                  <c:v>2023-05</c:v>
                </c:pt>
                <c:pt idx="68">
                  <c:v>2023-06</c:v>
                </c:pt>
                <c:pt idx="69">
                  <c:v>2023-07</c:v>
                </c:pt>
                <c:pt idx="70">
                  <c:v>2023-08</c:v>
                </c:pt>
                <c:pt idx="71">
                  <c:v>2023-09</c:v>
                </c:pt>
                <c:pt idx="72">
                  <c:v>2023-10</c:v>
                </c:pt>
                <c:pt idx="73">
                  <c:v>2023-11</c:v>
                </c:pt>
                <c:pt idx="74">
                  <c:v>2023-12</c:v>
                </c:pt>
                <c:pt idx="75">
                  <c:v>2024-01</c:v>
                </c:pt>
                <c:pt idx="76">
                  <c:v>2024-02</c:v>
                </c:pt>
                <c:pt idx="77">
                  <c:v>2024-03</c:v>
                </c:pt>
                <c:pt idx="78">
                  <c:v>2024-04</c:v>
                </c:pt>
                <c:pt idx="79">
                  <c:v>2024-05</c:v>
                </c:pt>
                <c:pt idx="80">
                  <c:v>2024-06</c:v>
                </c:pt>
                <c:pt idx="81">
                  <c:v>2024-07</c:v>
                </c:pt>
                <c:pt idx="82">
                  <c:v>2024-08</c:v>
                </c:pt>
                <c:pt idx="83">
                  <c:v>2024-09</c:v>
                </c:pt>
                <c:pt idx="84">
                  <c:v>2024-10</c:v>
                </c:pt>
                <c:pt idx="85">
                  <c:v>2024-11</c:v>
                </c:pt>
                <c:pt idx="86">
                  <c:v>2024-12</c:v>
                </c:pt>
                <c:pt idx="87">
                  <c:v>2025-01</c:v>
                </c:pt>
                <c:pt idx="88">
                  <c:v>2025-02</c:v>
                </c:pt>
                <c:pt idx="89">
                  <c:v>2025-03</c:v>
                </c:pt>
                <c:pt idx="90">
                  <c:v>2025-04</c:v>
                </c:pt>
                <c:pt idx="91">
                  <c:v>2025-05</c:v>
                </c:pt>
                <c:pt idx="92">
                  <c:v>2025-06</c:v>
                </c:pt>
                <c:pt idx="93">
                  <c:v>2025-07</c:v>
                </c:pt>
                <c:pt idx="94">
                  <c:v>2025-08</c:v>
                </c:pt>
                <c:pt idx="95">
                  <c:v>2025-09</c:v>
                </c:pt>
              </c:strCache>
            </c:strRef>
          </c:cat>
          <c:val>
            <c:numRef>
              <c:f>Sheet3!$J$2:$J$97</c:f>
              <c:numCache>
                <c:formatCode>General</c:formatCode>
                <c:ptCount val="96"/>
                <c:pt idx="0">
                  <c:v>496</c:v>
                </c:pt>
                <c:pt idx="1">
                  <c:v>1405</c:v>
                </c:pt>
                <c:pt idx="2">
                  <c:v>1977</c:v>
                </c:pt>
                <c:pt idx="3">
                  <c:v>1960</c:v>
                </c:pt>
                <c:pt idx="4">
                  <c:v>1660</c:v>
                </c:pt>
                <c:pt idx="5">
                  <c:v>947</c:v>
                </c:pt>
                <c:pt idx="6">
                  <c:v>609</c:v>
                </c:pt>
                <c:pt idx="7">
                  <c:v>555</c:v>
                </c:pt>
                <c:pt idx="8">
                  <c:v>512</c:v>
                </c:pt>
                <c:pt idx="9">
                  <c:v>456</c:v>
                </c:pt>
                <c:pt idx="10">
                  <c:v>447</c:v>
                </c:pt>
                <c:pt idx="11">
                  <c:v>321</c:v>
                </c:pt>
                <c:pt idx="12">
                  <c:v>701</c:v>
                </c:pt>
                <c:pt idx="13">
                  <c:v>714</c:v>
                </c:pt>
                <c:pt idx="14">
                  <c:v>2100</c:v>
                </c:pt>
                <c:pt idx="15">
                  <c:v>2341</c:v>
                </c:pt>
                <c:pt idx="16">
                  <c:v>1694</c:v>
                </c:pt>
                <c:pt idx="17">
                  <c:v>1292</c:v>
                </c:pt>
                <c:pt idx="18">
                  <c:v>688</c:v>
                </c:pt>
                <c:pt idx="19">
                  <c:v>473</c:v>
                </c:pt>
                <c:pt idx="20">
                  <c:v>648</c:v>
                </c:pt>
                <c:pt idx="21">
                  <c:v>573</c:v>
                </c:pt>
                <c:pt idx="22">
                  <c:v>802</c:v>
                </c:pt>
                <c:pt idx="23">
                  <c:v>570</c:v>
                </c:pt>
                <c:pt idx="24">
                  <c:v>776</c:v>
                </c:pt>
                <c:pt idx="25">
                  <c:v>1087</c:v>
                </c:pt>
                <c:pt idx="26">
                  <c:v>1752</c:v>
                </c:pt>
                <c:pt idx="27">
                  <c:v>2130</c:v>
                </c:pt>
                <c:pt idx="28">
                  <c:v>2522</c:v>
                </c:pt>
                <c:pt idx="29">
                  <c:v>2069</c:v>
                </c:pt>
                <c:pt idx="30">
                  <c:v>1247</c:v>
                </c:pt>
                <c:pt idx="31">
                  <c:v>1446</c:v>
                </c:pt>
                <c:pt idx="32">
                  <c:v>917</c:v>
                </c:pt>
                <c:pt idx="33">
                  <c:v>508</c:v>
                </c:pt>
                <c:pt idx="34">
                  <c:v>592</c:v>
                </c:pt>
                <c:pt idx="35">
                  <c:v>610</c:v>
                </c:pt>
                <c:pt idx="36">
                  <c:v>795</c:v>
                </c:pt>
                <c:pt idx="37">
                  <c:v>862</c:v>
                </c:pt>
                <c:pt idx="38">
                  <c:v>1391</c:v>
                </c:pt>
                <c:pt idx="39">
                  <c:v>1585</c:v>
                </c:pt>
                <c:pt idx="40">
                  <c:v>1852</c:v>
                </c:pt>
                <c:pt idx="41">
                  <c:v>1321</c:v>
                </c:pt>
                <c:pt idx="42">
                  <c:v>578</c:v>
                </c:pt>
                <c:pt idx="43">
                  <c:v>449</c:v>
                </c:pt>
                <c:pt idx="44">
                  <c:v>278</c:v>
                </c:pt>
                <c:pt idx="45">
                  <c:v>568</c:v>
                </c:pt>
                <c:pt idx="46">
                  <c:v>652</c:v>
                </c:pt>
                <c:pt idx="47">
                  <c:v>653</c:v>
                </c:pt>
                <c:pt idx="48">
                  <c:v>1635</c:v>
                </c:pt>
                <c:pt idx="49">
                  <c:v>2028</c:v>
                </c:pt>
                <c:pt idx="50">
                  <c:v>2515</c:v>
                </c:pt>
                <c:pt idx="51">
                  <c:v>2641</c:v>
                </c:pt>
                <c:pt idx="52">
                  <c:v>2658</c:v>
                </c:pt>
                <c:pt idx="53">
                  <c:v>1970</c:v>
                </c:pt>
                <c:pt idx="54">
                  <c:v>614</c:v>
                </c:pt>
                <c:pt idx="55">
                  <c:v>747</c:v>
                </c:pt>
                <c:pt idx="56">
                  <c:v>562</c:v>
                </c:pt>
                <c:pt idx="57">
                  <c:v>383</c:v>
                </c:pt>
                <c:pt idx="58">
                  <c:v>296</c:v>
                </c:pt>
                <c:pt idx="59">
                  <c:v>297</c:v>
                </c:pt>
                <c:pt idx="60">
                  <c:v>857</c:v>
                </c:pt>
                <c:pt idx="61">
                  <c:v>1770</c:v>
                </c:pt>
                <c:pt idx="62">
                  <c:v>2376</c:v>
                </c:pt>
                <c:pt idx="63">
                  <c:v>2831</c:v>
                </c:pt>
                <c:pt idx="64">
                  <c:v>2864</c:v>
                </c:pt>
                <c:pt idx="65">
                  <c:v>1488</c:v>
                </c:pt>
                <c:pt idx="66">
                  <c:v>698</c:v>
                </c:pt>
                <c:pt idx="67">
                  <c:v>860</c:v>
                </c:pt>
                <c:pt idx="68">
                  <c:v>462</c:v>
                </c:pt>
                <c:pt idx="69">
                  <c:v>483</c:v>
                </c:pt>
                <c:pt idx="70">
                  <c:v>400</c:v>
                </c:pt>
                <c:pt idx="71">
                  <c:v>501</c:v>
                </c:pt>
                <c:pt idx="72">
                  <c:v>525</c:v>
                </c:pt>
                <c:pt idx="73">
                  <c:v>862</c:v>
                </c:pt>
                <c:pt idx="74">
                  <c:v>642</c:v>
                </c:pt>
                <c:pt idx="75">
                  <c:v>2089</c:v>
                </c:pt>
                <c:pt idx="76">
                  <c:v>1662</c:v>
                </c:pt>
                <c:pt idx="77">
                  <c:v>1242</c:v>
                </c:pt>
                <c:pt idx="78">
                  <c:v>437</c:v>
                </c:pt>
                <c:pt idx="79">
                  <c:v>546</c:v>
                </c:pt>
                <c:pt idx="80">
                  <c:v>364</c:v>
                </c:pt>
                <c:pt idx="81">
                  <c:v>469</c:v>
                </c:pt>
                <c:pt idx="82">
                  <c:v>385</c:v>
                </c:pt>
                <c:pt idx="83">
                  <c:v>385</c:v>
                </c:pt>
                <c:pt idx="84">
                  <c:v>366</c:v>
                </c:pt>
                <c:pt idx="85">
                  <c:v>1254</c:v>
                </c:pt>
                <c:pt idx="86">
                  <c:v>2939</c:v>
                </c:pt>
                <c:pt idx="87">
                  <c:v>2656</c:v>
                </c:pt>
                <c:pt idx="88">
                  <c:v>3063</c:v>
                </c:pt>
                <c:pt idx="89">
                  <c:v>2601</c:v>
                </c:pt>
                <c:pt idx="90">
                  <c:v>405</c:v>
                </c:pt>
                <c:pt idx="91">
                  <c:v>378</c:v>
                </c:pt>
                <c:pt idx="92">
                  <c:v>378</c:v>
                </c:pt>
                <c:pt idx="93">
                  <c:v>279</c:v>
                </c:pt>
                <c:pt idx="94">
                  <c:v>299</c:v>
                </c:pt>
                <c:pt idx="95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4-E544-91A8-932CE851B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657536"/>
        <c:axId val="1595802048"/>
      </c:lineChart>
      <c:lineChart>
        <c:grouping val="standard"/>
        <c:varyColors val="0"/>
        <c:ser>
          <c:idx val="1"/>
          <c:order val="1"/>
          <c:tx>
            <c:strRef>
              <c:f>Sheet3!$K$1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Sheet3!$I$2:$I$97</c:f>
              <c:strCache>
                <c:ptCount val="96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2021-09</c:v>
                </c:pt>
                <c:pt idx="48">
                  <c:v>2021-10</c:v>
                </c:pt>
                <c:pt idx="49">
                  <c:v>2021-11</c:v>
                </c:pt>
                <c:pt idx="50">
                  <c:v>2021-12</c:v>
                </c:pt>
                <c:pt idx="51">
                  <c:v>2022-01</c:v>
                </c:pt>
                <c:pt idx="52">
                  <c:v>2022-02</c:v>
                </c:pt>
                <c:pt idx="53">
                  <c:v>2022-03</c:v>
                </c:pt>
                <c:pt idx="54">
                  <c:v>2022-04</c:v>
                </c:pt>
                <c:pt idx="55">
                  <c:v>2022-05</c:v>
                </c:pt>
                <c:pt idx="56">
                  <c:v>2022-06</c:v>
                </c:pt>
                <c:pt idx="57">
                  <c:v>2022-07</c:v>
                </c:pt>
                <c:pt idx="58">
                  <c:v>2022-08</c:v>
                </c:pt>
                <c:pt idx="59">
                  <c:v>2022-09</c:v>
                </c:pt>
                <c:pt idx="60">
                  <c:v>2022-10</c:v>
                </c:pt>
                <c:pt idx="61">
                  <c:v>2022-11</c:v>
                </c:pt>
                <c:pt idx="62">
                  <c:v>2022-12</c:v>
                </c:pt>
                <c:pt idx="63">
                  <c:v>2023-01</c:v>
                </c:pt>
                <c:pt idx="64">
                  <c:v>2023-02</c:v>
                </c:pt>
                <c:pt idx="65">
                  <c:v>2023-03</c:v>
                </c:pt>
                <c:pt idx="66">
                  <c:v>2023-04</c:v>
                </c:pt>
                <c:pt idx="67">
                  <c:v>2023-05</c:v>
                </c:pt>
                <c:pt idx="68">
                  <c:v>2023-06</c:v>
                </c:pt>
                <c:pt idx="69">
                  <c:v>2023-07</c:v>
                </c:pt>
                <c:pt idx="70">
                  <c:v>2023-08</c:v>
                </c:pt>
                <c:pt idx="71">
                  <c:v>2023-09</c:v>
                </c:pt>
                <c:pt idx="72">
                  <c:v>2023-10</c:v>
                </c:pt>
                <c:pt idx="73">
                  <c:v>2023-11</c:v>
                </c:pt>
                <c:pt idx="74">
                  <c:v>2023-12</c:v>
                </c:pt>
                <c:pt idx="75">
                  <c:v>2024-01</c:v>
                </c:pt>
                <c:pt idx="76">
                  <c:v>2024-02</c:v>
                </c:pt>
                <c:pt idx="77">
                  <c:v>2024-03</c:v>
                </c:pt>
                <c:pt idx="78">
                  <c:v>2024-04</c:v>
                </c:pt>
                <c:pt idx="79">
                  <c:v>2024-05</c:v>
                </c:pt>
                <c:pt idx="80">
                  <c:v>2024-06</c:v>
                </c:pt>
                <c:pt idx="81">
                  <c:v>2024-07</c:v>
                </c:pt>
                <c:pt idx="82">
                  <c:v>2024-08</c:v>
                </c:pt>
                <c:pt idx="83">
                  <c:v>2024-09</c:v>
                </c:pt>
                <c:pt idx="84">
                  <c:v>2024-10</c:v>
                </c:pt>
                <c:pt idx="85">
                  <c:v>2024-11</c:v>
                </c:pt>
                <c:pt idx="86">
                  <c:v>2024-12</c:v>
                </c:pt>
                <c:pt idx="87">
                  <c:v>2025-01</c:v>
                </c:pt>
                <c:pt idx="88">
                  <c:v>2025-02</c:v>
                </c:pt>
                <c:pt idx="89">
                  <c:v>2025-03</c:v>
                </c:pt>
                <c:pt idx="90">
                  <c:v>2025-04</c:v>
                </c:pt>
                <c:pt idx="91">
                  <c:v>2025-05</c:v>
                </c:pt>
                <c:pt idx="92">
                  <c:v>2025-06</c:v>
                </c:pt>
                <c:pt idx="93">
                  <c:v>2025-07</c:v>
                </c:pt>
                <c:pt idx="94">
                  <c:v>2025-08</c:v>
                </c:pt>
                <c:pt idx="95">
                  <c:v>2025-09</c:v>
                </c:pt>
              </c:strCache>
            </c:strRef>
          </c:cat>
          <c:val>
            <c:numRef>
              <c:f>Sheet3!$K$2:$K$97</c:f>
              <c:numCache>
                <c:formatCode>General</c:formatCode>
                <c:ptCount val="96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44.713590448552907</c:v>
                </c:pt>
                <c:pt idx="47">
                  <c:v>66.839047749837235</c:v>
                </c:pt>
                <c:pt idx="48">
                  <c:v>91.333141871861045</c:v>
                </c:pt>
                <c:pt idx="49">
                  <c:v>82.057619730631515</c:v>
                </c:pt>
                <c:pt idx="50">
                  <c:v>114.99272606589579</c:v>
                </c:pt>
                <c:pt idx="51">
                  <c:v>85.593600082397458</c:v>
                </c:pt>
                <c:pt idx="52">
                  <c:v>82.403052480597239</c:v>
                </c:pt>
                <c:pt idx="53">
                  <c:v>131.27382693083391</c:v>
                </c:pt>
                <c:pt idx="54">
                  <c:v>101.5196506500244</c:v>
                </c:pt>
                <c:pt idx="55">
                  <c:v>94.377048674083895</c:v>
                </c:pt>
                <c:pt idx="56">
                  <c:v>107.7004757835751</c:v>
                </c:pt>
                <c:pt idx="57">
                  <c:v>172.4152992248535</c:v>
                </c:pt>
                <c:pt idx="58">
                  <c:v>235.95530567998469</c:v>
                </c:pt>
                <c:pt idx="59">
                  <c:v>201.47780863444009</c:v>
                </c:pt>
                <c:pt idx="60">
                  <c:v>135.47933342343279</c:v>
                </c:pt>
                <c:pt idx="61">
                  <c:v>119.3362379528227</c:v>
                </c:pt>
                <c:pt idx="62">
                  <c:v>116.1687149774461</c:v>
                </c:pt>
                <c:pt idx="63">
                  <c:v>63.684649848937987</c:v>
                </c:pt>
                <c:pt idx="64">
                  <c:v>52.793158280222038</c:v>
                </c:pt>
                <c:pt idx="65">
                  <c:v>44.025304213814117</c:v>
                </c:pt>
                <c:pt idx="66">
                  <c:v>42.070315712376647</c:v>
                </c:pt>
                <c:pt idx="67">
                  <c:v>32.051181793212891</c:v>
                </c:pt>
                <c:pt idx="68">
                  <c:v>32.47385715302967</c:v>
                </c:pt>
                <c:pt idx="69">
                  <c:v>29.15274991989136</c:v>
                </c:pt>
                <c:pt idx="70">
                  <c:v>35.000434875488281</c:v>
                </c:pt>
                <c:pt idx="71">
                  <c:v>37.043300437927243</c:v>
                </c:pt>
                <c:pt idx="72">
                  <c:v>47.068136388605289</c:v>
                </c:pt>
                <c:pt idx="73">
                  <c:v>45.735636451027609</c:v>
                </c:pt>
                <c:pt idx="74">
                  <c:v>35.9706995010376</c:v>
                </c:pt>
                <c:pt idx="75">
                  <c:v>29.907999946957538</c:v>
                </c:pt>
                <c:pt idx="76">
                  <c:v>25.866250133514409</c:v>
                </c:pt>
                <c:pt idx="77">
                  <c:v>26.852850055694581</c:v>
                </c:pt>
                <c:pt idx="78">
                  <c:v>28.961809339977449</c:v>
                </c:pt>
                <c:pt idx="79">
                  <c:v>31.812363711270422</c:v>
                </c:pt>
                <c:pt idx="80">
                  <c:v>34.4207370155736</c:v>
                </c:pt>
                <c:pt idx="81">
                  <c:v>32.523045453158289</c:v>
                </c:pt>
                <c:pt idx="82">
                  <c:v>38.347045725042172</c:v>
                </c:pt>
                <c:pt idx="83">
                  <c:v>36.082599830627437</c:v>
                </c:pt>
                <c:pt idx="84">
                  <c:v>40.423434547756031</c:v>
                </c:pt>
                <c:pt idx="85">
                  <c:v>44.633600425720218</c:v>
                </c:pt>
                <c:pt idx="86">
                  <c:v>45.153618585495721</c:v>
                </c:pt>
                <c:pt idx="87">
                  <c:v>48.350666591099333</c:v>
                </c:pt>
                <c:pt idx="88">
                  <c:v>50.380420885587988</c:v>
                </c:pt>
                <c:pt idx="89">
                  <c:v>41.781190781366263</c:v>
                </c:pt>
                <c:pt idx="90">
                  <c:v>35.213476544334767</c:v>
                </c:pt>
                <c:pt idx="91">
                  <c:v>35.177713848295667</c:v>
                </c:pt>
                <c:pt idx="92">
                  <c:v>36.388399887084958</c:v>
                </c:pt>
                <c:pt idx="93">
                  <c:v>33.937173760455593</c:v>
                </c:pt>
                <c:pt idx="94">
                  <c:v>32.695904413859047</c:v>
                </c:pt>
                <c:pt idx="95">
                  <c:v>32.340333121163503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4-E544-91A8-932CE851B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806208"/>
        <c:axId val="1601799488"/>
      </c:lineChart>
      <c:catAx>
        <c:axId val="12756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02048"/>
        <c:crosses val="autoZero"/>
        <c:auto val="1"/>
        <c:lblAlgn val="ctr"/>
        <c:lblOffset val="100"/>
        <c:noMultiLvlLbl val="0"/>
      </c:catAx>
      <c:valAx>
        <c:axId val="15958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57536"/>
        <c:crosses val="autoZero"/>
        <c:crossBetween val="between"/>
      </c:valAx>
      <c:valAx>
        <c:axId val="1601799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06208"/>
        <c:crosses val="max"/>
        <c:crossBetween val="between"/>
      </c:valAx>
      <c:catAx>
        <c:axId val="160180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17994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Sheet3!$J$1</c:f>
              <c:strCache>
                <c:ptCount val="1"/>
                <c:pt idx="0">
                  <c:v>IMPLNG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Sheet3!$I$2:$I$97</c:f>
              <c:strCache>
                <c:ptCount val="96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2021-09</c:v>
                </c:pt>
                <c:pt idx="48">
                  <c:v>2021-10</c:v>
                </c:pt>
                <c:pt idx="49">
                  <c:v>2021-11</c:v>
                </c:pt>
                <c:pt idx="50">
                  <c:v>2021-12</c:v>
                </c:pt>
                <c:pt idx="51">
                  <c:v>2022-01</c:v>
                </c:pt>
                <c:pt idx="52">
                  <c:v>2022-02</c:v>
                </c:pt>
                <c:pt idx="53">
                  <c:v>2022-03</c:v>
                </c:pt>
                <c:pt idx="54">
                  <c:v>2022-04</c:v>
                </c:pt>
                <c:pt idx="55">
                  <c:v>2022-05</c:v>
                </c:pt>
                <c:pt idx="56">
                  <c:v>2022-06</c:v>
                </c:pt>
                <c:pt idx="57">
                  <c:v>2022-07</c:v>
                </c:pt>
                <c:pt idx="58">
                  <c:v>2022-08</c:v>
                </c:pt>
                <c:pt idx="59">
                  <c:v>2022-09</c:v>
                </c:pt>
                <c:pt idx="60">
                  <c:v>2022-10</c:v>
                </c:pt>
                <c:pt idx="61">
                  <c:v>2022-11</c:v>
                </c:pt>
                <c:pt idx="62">
                  <c:v>2022-12</c:v>
                </c:pt>
                <c:pt idx="63">
                  <c:v>2023-01</c:v>
                </c:pt>
                <c:pt idx="64">
                  <c:v>2023-02</c:v>
                </c:pt>
                <c:pt idx="65">
                  <c:v>2023-03</c:v>
                </c:pt>
                <c:pt idx="66">
                  <c:v>2023-04</c:v>
                </c:pt>
                <c:pt idx="67">
                  <c:v>2023-05</c:v>
                </c:pt>
                <c:pt idx="68">
                  <c:v>2023-06</c:v>
                </c:pt>
                <c:pt idx="69">
                  <c:v>2023-07</c:v>
                </c:pt>
                <c:pt idx="70">
                  <c:v>2023-08</c:v>
                </c:pt>
                <c:pt idx="71">
                  <c:v>2023-09</c:v>
                </c:pt>
                <c:pt idx="72">
                  <c:v>2023-10</c:v>
                </c:pt>
                <c:pt idx="73">
                  <c:v>2023-11</c:v>
                </c:pt>
                <c:pt idx="74">
                  <c:v>2023-12</c:v>
                </c:pt>
                <c:pt idx="75">
                  <c:v>2024-01</c:v>
                </c:pt>
                <c:pt idx="76">
                  <c:v>2024-02</c:v>
                </c:pt>
                <c:pt idx="77">
                  <c:v>2024-03</c:v>
                </c:pt>
                <c:pt idx="78">
                  <c:v>2024-04</c:v>
                </c:pt>
                <c:pt idx="79">
                  <c:v>2024-05</c:v>
                </c:pt>
                <c:pt idx="80">
                  <c:v>2024-06</c:v>
                </c:pt>
                <c:pt idx="81">
                  <c:v>2024-07</c:v>
                </c:pt>
                <c:pt idx="82">
                  <c:v>2024-08</c:v>
                </c:pt>
                <c:pt idx="83">
                  <c:v>2024-09</c:v>
                </c:pt>
                <c:pt idx="84">
                  <c:v>2024-10</c:v>
                </c:pt>
                <c:pt idx="85">
                  <c:v>2024-11</c:v>
                </c:pt>
                <c:pt idx="86">
                  <c:v>2024-12</c:v>
                </c:pt>
                <c:pt idx="87">
                  <c:v>2025-01</c:v>
                </c:pt>
                <c:pt idx="88">
                  <c:v>2025-02</c:v>
                </c:pt>
                <c:pt idx="89">
                  <c:v>2025-03</c:v>
                </c:pt>
                <c:pt idx="90">
                  <c:v>2025-04</c:v>
                </c:pt>
                <c:pt idx="91">
                  <c:v>2025-05</c:v>
                </c:pt>
                <c:pt idx="92">
                  <c:v>2025-06</c:v>
                </c:pt>
                <c:pt idx="93">
                  <c:v>2025-07</c:v>
                </c:pt>
                <c:pt idx="94">
                  <c:v>2025-08</c:v>
                </c:pt>
                <c:pt idx="95">
                  <c:v>2025-09</c:v>
                </c:pt>
              </c:strCache>
            </c:strRef>
          </c:cat>
          <c:val>
            <c:numRef>
              <c:f>Sheet3!$J$2:$J$97</c:f>
              <c:numCache>
                <c:formatCode>General</c:formatCode>
                <c:ptCount val="96"/>
                <c:pt idx="0">
                  <c:v>496</c:v>
                </c:pt>
                <c:pt idx="1">
                  <c:v>1405</c:v>
                </c:pt>
                <c:pt idx="2">
                  <c:v>1977</c:v>
                </c:pt>
                <c:pt idx="3">
                  <c:v>1960</c:v>
                </c:pt>
                <c:pt idx="4">
                  <c:v>1660</c:v>
                </c:pt>
                <c:pt idx="5">
                  <c:v>947</c:v>
                </c:pt>
                <c:pt idx="6">
                  <c:v>609</c:v>
                </c:pt>
                <c:pt idx="7">
                  <c:v>555</c:v>
                </c:pt>
                <c:pt idx="8">
                  <c:v>512</c:v>
                </c:pt>
                <c:pt idx="9">
                  <c:v>456</c:v>
                </c:pt>
                <c:pt idx="10">
                  <c:v>447</c:v>
                </c:pt>
                <c:pt idx="11">
                  <c:v>321</c:v>
                </c:pt>
                <c:pt idx="12">
                  <c:v>701</c:v>
                </c:pt>
                <c:pt idx="13">
                  <c:v>714</c:v>
                </c:pt>
                <c:pt idx="14">
                  <c:v>2100</c:v>
                </c:pt>
                <c:pt idx="15">
                  <c:v>2341</c:v>
                </c:pt>
                <c:pt idx="16">
                  <c:v>1694</c:v>
                </c:pt>
                <c:pt idx="17">
                  <c:v>1292</c:v>
                </c:pt>
                <c:pt idx="18">
                  <c:v>688</c:v>
                </c:pt>
                <c:pt idx="19">
                  <c:v>473</c:v>
                </c:pt>
                <c:pt idx="20">
                  <c:v>648</c:v>
                </c:pt>
                <c:pt idx="21">
                  <c:v>573</c:v>
                </c:pt>
                <c:pt idx="22">
                  <c:v>802</c:v>
                </c:pt>
                <c:pt idx="23">
                  <c:v>570</c:v>
                </c:pt>
                <c:pt idx="24">
                  <c:v>776</c:v>
                </c:pt>
                <c:pt idx="25">
                  <c:v>1087</c:v>
                </c:pt>
                <c:pt idx="26">
                  <c:v>1752</c:v>
                </c:pt>
                <c:pt idx="27">
                  <c:v>2130</c:v>
                </c:pt>
                <c:pt idx="28">
                  <c:v>2522</c:v>
                </c:pt>
                <c:pt idx="29">
                  <c:v>2069</c:v>
                </c:pt>
                <c:pt idx="30">
                  <c:v>1247</c:v>
                </c:pt>
                <c:pt idx="31">
                  <c:v>1446</c:v>
                </c:pt>
                <c:pt idx="32">
                  <c:v>917</c:v>
                </c:pt>
                <c:pt idx="33">
                  <c:v>508</c:v>
                </c:pt>
                <c:pt idx="34">
                  <c:v>592</c:v>
                </c:pt>
                <c:pt idx="35">
                  <c:v>610</c:v>
                </c:pt>
                <c:pt idx="36">
                  <c:v>795</c:v>
                </c:pt>
                <c:pt idx="37">
                  <c:v>862</c:v>
                </c:pt>
                <c:pt idx="38">
                  <c:v>1391</c:v>
                </c:pt>
                <c:pt idx="39">
                  <c:v>1585</c:v>
                </c:pt>
                <c:pt idx="40">
                  <c:v>1852</c:v>
                </c:pt>
                <c:pt idx="41">
                  <c:v>1321</c:v>
                </c:pt>
                <c:pt idx="42">
                  <c:v>578</c:v>
                </c:pt>
                <c:pt idx="43">
                  <c:v>449</c:v>
                </c:pt>
                <c:pt idx="44">
                  <c:v>278</c:v>
                </c:pt>
                <c:pt idx="45">
                  <c:v>568</c:v>
                </c:pt>
                <c:pt idx="46">
                  <c:v>652</c:v>
                </c:pt>
                <c:pt idx="47">
                  <c:v>653</c:v>
                </c:pt>
                <c:pt idx="48">
                  <c:v>1635</c:v>
                </c:pt>
                <c:pt idx="49">
                  <c:v>2028</c:v>
                </c:pt>
                <c:pt idx="50">
                  <c:v>2515</c:v>
                </c:pt>
                <c:pt idx="51">
                  <c:v>2641</c:v>
                </c:pt>
                <c:pt idx="52">
                  <c:v>2658</c:v>
                </c:pt>
                <c:pt idx="53">
                  <c:v>1970</c:v>
                </c:pt>
                <c:pt idx="54">
                  <c:v>614</c:v>
                </c:pt>
                <c:pt idx="55">
                  <c:v>747</c:v>
                </c:pt>
                <c:pt idx="56">
                  <c:v>562</c:v>
                </c:pt>
                <c:pt idx="57">
                  <c:v>383</c:v>
                </c:pt>
                <c:pt idx="58">
                  <c:v>296</c:v>
                </c:pt>
                <c:pt idx="59">
                  <c:v>297</c:v>
                </c:pt>
                <c:pt idx="60">
                  <c:v>857</c:v>
                </c:pt>
                <c:pt idx="61">
                  <c:v>1770</c:v>
                </c:pt>
                <c:pt idx="62">
                  <c:v>2376</c:v>
                </c:pt>
                <c:pt idx="63">
                  <c:v>2831</c:v>
                </c:pt>
                <c:pt idx="64">
                  <c:v>2864</c:v>
                </c:pt>
                <c:pt idx="65">
                  <c:v>1488</c:v>
                </c:pt>
                <c:pt idx="66">
                  <c:v>698</c:v>
                </c:pt>
                <c:pt idx="67">
                  <c:v>860</c:v>
                </c:pt>
                <c:pt idx="68">
                  <c:v>462</c:v>
                </c:pt>
                <c:pt idx="69">
                  <c:v>483</c:v>
                </c:pt>
                <c:pt idx="70">
                  <c:v>400</c:v>
                </c:pt>
                <c:pt idx="71">
                  <c:v>501</c:v>
                </c:pt>
                <c:pt idx="72">
                  <c:v>525</c:v>
                </c:pt>
                <c:pt idx="73">
                  <c:v>862</c:v>
                </c:pt>
                <c:pt idx="74">
                  <c:v>642</c:v>
                </c:pt>
                <c:pt idx="75">
                  <c:v>2089</c:v>
                </c:pt>
                <c:pt idx="76">
                  <c:v>1662</c:v>
                </c:pt>
                <c:pt idx="77">
                  <c:v>1242</c:v>
                </c:pt>
                <c:pt idx="78">
                  <c:v>437</c:v>
                </c:pt>
                <c:pt idx="79">
                  <c:v>546</c:v>
                </c:pt>
                <c:pt idx="80">
                  <c:v>364</c:v>
                </c:pt>
                <c:pt idx="81">
                  <c:v>469</c:v>
                </c:pt>
                <c:pt idx="82">
                  <c:v>385</c:v>
                </c:pt>
                <c:pt idx="83">
                  <c:v>385</c:v>
                </c:pt>
                <c:pt idx="84">
                  <c:v>366</c:v>
                </c:pt>
                <c:pt idx="85">
                  <c:v>1254</c:v>
                </c:pt>
                <c:pt idx="86">
                  <c:v>2939</c:v>
                </c:pt>
                <c:pt idx="87">
                  <c:v>2656</c:v>
                </c:pt>
                <c:pt idx="88">
                  <c:v>3063</c:v>
                </c:pt>
                <c:pt idx="89">
                  <c:v>2601</c:v>
                </c:pt>
                <c:pt idx="90">
                  <c:v>405</c:v>
                </c:pt>
                <c:pt idx="91">
                  <c:v>378</c:v>
                </c:pt>
                <c:pt idx="92">
                  <c:v>378</c:v>
                </c:pt>
                <c:pt idx="93">
                  <c:v>279</c:v>
                </c:pt>
                <c:pt idx="94">
                  <c:v>299</c:v>
                </c:pt>
                <c:pt idx="95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3-5643-8099-71B787491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657536"/>
        <c:axId val="1595802048"/>
      </c:lineChart>
      <c:lineChart>
        <c:grouping val="standard"/>
        <c:varyColors val="0"/>
        <c:ser>
          <c:idx val="1"/>
          <c:order val="1"/>
          <c:tx>
            <c:strRef>
              <c:f>Sheet3!$K$1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Sheet3!$I$2:$I$97</c:f>
              <c:strCache>
                <c:ptCount val="96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2021-09</c:v>
                </c:pt>
                <c:pt idx="48">
                  <c:v>2021-10</c:v>
                </c:pt>
                <c:pt idx="49">
                  <c:v>2021-11</c:v>
                </c:pt>
                <c:pt idx="50">
                  <c:v>2021-12</c:v>
                </c:pt>
                <c:pt idx="51">
                  <c:v>2022-01</c:v>
                </c:pt>
                <c:pt idx="52">
                  <c:v>2022-02</c:v>
                </c:pt>
                <c:pt idx="53">
                  <c:v>2022-03</c:v>
                </c:pt>
                <c:pt idx="54">
                  <c:v>2022-04</c:v>
                </c:pt>
                <c:pt idx="55">
                  <c:v>2022-05</c:v>
                </c:pt>
                <c:pt idx="56">
                  <c:v>2022-06</c:v>
                </c:pt>
                <c:pt idx="57">
                  <c:v>2022-07</c:v>
                </c:pt>
                <c:pt idx="58">
                  <c:v>2022-08</c:v>
                </c:pt>
                <c:pt idx="59">
                  <c:v>2022-09</c:v>
                </c:pt>
                <c:pt idx="60">
                  <c:v>2022-10</c:v>
                </c:pt>
                <c:pt idx="61">
                  <c:v>2022-11</c:v>
                </c:pt>
                <c:pt idx="62">
                  <c:v>2022-12</c:v>
                </c:pt>
                <c:pt idx="63">
                  <c:v>2023-01</c:v>
                </c:pt>
                <c:pt idx="64">
                  <c:v>2023-02</c:v>
                </c:pt>
                <c:pt idx="65">
                  <c:v>2023-03</c:v>
                </c:pt>
                <c:pt idx="66">
                  <c:v>2023-04</c:v>
                </c:pt>
                <c:pt idx="67">
                  <c:v>2023-05</c:v>
                </c:pt>
                <c:pt idx="68">
                  <c:v>2023-06</c:v>
                </c:pt>
                <c:pt idx="69">
                  <c:v>2023-07</c:v>
                </c:pt>
                <c:pt idx="70">
                  <c:v>2023-08</c:v>
                </c:pt>
                <c:pt idx="71">
                  <c:v>2023-09</c:v>
                </c:pt>
                <c:pt idx="72">
                  <c:v>2023-10</c:v>
                </c:pt>
                <c:pt idx="73">
                  <c:v>2023-11</c:v>
                </c:pt>
                <c:pt idx="74">
                  <c:v>2023-12</c:v>
                </c:pt>
                <c:pt idx="75">
                  <c:v>2024-01</c:v>
                </c:pt>
                <c:pt idx="76">
                  <c:v>2024-02</c:v>
                </c:pt>
                <c:pt idx="77">
                  <c:v>2024-03</c:v>
                </c:pt>
                <c:pt idx="78">
                  <c:v>2024-04</c:v>
                </c:pt>
                <c:pt idx="79">
                  <c:v>2024-05</c:v>
                </c:pt>
                <c:pt idx="80">
                  <c:v>2024-06</c:v>
                </c:pt>
                <c:pt idx="81">
                  <c:v>2024-07</c:v>
                </c:pt>
                <c:pt idx="82">
                  <c:v>2024-08</c:v>
                </c:pt>
                <c:pt idx="83">
                  <c:v>2024-09</c:v>
                </c:pt>
                <c:pt idx="84">
                  <c:v>2024-10</c:v>
                </c:pt>
                <c:pt idx="85">
                  <c:v>2024-11</c:v>
                </c:pt>
                <c:pt idx="86">
                  <c:v>2024-12</c:v>
                </c:pt>
                <c:pt idx="87">
                  <c:v>2025-01</c:v>
                </c:pt>
                <c:pt idx="88">
                  <c:v>2025-02</c:v>
                </c:pt>
                <c:pt idx="89">
                  <c:v>2025-03</c:v>
                </c:pt>
                <c:pt idx="90">
                  <c:v>2025-04</c:v>
                </c:pt>
                <c:pt idx="91">
                  <c:v>2025-05</c:v>
                </c:pt>
                <c:pt idx="92">
                  <c:v>2025-06</c:v>
                </c:pt>
                <c:pt idx="93">
                  <c:v>2025-07</c:v>
                </c:pt>
                <c:pt idx="94">
                  <c:v>2025-08</c:v>
                </c:pt>
                <c:pt idx="95">
                  <c:v>2025-09</c:v>
                </c:pt>
              </c:strCache>
            </c:strRef>
          </c:cat>
          <c:val>
            <c:numRef>
              <c:f>Sheet3!$K$2:$K$97</c:f>
              <c:numCache>
                <c:formatCode>General</c:formatCode>
                <c:ptCount val="96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44.713590448552907</c:v>
                </c:pt>
                <c:pt idx="47">
                  <c:v>66.839047749837235</c:v>
                </c:pt>
                <c:pt idx="48">
                  <c:v>91.333141871861045</c:v>
                </c:pt>
                <c:pt idx="49">
                  <c:v>82.057619730631515</c:v>
                </c:pt>
                <c:pt idx="50">
                  <c:v>114.99272606589579</c:v>
                </c:pt>
                <c:pt idx="51">
                  <c:v>85.593600082397458</c:v>
                </c:pt>
                <c:pt idx="52">
                  <c:v>82.403052480597239</c:v>
                </c:pt>
                <c:pt idx="53">
                  <c:v>131.27382693083391</c:v>
                </c:pt>
                <c:pt idx="54">
                  <c:v>101.5196506500244</c:v>
                </c:pt>
                <c:pt idx="55">
                  <c:v>94.377048674083895</c:v>
                </c:pt>
                <c:pt idx="56">
                  <c:v>107.7004757835751</c:v>
                </c:pt>
                <c:pt idx="57">
                  <c:v>172.4152992248535</c:v>
                </c:pt>
                <c:pt idx="58">
                  <c:v>235.95530567998469</c:v>
                </c:pt>
                <c:pt idx="59">
                  <c:v>201.47780863444009</c:v>
                </c:pt>
                <c:pt idx="60">
                  <c:v>135.47933342343279</c:v>
                </c:pt>
                <c:pt idx="61">
                  <c:v>119.3362379528227</c:v>
                </c:pt>
                <c:pt idx="62">
                  <c:v>116.1687149774461</c:v>
                </c:pt>
                <c:pt idx="63">
                  <c:v>63.684649848937987</c:v>
                </c:pt>
                <c:pt idx="64">
                  <c:v>52.793158280222038</c:v>
                </c:pt>
                <c:pt idx="65">
                  <c:v>44.025304213814117</c:v>
                </c:pt>
                <c:pt idx="66">
                  <c:v>42.070315712376647</c:v>
                </c:pt>
                <c:pt idx="67">
                  <c:v>32.051181793212891</c:v>
                </c:pt>
                <c:pt idx="68">
                  <c:v>32.47385715302967</c:v>
                </c:pt>
                <c:pt idx="69">
                  <c:v>29.15274991989136</c:v>
                </c:pt>
                <c:pt idx="70">
                  <c:v>35.000434875488281</c:v>
                </c:pt>
                <c:pt idx="71">
                  <c:v>37.043300437927243</c:v>
                </c:pt>
                <c:pt idx="72">
                  <c:v>47.068136388605289</c:v>
                </c:pt>
                <c:pt idx="73">
                  <c:v>45.735636451027609</c:v>
                </c:pt>
                <c:pt idx="74">
                  <c:v>35.9706995010376</c:v>
                </c:pt>
                <c:pt idx="75">
                  <c:v>29.907999946957538</c:v>
                </c:pt>
                <c:pt idx="76">
                  <c:v>25.866250133514409</c:v>
                </c:pt>
                <c:pt idx="77">
                  <c:v>26.852850055694581</c:v>
                </c:pt>
                <c:pt idx="78">
                  <c:v>28.961809339977449</c:v>
                </c:pt>
                <c:pt idx="79">
                  <c:v>31.812363711270422</c:v>
                </c:pt>
                <c:pt idx="80">
                  <c:v>34.4207370155736</c:v>
                </c:pt>
                <c:pt idx="81">
                  <c:v>32.523045453158289</c:v>
                </c:pt>
                <c:pt idx="82">
                  <c:v>38.347045725042172</c:v>
                </c:pt>
                <c:pt idx="83">
                  <c:v>36.082599830627437</c:v>
                </c:pt>
                <c:pt idx="84">
                  <c:v>40.423434547756031</c:v>
                </c:pt>
                <c:pt idx="85">
                  <c:v>44.633600425720218</c:v>
                </c:pt>
                <c:pt idx="86">
                  <c:v>45.153618585495721</c:v>
                </c:pt>
                <c:pt idx="87">
                  <c:v>48.350666591099333</c:v>
                </c:pt>
                <c:pt idx="88">
                  <c:v>50.380420885587988</c:v>
                </c:pt>
                <c:pt idx="89">
                  <c:v>41.781190781366263</c:v>
                </c:pt>
                <c:pt idx="90">
                  <c:v>35.213476544334767</c:v>
                </c:pt>
                <c:pt idx="91">
                  <c:v>35.177713848295667</c:v>
                </c:pt>
                <c:pt idx="92">
                  <c:v>36.388399887084958</c:v>
                </c:pt>
                <c:pt idx="93">
                  <c:v>33.937173760455593</c:v>
                </c:pt>
                <c:pt idx="94">
                  <c:v>32.695904413859047</c:v>
                </c:pt>
                <c:pt idx="95">
                  <c:v>32.340333121163503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A3-5643-8099-71B787491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806208"/>
        <c:axId val="1601799488"/>
      </c:lineChart>
      <c:catAx>
        <c:axId val="12756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02048"/>
        <c:crosses val="autoZero"/>
        <c:auto val="1"/>
        <c:lblAlgn val="ctr"/>
        <c:lblOffset val="100"/>
        <c:noMultiLvlLbl val="0"/>
      </c:catAx>
      <c:valAx>
        <c:axId val="15958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57536"/>
        <c:crosses val="autoZero"/>
        <c:crossBetween val="between"/>
      </c:valAx>
      <c:valAx>
        <c:axId val="1601799488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06208"/>
        <c:crosses val="max"/>
        <c:crossBetween val="between"/>
      </c:valAx>
      <c:catAx>
        <c:axId val="160180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17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Sheet3!$J$1</c:f>
              <c:strCache>
                <c:ptCount val="1"/>
                <c:pt idx="0">
                  <c:v>IMPLNG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Sheet3!$I$2:$I$97</c:f>
              <c:strCache>
                <c:ptCount val="96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2021-09</c:v>
                </c:pt>
                <c:pt idx="48">
                  <c:v>2021-10</c:v>
                </c:pt>
                <c:pt idx="49">
                  <c:v>2021-11</c:v>
                </c:pt>
                <c:pt idx="50">
                  <c:v>2021-12</c:v>
                </c:pt>
                <c:pt idx="51">
                  <c:v>2022-01</c:v>
                </c:pt>
                <c:pt idx="52">
                  <c:v>2022-02</c:v>
                </c:pt>
                <c:pt idx="53">
                  <c:v>2022-03</c:v>
                </c:pt>
                <c:pt idx="54">
                  <c:v>2022-04</c:v>
                </c:pt>
                <c:pt idx="55">
                  <c:v>2022-05</c:v>
                </c:pt>
                <c:pt idx="56">
                  <c:v>2022-06</c:v>
                </c:pt>
                <c:pt idx="57">
                  <c:v>2022-07</c:v>
                </c:pt>
                <c:pt idx="58">
                  <c:v>2022-08</c:v>
                </c:pt>
                <c:pt idx="59">
                  <c:v>2022-09</c:v>
                </c:pt>
                <c:pt idx="60">
                  <c:v>2022-10</c:v>
                </c:pt>
                <c:pt idx="61">
                  <c:v>2022-11</c:v>
                </c:pt>
                <c:pt idx="62">
                  <c:v>2022-12</c:v>
                </c:pt>
                <c:pt idx="63">
                  <c:v>2023-01</c:v>
                </c:pt>
                <c:pt idx="64">
                  <c:v>2023-02</c:v>
                </c:pt>
                <c:pt idx="65">
                  <c:v>2023-03</c:v>
                </c:pt>
                <c:pt idx="66">
                  <c:v>2023-04</c:v>
                </c:pt>
                <c:pt idx="67">
                  <c:v>2023-05</c:v>
                </c:pt>
                <c:pt idx="68">
                  <c:v>2023-06</c:v>
                </c:pt>
                <c:pt idx="69">
                  <c:v>2023-07</c:v>
                </c:pt>
                <c:pt idx="70">
                  <c:v>2023-08</c:v>
                </c:pt>
                <c:pt idx="71">
                  <c:v>2023-09</c:v>
                </c:pt>
                <c:pt idx="72">
                  <c:v>2023-10</c:v>
                </c:pt>
                <c:pt idx="73">
                  <c:v>2023-11</c:v>
                </c:pt>
                <c:pt idx="74">
                  <c:v>2023-12</c:v>
                </c:pt>
                <c:pt idx="75">
                  <c:v>2024-01</c:v>
                </c:pt>
                <c:pt idx="76">
                  <c:v>2024-02</c:v>
                </c:pt>
                <c:pt idx="77">
                  <c:v>2024-03</c:v>
                </c:pt>
                <c:pt idx="78">
                  <c:v>2024-04</c:v>
                </c:pt>
                <c:pt idx="79">
                  <c:v>2024-05</c:v>
                </c:pt>
                <c:pt idx="80">
                  <c:v>2024-06</c:v>
                </c:pt>
                <c:pt idx="81">
                  <c:v>2024-07</c:v>
                </c:pt>
                <c:pt idx="82">
                  <c:v>2024-08</c:v>
                </c:pt>
                <c:pt idx="83">
                  <c:v>2024-09</c:v>
                </c:pt>
                <c:pt idx="84">
                  <c:v>2024-10</c:v>
                </c:pt>
                <c:pt idx="85">
                  <c:v>2024-11</c:v>
                </c:pt>
                <c:pt idx="86">
                  <c:v>2024-12</c:v>
                </c:pt>
                <c:pt idx="87">
                  <c:v>2025-01</c:v>
                </c:pt>
                <c:pt idx="88">
                  <c:v>2025-02</c:v>
                </c:pt>
                <c:pt idx="89">
                  <c:v>2025-03</c:v>
                </c:pt>
                <c:pt idx="90">
                  <c:v>2025-04</c:v>
                </c:pt>
                <c:pt idx="91">
                  <c:v>2025-05</c:v>
                </c:pt>
                <c:pt idx="92">
                  <c:v>2025-06</c:v>
                </c:pt>
                <c:pt idx="93">
                  <c:v>2025-07</c:v>
                </c:pt>
                <c:pt idx="94">
                  <c:v>2025-08</c:v>
                </c:pt>
                <c:pt idx="95">
                  <c:v>2025-09</c:v>
                </c:pt>
              </c:strCache>
            </c:strRef>
          </c:cat>
          <c:val>
            <c:numRef>
              <c:f>Sheet3!$J$2:$J$97</c:f>
              <c:numCache>
                <c:formatCode>General</c:formatCode>
                <c:ptCount val="96"/>
                <c:pt idx="0">
                  <c:v>496</c:v>
                </c:pt>
                <c:pt idx="1">
                  <c:v>1405</c:v>
                </c:pt>
                <c:pt idx="2">
                  <c:v>1977</c:v>
                </c:pt>
                <c:pt idx="3">
                  <c:v>1960</c:v>
                </c:pt>
                <c:pt idx="4">
                  <c:v>1660</c:v>
                </c:pt>
                <c:pt idx="5">
                  <c:v>947</c:v>
                </c:pt>
                <c:pt idx="6">
                  <c:v>609</c:v>
                </c:pt>
                <c:pt idx="7">
                  <c:v>555</c:v>
                </c:pt>
                <c:pt idx="8">
                  <c:v>512</c:v>
                </c:pt>
                <c:pt idx="9">
                  <c:v>456</c:v>
                </c:pt>
                <c:pt idx="10">
                  <c:v>447</c:v>
                </c:pt>
                <c:pt idx="11">
                  <c:v>321</c:v>
                </c:pt>
                <c:pt idx="12">
                  <c:v>701</c:v>
                </c:pt>
                <c:pt idx="13">
                  <c:v>714</c:v>
                </c:pt>
                <c:pt idx="14">
                  <c:v>2100</c:v>
                </c:pt>
                <c:pt idx="15">
                  <c:v>2341</c:v>
                </c:pt>
                <c:pt idx="16">
                  <c:v>1694</c:v>
                </c:pt>
                <c:pt idx="17">
                  <c:v>1292</c:v>
                </c:pt>
                <c:pt idx="18">
                  <c:v>688</c:v>
                </c:pt>
                <c:pt idx="19">
                  <c:v>473</c:v>
                </c:pt>
                <c:pt idx="20">
                  <c:v>648</c:v>
                </c:pt>
                <c:pt idx="21">
                  <c:v>573</c:v>
                </c:pt>
                <c:pt idx="22">
                  <c:v>802</c:v>
                </c:pt>
                <c:pt idx="23">
                  <c:v>570</c:v>
                </c:pt>
                <c:pt idx="24">
                  <c:v>776</c:v>
                </c:pt>
                <c:pt idx="25">
                  <c:v>1087</c:v>
                </c:pt>
                <c:pt idx="26">
                  <c:v>1752</c:v>
                </c:pt>
                <c:pt idx="27">
                  <c:v>2130</c:v>
                </c:pt>
                <c:pt idx="28">
                  <c:v>2522</c:v>
                </c:pt>
                <c:pt idx="29">
                  <c:v>2069</c:v>
                </c:pt>
                <c:pt idx="30">
                  <c:v>1247</c:v>
                </c:pt>
                <c:pt idx="31">
                  <c:v>1446</c:v>
                </c:pt>
                <c:pt idx="32">
                  <c:v>917</c:v>
                </c:pt>
                <c:pt idx="33">
                  <c:v>508</c:v>
                </c:pt>
                <c:pt idx="34">
                  <c:v>592</c:v>
                </c:pt>
                <c:pt idx="35">
                  <c:v>610</c:v>
                </c:pt>
                <c:pt idx="36">
                  <c:v>795</c:v>
                </c:pt>
                <c:pt idx="37">
                  <c:v>862</c:v>
                </c:pt>
                <c:pt idx="38">
                  <c:v>1391</c:v>
                </c:pt>
                <c:pt idx="39">
                  <c:v>1585</c:v>
                </c:pt>
                <c:pt idx="40">
                  <c:v>1852</c:v>
                </c:pt>
                <c:pt idx="41">
                  <c:v>1321</c:v>
                </c:pt>
                <c:pt idx="42">
                  <c:v>578</c:v>
                </c:pt>
                <c:pt idx="43">
                  <c:v>449</c:v>
                </c:pt>
                <c:pt idx="44">
                  <c:v>278</c:v>
                </c:pt>
                <c:pt idx="45">
                  <c:v>568</c:v>
                </c:pt>
                <c:pt idx="46">
                  <c:v>652</c:v>
                </c:pt>
                <c:pt idx="47">
                  <c:v>653</c:v>
                </c:pt>
                <c:pt idx="48">
                  <c:v>1635</c:v>
                </c:pt>
                <c:pt idx="49">
                  <c:v>2028</c:v>
                </c:pt>
                <c:pt idx="50">
                  <c:v>2515</c:v>
                </c:pt>
                <c:pt idx="51">
                  <c:v>2641</c:v>
                </c:pt>
                <c:pt idx="52">
                  <c:v>2658</c:v>
                </c:pt>
                <c:pt idx="53">
                  <c:v>1970</c:v>
                </c:pt>
                <c:pt idx="54">
                  <c:v>614</c:v>
                </c:pt>
                <c:pt idx="55">
                  <c:v>747</c:v>
                </c:pt>
                <c:pt idx="56">
                  <c:v>562</c:v>
                </c:pt>
                <c:pt idx="57">
                  <c:v>383</c:v>
                </c:pt>
                <c:pt idx="58">
                  <c:v>296</c:v>
                </c:pt>
                <c:pt idx="59">
                  <c:v>297</c:v>
                </c:pt>
                <c:pt idx="60">
                  <c:v>857</c:v>
                </c:pt>
                <c:pt idx="61">
                  <c:v>1770</c:v>
                </c:pt>
                <c:pt idx="62">
                  <c:v>2376</c:v>
                </c:pt>
                <c:pt idx="63">
                  <c:v>2831</c:v>
                </c:pt>
                <c:pt idx="64">
                  <c:v>2864</c:v>
                </c:pt>
                <c:pt idx="65">
                  <c:v>1488</c:v>
                </c:pt>
                <c:pt idx="66">
                  <c:v>698</c:v>
                </c:pt>
                <c:pt idx="67">
                  <c:v>860</c:v>
                </c:pt>
                <c:pt idx="68">
                  <c:v>462</c:v>
                </c:pt>
                <c:pt idx="69">
                  <c:v>483</c:v>
                </c:pt>
                <c:pt idx="70">
                  <c:v>400</c:v>
                </c:pt>
                <c:pt idx="71">
                  <c:v>501</c:v>
                </c:pt>
                <c:pt idx="72">
                  <c:v>525</c:v>
                </c:pt>
                <c:pt idx="73">
                  <c:v>862</c:v>
                </c:pt>
                <c:pt idx="74">
                  <c:v>642</c:v>
                </c:pt>
                <c:pt idx="75">
                  <c:v>2089</c:v>
                </c:pt>
                <c:pt idx="76">
                  <c:v>1662</c:v>
                </c:pt>
                <c:pt idx="77">
                  <c:v>1242</c:v>
                </c:pt>
                <c:pt idx="78">
                  <c:v>437</c:v>
                </c:pt>
                <c:pt idx="79">
                  <c:v>546</c:v>
                </c:pt>
                <c:pt idx="80">
                  <c:v>364</c:v>
                </c:pt>
                <c:pt idx="81">
                  <c:v>469</c:v>
                </c:pt>
                <c:pt idx="82">
                  <c:v>385</c:v>
                </c:pt>
                <c:pt idx="83">
                  <c:v>385</c:v>
                </c:pt>
                <c:pt idx="84">
                  <c:v>366</c:v>
                </c:pt>
                <c:pt idx="85">
                  <c:v>1254</c:v>
                </c:pt>
                <c:pt idx="86">
                  <c:v>2939</c:v>
                </c:pt>
                <c:pt idx="87">
                  <c:v>2656</c:v>
                </c:pt>
                <c:pt idx="88">
                  <c:v>3063</c:v>
                </c:pt>
                <c:pt idx="89">
                  <c:v>2601</c:v>
                </c:pt>
                <c:pt idx="90">
                  <c:v>405</c:v>
                </c:pt>
                <c:pt idx="91">
                  <c:v>378</c:v>
                </c:pt>
                <c:pt idx="92">
                  <c:v>378</c:v>
                </c:pt>
                <c:pt idx="93">
                  <c:v>279</c:v>
                </c:pt>
                <c:pt idx="94">
                  <c:v>299</c:v>
                </c:pt>
                <c:pt idx="95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3-8E48-8CD9-149C76F2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657536"/>
        <c:axId val="1595802048"/>
      </c:lineChart>
      <c:lineChart>
        <c:grouping val="standard"/>
        <c:varyColors val="0"/>
        <c:ser>
          <c:idx val="1"/>
          <c:order val="1"/>
          <c:tx>
            <c:strRef>
              <c:f>Sheet3!$K$1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Sheet3!$I$2:$I$97</c:f>
              <c:strCache>
                <c:ptCount val="96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2021-09</c:v>
                </c:pt>
                <c:pt idx="48">
                  <c:v>2021-10</c:v>
                </c:pt>
                <c:pt idx="49">
                  <c:v>2021-11</c:v>
                </c:pt>
                <c:pt idx="50">
                  <c:v>2021-12</c:v>
                </c:pt>
                <c:pt idx="51">
                  <c:v>2022-01</c:v>
                </c:pt>
                <c:pt idx="52">
                  <c:v>2022-02</c:v>
                </c:pt>
                <c:pt idx="53">
                  <c:v>2022-03</c:v>
                </c:pt>
                <c:pt idx="54">
                  <c:v>2022-04</c:v>
                </c:pt>
                <c:pt idx="55">
                  <c:v>2022-05</c:v>
                </c:pt>
                <c:pt idx="56">
                  <c:v>2022-06</c:v>
                </c:pt>
                <c:pt idx="57">
                  <c:v>2022-07</c:v>
                </c:pt>
                <c:pt idx="58">
                  <c:v>2022-08</c:v>
                </c:pt>
                <c:pt idx="59">
                  <c:v>2022-09</c:v>
                </c:pt>
                <c:pt idx="60">
                  <c:v>2022-10</c:v>
                </c:pt>
                <c:pt idx="61">
                  <c:v>2022-11</c:v>
                </c:pt>
                <c:pt idx="62">
                  <c:v>2022-12</c:v>
                </c:pt>
                <c:pt idx="63">
                  <c:v>2023-01</c:v>
                </c:pt>
                <c:pt idx="64">
                  <c:v>2023-02</c:v>
                </c:pt>
                <c:pt idx="65">
                  <c:v>2023-03</c:v>
                </c:pt>
                <c:pt idx="66">
                  <c:v>2023-04</c:v>
                </c:pt>
                <c:pt idx="67">
                  <c:v>2023-05</c:v>
                </c:pt>
                <c:pt idx="68">
                  <c:v>2023-06</c:v>
                </c:pt>
                <c:pt idx="69">
                  <c:v>2023-07</c:v>
                </c:pt>
                <c:pt idx="70">
                  <c:v>2023-08</c:v>
                </c:pt>
                <c:pt idx="71">
                  <c:v>2023-09</c:v>
                </c:pt>
                <c:pt idx="72">
                  <c:v>2023-10</c:v>
                </c:pt>
                <c:pt idx="73">
                  <c:v>2023-11</c:v>
                </c:pt>
                <c:pt idx="74">
                  <c:v>2023-12</c:v>
                </c:pt>
                <c:pt idx="75">
                  <c:v>2024-01</c:v>
                </c:pt>
                <c:pt idx="76">
                  <c:v>2024-02</c:v>
                </c:pt>
                <c:pt idx="77">
                  <c:v>2024-03</c:v>
                </c:pt>
                <c:pt idx="78">
                  <c:v>2024-04</c:v>
                </c:pt>
                <c:pt idx="79">
                  <c:v>2024-05</c:v>
                </c:pt>
                <c:pt idx="80">
                  <c:v>2024-06</c:v>
                </c:pt>
                <c:pt idx="81">
                  <c:v>2024-07</c:v>
                </c:pt>
                <c:pt idx="82">
                  <c:v>2024-08</c:v>
                </c:pt>
                <c:pt idx="83">
                  <c:v>2024-09</c:v>
                </c:pt>
                <c:pt idx="84">
                  <c:v>2024-10</c:v>
                </c:pt>
                <c:pt idx="85">
                  <c:v>2024-11</c:v>
                </c:pt>
                <c:pt idx="86">
                  <c:v>2024-12</c:v>
                </c:pt>
                <c:pt idx="87">
                  <c:v>2025-01</c:v>
                </c:pt>
                <c:pt idx="88">
                  <c:v>2025-02</c:v>
                </c:pt>
                <c:pt idx="89">
                  <c:v>2025-03</c:v>
                </c:pt>
                <c:pt idx="90">
                  <c:v>2025-04</c:v>
                </c:pt>
                <c:pt idx="91">
                  <c:v>2025-05</c:v>
                </c:pt>
                <c:pt idx="92">
                  <c:v>2025-06</c:v>
                </c:pt>
                <c:pt idx="93">
                  <c:v>2025-07</c:v>
                </c:pt>
                <c:pt idx="94">
                  <c:v>2025-08</c:v>
                </c:pt>
                <c:pt idx="95">
                  <c:v>2025-09</c:v>
                </c:pt>
              </c:strCache>
            </c:strRef>
          </c:cat>
          <c:val>
            <c:numRef>
              <c:f>Sheet3!$K$2:$K$97</c:f>
              <c:numCache>
                <c:formatCode>General</c:formatCode>
                <c:ptCount val="96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44.713590448552907</c:v>
                </c:pt>
                <c:pt idx="47">
                  <c:v>66.839047749837235</c:v>
                </c:pt>
                <c:pt idx="48">
                  <c:v>91.333141871861045</c:v>
                </c:pt>
                <c:pt idx="49">
                  <c:v>82.057619730631515</c:v>
                </c:pt>
                <c:pt idx="50">
                  <c:v>114.99272606589579</c:v>
                </c:pt>
                <c:pt idx="51">
                  <c:v>85.593600082397458</c:v>
                </c:pt>
                <c:pt idx="52">
                  <c:v>82.403052480597239</c:v>
                </c:pt>
                <c:pt idx="53">
                  <c:v>131.27382693083391</c:v>
                </c:pt>
                <c:pt idx="54">
                  <c:v>101.5196506500244</c:v>
                </c:pt>
                <c:pt idx="55">
                  <c:v>94.377048674083895</c:v>
                </c:pt>
                <c:pt idx="56">
                  <c:v>107.7004757835751</c:v>
                </c:pt>
                <c:pt idx="57">
                  <c:v>172.4152992248535</c:v>
                </c:pt>
                <c:pt idx="58">
                  <c:v>235.95530567998469</c:v>
                </c:pt>
                <c:pt idx="59">
                  <c:v>201.47780863444009</c:v>
                </c:pt>
                <c:pt idx="60">
                  <c:v>135.47933342343279</c:v>
                </c:pt>
                <c:pt idx="61">
                  <c:v>119.3362379528227</c:v>
                </c:pt>
                <c:pt idx="62">
                  <c:v>116.1687149774461</c:v>
                </c:pt>
                <c:pt idx="63">
                  <c:v>63.684649848937987</c:v>
                </c:pt>
                <c:pt idx="64">
                  <c:v>52.793158280222038</c:v>
                </c:pt>
                <c:pt idx="65">
                  <c:v>44.025304213814117</c:v>
                </c:pt>
                <c:pt idx="66">
                  <c:v>42.070315712376647</c:v>
                </c:pt>
                <c:pt idx="67">
                  <c:v>32.051181793212891</c:v>
                </c:pt>
                <c:pt idx="68">
                  <c:v>32.47385715302967</c:v>
                </c:pt>
                <c:pt idx="69">
                  <c:v>29.15274991989136</c:v>
                </c:pt>
                <c:pt idx="70">
                  <c:v>35.000434875488281</c:v>
                </c:pt>
                <c:pt idx="71">
                  <c:v>37.043300437927243</c:v>
                </c:pt>
                <c:pt idx="72">
                  <c:v>47.068136388605289</c:v>
                </c:pt>
                <c:pt idx="73">
                  <c:v>45.735636451027609</c:v>
                </c:pt>
                <c:pt idx="74">
                  <c:v>35.9706995010376</c:v>
                </c:pt>
                <c:pt idx="75">
                  <c:v>29.907999946957538</c:v>
                </c:pt>
                <c:pt idx="76">
                  <c:v>25.866250133514409</c:v>
                </c:pt>
                <c:pt idx="77">
                  <c:v>26.852850055694581</c:v>
                </c:pt>
                <c:pt idx="78">
                  <c:v>28.961809339977449</c:v>
                </c:pt>
                <c:pt idx="79">
                  <c:v>31.812363711270422</c:v>
                </c:pt>
                <c:pt idx="80">
                  <c:v>34.4207370155736</c:v>
                </c:pt>
                <c:pt idx="81">
                  <c:v>32.523045453158289</c:v>
                </c:pt>
                <c:pt idx="82">
                  <c:v>38.347045725042172</c:v>
                </c:pt>
                <c:pt idx="83">
                  <c:v>36.082599830627437</c:v>
                </c:pt>
                <c:pt idx="84">
                  <c:v>40.423434547756031</c:v>
                </c:pt>
                <c:pt idx="85">
                  <c:v>44.633600425720218</c:v>
                </c:pt>
                <c:pt idx="86">
                  <c:v>45.153618585495721</c:v>
                </c:pt>
                <c:pt idx="87">
                  <c:v>48.350666591099333</c:v>
                </c:pt>
                <c:pt idx="88">
                  <c:v>50.380420885587988</c:v>
                </c:pt>
                <c:pt idx="89">
                  <c:v>41.781190781366263</c:v>
                </c:pt>
                <c:pt idx="90">
                  <c:v>35.213476544334767</c:v>
                </c:pt>
                <c:pt idx="91">
                  <c:v>35.177713848295667</c:v>
                </c:pt>
                <c:pt idx="92">
                  <c:v>36.388399887084958</c:v>
                </c:pt>
                <c:pt idx="93">
                  <c:v>33.937173760455593</c:v>
                </c:pt>
                <c:pt idx="94">
                  <c:v>32.695904413859047</c:v>
                </c:pt>
                <c:pt idx="95">
                  <c:v>32.340333121163503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3-8E48-8CD9-149C76F2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806208"/>
        <c:axId val="1601799488"/>
      </c:lineChart>
      <c:catAx>
        <c:axId val="12756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02048"/>
        <c:crosses val="autoZero"/>
        <c:auto val="1"/>
        <c:lblAlgn val="ctr"/>
        <c:lblOffset val="100"/>
        <c:noMultiLvlLbl val="0"/>
      </c:catAx>
      <c:valAx>
        <c:axId val="15958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57536"/>
        <c:crosses val="autoZero"/>
        <c:crossBetween val="between"/>
      </c:valAx>
      <c:valAx>
        <c:axId val="1601799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06208"/>
        <c:crosses val="max"/>
        <c:crossBetween val="between"/>
      </c:valAx>
      <c:catAx>
        <c:axId val="160180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17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Sheet3!$P$1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Sheet3!$O$2:$O$97</c:f>
              <c:numCache>
                <c:formatCode>0%</c:formatCode>
                <c:ptCount val="96"/>
                <c:pt idx="0">
                  <c:v>0.12991094814038764</c:v>
                </c:pt>
                <c:pt idx="1">
                  <c:v>0.23781313473256602</c:v>
                </c:pt>
                <c:pt idx="2">
                  <c:v>0.3512169124178362</c:v>
                </c:pt>
                <c:pt idx="3">
                  <c:v>0.3015848592091091</c:v>
                </c:pt>
                <c:pt idx="4">
                  <c:v>0.31279442246090072</c:v>
                </c:pt>
                <c:pt idx="5">
                  <c:v>0.20658813263525305</c:v>
                </c:pt>
                <c:pt idx="6">
                  <c:v>0.17360319270239452</c:v>
                </c:pt>
                <c:pt idx="7">
                  <c:v>0.17087438423645321</c:v>
                </c:pt>
                <c:pt idx="8">
                  <c:v>0.20923579893747446</c:v>
                </c:pt>
                <c:pt idx="9">
                  <c:v>0.1245221190606226</c:v>
                </c:pt>
                <c:pt idx="10">
                  <c:v>0.1516796742449949</c:v>
                </c:pt>
                <c:pt idx="11">
                  <c:v>9.8135126872516049E-2</c:v>
                </c:pt>
                <c:pt idx="12">
                  <c:v>0.19064454718520532</c:v>
                </c:pt>
                <c:pt idx="13">
                  <c:v>0.16967680608365018</c:v>
                </c:pt>
                <c:pt idx="14">
                  <c:v>0.33958602846054331</c:v>
                </c:pt>
                <c:pt idx="15">
                  <c:v>0.37831286360698124</c:v>
                </c:pt>
                <c:pt idx="16">
                  <c:v>0.34899052327976926</c:v>
                </c:pt>
                <c:pt idx="17">
                  <c:v>0.26749482401656316</c:v>
                </c:pt>
                <c:pt idx="18">
                  <c:v>0.18544474393530996</c:v>
                </c:pt>
                <c:pt idx="19">
                  <c:v>0.18600078647267007</c:v>
                </c:pt>
                <c:pt idx="20">
                  <c:v>0.30125523012552302</c:v>
                </c:pt>
                <c:pt idx="21">
                  <c:v>0.19106368789596531</c:v>
                </c:pt>
                <c:pt idx="22">
                  <c:v>0.30704441041347624</c:v>
                </c:pt>
                <c:pt idx="23">
                  <c:v>0.22058823529411764</c:v>
                </c:pt>
                <c:pt idx="24">
                  <c:v>0.26777087646652864</c:v>
                </c:pt>
                <c:pt idx="25">
                  <c:v>0.27743746809596731</c:v>
                </c:pt>
                <c:pt idx="26">
                  <c:v>0.30693763139453401</c:v>
                </c:pt>
                <c:pt idx="27">
                  <c:v>0.31383527331663474</c:v>
                </c:pt>
                <c:pt idx="28">
                  <c:v>0.44987513378523009</c:v>
                </c:pt>
                <c:pt idx="29">
                  <c:v>0.48499765588373184</c:v>
                </c:pt>
                <c:pt idx="30">
                  <c:v>0.44016943169784678</c:v>
                </c:pt>
                <c:pt idx="31">
                  <c:v>0.73512963904422979</c:v>
                </c:pt>
                <c:pt idx="32">
                  <c:v>0.36709367493995199</c:v>
                </c:pt>
                <c:pt idx="33">
                  <c:v>0.181169757489301</c:v>
                </c:pt>
                <c:pt idx="34">
                  <c:v>0.20896576067772679</c:v>
                </c:pt>
                <c:pt idx="35">
                  <c:v>0.18423437028088191</c:v>
                </c:pt>
                <c:pt idx="36">
                  <c:v>0.22256438969764838</c:v>
                </c:pt>
                <c:pt idx="37">
                  <c:v>0.15921684521610638</c:v>
                </c:pt>
                <c:pt idx="38">
                  <c:v>0.21936603059454346</c:v>
                </c:pt>
                <c:pt idx="39">
                  <c:v>0.23946215440398852</c:v>
                </c:pt>
                <c:pt idx="40">
                  <c:v>0.32394612559034458</c:v>
                </c:pt>
                <c:pt idx="41">
                  <c:v>0.19888587774766636</c:v>
                </c:pt>
                <c:pt idx="42">
                  <c:v>0.12861593235425012</c:v>
                </c:pt>
                <c:pt idx="43">
                  <c:v>0.13773006134969326</c:v>
                </c:pt>
                <c:pt idx="44">
                  <c:v>7.2946733140907896E-2</c:v>
                </c:pt>
                <c:pt idx="45">
                  <c:v>0.14787815673001822</c:v>
                </c:pt>
                <c:pt idx="46">
                  <c:v>0.15152219381826632</c:v>
                </c:pt>
                <c:pt idx="47">
                  <c:v>0.15845668527056539</c:v>
                </c:pt>
                <c:pt idx="48">
                  <c:v>0.34384858044164041</c:v>
                </c:pt>
                <c:pt idx="49">
                  <c:v>0.37569470174138569</c:v>
                </c:pt>
                <c:pt idx="50">
                  <c:v>0.37582187686790197</c:v>
                </c:pt>
                <c:pt idx="51">
                  <c:v>0.3700434356172061</c:v>
                </c:pt>
                <c:pt idx="52">
                  <c:v>0.43304007820136853</c:v>
                </c:pt>
                <c:pt idx="53">
                  <c:v>0.28341245863904474</c:v>
                </c:pt>
                <c:pt idx="54">
                  <c:v>0.16603569497025419</c:v>
                </c:pt>
                <c:pt idx="55">
                  <c:v>0.24451718494271685</c:v>
                </c:pt>
                <c:pt idx="56">
                  <c:v>0.19076714188730481</c:v>
                </c:pt>
                <c:pt idx="57">
                  <c:v>0.13841705818576075</c:v>
                </c:pt>
                <c:pt idx="58">
                  <c:v>8.4402623324779019E-2</c:v>
                </c:pt>
                <c:pt idx="59">
                  <c:v>9.4888178913738019E-2</c:v>
                </c:pt>
                <c:pt idx="60">
                  <c:v>0.26215968185989597</c:v>
                </c:pt>
                <c:pt idx="61">
                  <c:v>0.66192969334330587</c:v>
                </c:pt>
                <c:pt idx="62">
                  <c:v>0.41192787794729541</c:v>
                </c:pt>
                <c:pt idx="63">
                  <c:v>0.4244377811094453</c:v>
                </c:pt>
                <c:pt idx="64">
                  <c:v>0.45366703627435451</c:v>
                </c:pt>
                <c:pt idx="65">
                  <c:v>0.30826600372902424</c:v>
                </c:pt>
                <c:pt idx="66">
                  <c:v>0.18120456905503635</c:v>
                </c:pt>
                <c:pt idx="67">
                  <c:v>0.25391201653380574</c:v>
                </c:pt>
                <c:pt idx="68">
                  <c:v>0.2179245283018868</c:v>
                </c:pt>
                <c:pt idx="69">
                  <c:v>0.16592236344898662</c:v>
                </c:pt>
                <c:pt idx="70">
                  <c:v>0.11547344110854503</c:v>
                </c:pt>
                <c:pt idx="71">
                  <c:v>0.16611405835543766</c:v>
                </c:pt>
                <c:pt idx="72">
                  <c:v>0.15837104072398189</c:v>
                </c:pt>
                <c:pt idx="73">
                  <c:v>0.19392575928008998</c:v>
                </c:pt>
                <c:pt idx="74">
                  <c:v>0.14857671835223327</c:v>
                </c:pt>
                <c:pt idx="75">
                  <c:v>0.31151207873546077</c:v>
                </c:pt>
                <c:pt idx="76">
                  <c:v>0.32004621606008088</c:v>
                </c:pt>
                <c:pt idx="77">
                  <c:v>0.22099644128113879</c:v>
                </c:pt>
                <c:pt idx="78">
                  <c:v>0.16125461254612547</c:v>
                </c:pt>
                <c:pt idx="79">
                  <c:v>0.17483189241114314</c:v>
                </c:pt>
                <c:pt idx="80">
                  <c:v>0.14455917394757745</c:v>
                </c:pt>
                <c:pt idx="81">
                  <c:v>0.13115212527964207</c:v>
                </c:pt>
                <c:pt idx="82">
                  <c:v>0.12524398178269355</c:v>
                </c:pt>
                <c:pt idx="83">
                  <c:v>0.13180417665183156</c:v>
                </c:pt>
                <c:pt idx="84">
                  <c:v>9.8945660989456605E-2</c:v>
                </c:pt>
                <c:pt idx="85">
                  <c:v>0.20927903871829107</c:v>
                </c:pt>
                <c:pt idx="86">
                  <c:v>0.38408259278619966</c:v>
                </c:pt>
                <c:pt idx="87">
                  <c:v>0.36254436254436256</c:v>
                </c:pt>
                <c:pt idx="88">
                  <c:v>0.38620602698272599</c:v>
                </c:pt>
                <c:pt idx="89">
                  <c:v>0.45970307529162246</c:v>
                </c:pt>
                <c:pt idx="90">
                  <c:v>8.6464560204953037E-2</c:v>
                </c:pt>
                <c:pt idx="91">
                  <c:v>0.11663066954643629</c:v>
                </c:pt>
                <c:pt idx="92">
                  <c:v>0.14806110458284372</c:v>
                </c:pt>
                <c:pt idx="93">
                  <c:v>8.2373782108060234E-2</c:v>
                </c:pt>
                <c:pt idx="94">
                  <c:v>8.5894857799482902E-2</c:v>
                </c:pt>
                <c:pt idx="95">
                  <c:v>0.12014674411494956</c:v>
                </c:pt>
              </c:numCache>
            </c:numRef>
          </c:xVal>
          <c:yVal>
            <c:numRef>
              <c:f>Sheet3!$P$2:$P$97</c:f>
              <c:numCache>
                <c:formatCode>General</c:formatCode>
                <c:ptCount val="96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44.713590448552907</c:v>
                </c:pt>
                <c:pt idx="47">
                  <c:v>66.839047749837235</c:v>
                </c:pt>
                <c:pt idx="48">
                  <c:v>91.333141871861045</c:v>
                </c:pt>
                <c:pt idx="49">
                  <c:v>82.057619730631515</c:v>
                </c:pt>
                <c:pt idx="50">
                  <c:v>114.99272606589579</c:v>
                </c:pt>
                <c:pt idx="51">
                  <c:v>85.593600082397458</c:v>
                </c:pt>
                <c:pt idx="52">
                  <c:v>82.403052480597239</c:v>
                </c:pt>
                <c:pt idx="53">
                  <c:v>131.27382693083391</c:v>
                </c:pt>
                <c:pt idx="54">
                  <c:v>101.5196506500244</c:v>
                </c:pt>
                <c:pt idx="55">
                  <c:v>94.377048674083895</c:v>
                </c:pt>
                <c:pt idx="56">
                  <c:v>107.7004757835751</c:v>
                </c:pt>
                <c:pt idx="57">
                  <c:v>172.4152992248535</c:v>
                </c:pt>
                <c:pt idx="58">
                  <c:v>235.95530567998469</c:v>
                </c:pt>
                <c:pt idx="59">
                  <c:v>201.47780863444009</c:v>
                </c:pt>
                <c:pt idx="60">
                  <c:v>135.47933342343279</c:v>
                </c:pt>
                <c:pt idx="61">
                  <c:v>119.3362379528227</c:v>
                </c:pt>
                <c:pt idx="62">
                  <c:v>116.1687149774461</c:v>
                </c:pt>
                <c:pt idx="63">
                  <c:v>63.684649848937987</c:v>
                </c:pt>
                <c:pt idx="64">
                  <c:v>52.793158280222038</c:v>
                </c:pt>
                <c:pt idx="65">
                  <c:v>44.025304213814117</c:v>
                </c:pt>
                <c:pt idx="66">
                  <c:v>42.070315712376647</c:v>
                </c:pt>
                <c:pt idx="67">
                  <c:v>32.051181793212891</c:v>
                </c:pt>
                <c:pt idx="68">
                  <c:v>32.47385715302967</c:v>
                </c:pt>
                <c:pt idx="69">
                  <c:v>29.15274991989136</c:v>
                </c:pt>
                <c:pt idx="70">
                  <c:v>35.000434875488281</c:v>
                </c:pt>
                <c:pt idx="71">
                  <c:v>37.043300437927243</c:v>
                </c:pt>
                <c:pt idx="72">
                  <c:v>47.068136388605289</c:v>
                </c:pt>
                <c:pt idx="73">
                  <c:v>45.735636451027609</c:v>
                </c:pt>
                <c:pt idx="74">
                  <c:v>35.9706995010376</c:v>
                </c:pt>
                <c:pt idx="75">
                  <c:v>29.907999946957538</c:v>
                </c:pt>
                <c:pt idx="76">
                  <c:v>25.866250133514409</c:v>
                </c:pt>
                <c:pt idx="77">
                  <c:v>26.852850055694581</c:v>
                </c:pt>
                <c:pt idx="78">
                  <c:v>28.961809339977449</c:v>
                </c:pt>
                <c:pt idx="79">
                  <c:v>31.812363711270422</c:v>
                </c:pt>
                <c:pt idx="80">
                  <c:v>34.4207370155736</c:v>
                </c:pt>
                <c:pt idx="81">
                  <c:v>32.523045453158289</c:v>
                </c:pt>
                <c:pt idx="82">
                  <c:v>38.347045725042172</c:v>
                </c:pt>
                <c:pt idx="83">
                  <c:v>36.082599830627437</c:v>
                </c:pt>
                <c:pt idx="84">
                  <c:v>40.423434547756031</c:v>
                </c:pt>
                <c:pt idx="85">
                  <c:v>44.633600425720218</c:v>
                </c:pt>
                <c:pt idx="86">
                  <c:v>45.153618585495721</c:v>
                </c:pt>
                <c:pt idx="87">
                  <c:v>48.350666591099333</c:v>
                </c:pt>
                <c:pt idx="88">
                  <c:v>50.380420885587988</c:v>
                </c:pt>
                <c:pt idx="89">
                  <c:v>41.781190781366263</c:v>
                </c:pt>
                <c:pt idx="90">
                  <c:v>35.213476544334767</c:v>
                </c:pt>
                <c:pt idx="91">
                  <c:v>35.177713848295667</c:v>
                </c:pt>
                <c:pt idx="92">
                  <c:v>36.388399887084958</c:v>
                </c:pt>
                <c:pt idx="93">
                  <c:v>33.937173760455593</c:v>
                </c:pt>
                <c:pt idx="94">
                  <c:v>32.695904413859047</c:v>
                </c:pt>
                <c:pt idx="95">
                  <c:v>32.340333121163503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C-7D45-B12B-B3FB4FAE3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845568"/>
        <c:axId val="1595846464"/>
      </c:scatterChart>
      <c:valAx>
        <c:axId val="159584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46464"/>
        <c:crosses val="autoZero"/>
        <c:crossBetween val="midCat"/>
      </c:valAx>
      <c:valAx>
        <c:axId val="15958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4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Türkiye'de LNG İthalatını Tüketimdeki</a:t>
            </a:r>
            <a:r>
              <a:rPr lang="en-GB" baseline="0"/>
              <a:t> Oranı ve TTF Fiyatları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Sheet3!$P$1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Sheet3!$N$17:$N$65</c:f>
              <c:strCache>
                <c:ptCount val="49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</c:strCache>
            </c:strRef>
          </c:cat>
          <c:val>
            <c:numRef>
              <c:f>Sheet3!$P$17:$P$65</c:f>
              <c:numCache>
                <c:formatCode>General</c:formatCode>
                <c:ptCount val="49"/>
                <c:pt idx="0">
                  <c:v>21.692857015700572</c:v>
                </c:pt>
                <c:pt idx="1">
                  <c:v>18.085263101678141</c:v>
                </c:pt>
                <c:pt idx="2">
                  <c:v>15.62833331880115</c:v>
                </c:pt>
                <c:pt idx="3">
                  <c:v>14.94047614506313</c:v>
                </c:pt>
                <c:pt idx="4">
                  <c:v>13.29159086400812</c:v>
                </c:pt>
                <c:pt idx="5">
                  <c:v>10.842249965667721</c:v>
                </c:pt>
                <c:pt idx="6">
                  <c:v>11.03227272900668</c:v>
                </c:pt>
                <c:pt idx="7">
                  <c:v>11.275454477830371</c:v>
                </c:pt>
                <c:pt idx="8">
                  <c:v>13.0949999332428</c:v>
                </c:pt>
                <c:pt idx="9">
                  <c:v>15.611739241558571</c:v>
                </c:pt>
                <c:pt idx="10">
                  <c:v>15.909500026702879</c:v>
                </c:pt>
                <c:pt idx="11">
                  <c:v>14.187619118463431</c:v>
                </c:pt>
                <c:pt idx="12">
                  <c:v>11.193095207214361</c:v>
                </c:pt>
                <c:pt idx="13">
                  <c:v>9.083684168363872</c:v>
                </c:pt>
                <c:pt idx="14">
                  <c:v>8.3850000121376738</c:v>
                </c:pt>
                <c:pt idx="15">
                  <c:v>6.6571428435189386</c:v>
                </c:pt>
                <c:pt idx="16">
                  <c:v>4.9372499704360964</c:v>
                </c:pt>
                <c:pt idx="17">
                  <c:v>5.3118181445381856</c:v>
                </c:pt>
                <c:pt idx="18">
                  <c:v>5.332045446742665</c:v>
                </c:pt>
                <c:pt idx="19">
                  <c:v>8.2552380561828613</c:v>
                </c:pt>
                <c:pt idx="20">
                  <c:v>11.44357145400274</c:v>
                </c:pt>
                <c:pt idx="21">
                  <c:v>14.17522729526867</c:v>
                </c:pt>
                <c:pt idx="22">
                  <c:v>13.94175000190735</c:v>
                </c:pt>
                <c:pt idx="23">
                  <c:v>16.423181663859971</c:v>
                </c:pt>
                <c:pt idx="24">
                  <c:v>20.44157911601819</c:v>
                </c:pt>
                <c:pt idx="25">
                  <c:v>17.415000012046409</c:v>
                </c:pt>
                <c:pt idx="26">
                  <c:v>17.563912972160011</c:v>
                </c:pt>
                <c:pt idx="27">
                  <c:v>20.39285741533552</c:v>
                </c:pt>
                <c:pt idx="28">
                  <c:v>25.01800003051758</c:v>
                </c:pt>
                <c:pt idx="29">
                  <c:v>29.168272712013941</c:v>
                </c:pt>
                <c:pt idx="30">
                  <c:v>36.019524165562217</c:v>
                </c:pt>
                <c:pt idx="31">
                  <c:v>44.713590448552907</c:v>
                </c:pt>
                <c:pt idx="32">
                  <c:v>66.839047749837235</c:v>
                </c:pt>
                <c:pt idx="33">
                  <c:v>91.333141871861045</c:v>
                </c:pt>
                <c:pt idx="34">
                  <c:v>82.057619730631515</c:v>
                </c:pt>
                <c:pt idx="35">
                  <c:v>114.99272606589579</c:v>
                </c:pt>
                <c:pt idx="36">
                  <c:v>85.593600082397458</c:v>
                </c:pt>
                <c:pt idx="37">
                  <c:v>82.403052480597239</c:v>
                </c:pt>
                <c:pt idx="38">
                  <c:v>131.27382693083391</c:v>
                </c:pt>
                <c:pt idx="39">
                  <c:v>101.5196506500244</c:v>
                </c:pt>
                <c:pt idx="40">
                  <c:v>94.377048674083895</c:v>
                </c:pt>
                <c:pt idx="41">
                  <c:v>107.7004757835751</c:v>
                </c:pt>
                <c:pt idx="42">
                  <c:v>172.4152992248535</c:v>
                </c:pt>
                <c:pt idx="43">
                  <c:v>235.95530567998469</c:v>
                </c:pt>
                <c:pt idx="44">
                  <c:v>201.47780863444009</c:v>
                </c:pt>
                <c:pt idx="45">
                  <c:v>135.47933342343279</c:v>
                </c:pt>
                <c:pt idx="46">
                  <c:v>119.3362379528227</c:v>
                </c:pt>
                <c:pt idx="47">
                  <c:v>116.1687149774461</c:v>
                </c:pt>
                <c:pt idx="48">
                  <c:v>63.684649848937987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2A-1946-863D-F7FFD443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59712"/>
        <c:axId val="1623569984"/>
      </c:lineChart>
      <c:lineChart>
        <c:grouping val="standard"/>
        <c:varyColors val="0"/>
        <c:ser>
          <c:idx val="0"/>
          <c:order val="0"/>
          <c:tx>
            <c:strRef>
              <c:f>Sheet3!$O$1</c:f>
              <c:strCache>
                <c:ptCount val="1"/>
                <c:pt idx="0">
                  <c:v>LNG İthalat Oranı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Sheet3!$N$17:$N$65</c:f>
              <c:strCache>
                <c:ptCount val="49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  <c:pt idx="23">
                  <c:v>2020-12</c:v>
                </c:pt>
                <c:pt idx="24">
                  <c:v>2021-01</c:v>
                </c:pt>
                <c:pt idx="25">
                  <c:v>2021-02</c:v>
                </c:pt>
                <c:pt idx="26">
                  <c:v>2021-03</c:v>
                </c:pt>
                <c:pt idx="27">
                  <c:v>2021-04</c:v>
                </c:pt>
                <c:pt idx="28">
                  <c:v>2021-05</c:v>
                </c:pt>
                <c:pt idx="29">
                  <c:v>2021-06</c:v>
                </c:pt>
                <c:pt idx="30">
                  <c:v>2021-07</c:v>
                </c:pt>
                <c:pt idx="31">
                  <c:v>2021-08</c:v>
                </c:pt>
                <c:pt idx="32">
                  <c:v>2021-09</c:v>
                </c:pt>
                <c:pt idx="33">
                  <c:v>2021-10</c:v>
                </c:pt>
                <c:pt idx="34">
                  <c:v>2021-11</c:v>
                </c:pt>
                <c:pt idx="35">
                  <c:v>2021-12</c:v>
                </c:pt>
                <c:pt idx="36">
                  <c:v>2022-01</c:v>
                </c:pt>
                <c:pt idx="37">
                  <c:v>2022-02</c:v>
                </c:pt>
                <c:pt idx="38">
                  <c:v>2022-03</c:v>
                </c:pt>
                <c:pt idx="39">
                  <c:v>2022-04</c:v>
                </c:pt>
                <c:pt idx="40">
                  <c:v>2022-05</c:v>
                </c:pt>
                <c:pt idx="41">
                  <c:v>2022-06</c:v>
                </c:pt>
                <c:pt idx="42">
                  <c:v>2022-07</c:v>
                </c:pt>
                <c:pt idx="43">
                  <c:v>2022-08</c:v>
                </c:pt>
                <c:pt idx="44">
                  <c:v>2022-09</c:v>
                </c:pt>
                <c:pt idx="45">
                  <c:v>2022-10</c:v>
                </c:pt>
                <c:pt idx="46">
                  <c:v>2022-11</c:v>
                </c:pt>
                <c:pt idx="47">
                  <c:v>2022-12</c:v>
                </c:pt>
                <c:pt idx="48">
                  <c:v>2023-01</c:v>
                </c:pt>
              </c:strCache>
            </c:strRef>
          </c:cat>
          <c:val>
            <c:numRef>
              <c:f>Sheet3!$O$17:$O$65</c:f>
              <c:numCache>
                <c:formatCode>0%</c:formatCode>
                <c:ptCount val="49"/>
                <c:pt idx="0">
                  <c:v>0.37831286360698124</c:v>
                </c:pt>
                <c:pt idx="1">
                  <c:v>0.34899052327976926</c:v>
                </c:pt>
                <c:pt idx="2">
                  <c:v>0.26749482401656316</c:v>
                </c:pt>
                <c:pt idx="3">
                  <c:v>0.18544474393530996</c:v>
                </c:pt>
                <c:pt idx="4">
                  <c:v>0.18600078647267007</c:v>
                </c:pt>
                <c:pt idx="5">
                  <c:v>0.30125523012552302</c:v>
                </c:pt>
                <c:pt idx="6">
                  <c:v>0.19106368789596531</c:v>
                </c:pt>
                <c:pt idx="7">
                  <c:v>0.30704441041347624</c:v>
                </c:pt>
                <c:pt idx="8">
                  <c:v>0.22058823529411764</c:v>
                </c:pt>
                <c:pt idx="9">
                  <c:v>0.26777087646652864</c:v>
                </c:pt>
                <c:pt idx="10">
                  <c:v>0.27743746809596731</c:v>
                </c:pt>
                <c:pt idx="11">
                  <c:v>0.30693763139453401</c:v>
                </c:pt>
                <c:pt idx="12">
                  <c:v>0.31383527331663474</c:v>
                </c:pt>
                <c:pt idx="13">
                  <c:v>0.44987513378523009</c:v>
                </c:pt>
                <c:pt idx="14">
                  <c:v>0.48499765588373184</c:v>
                </c:pt>
                <c:pt idx="15">
                  <c:v>0.44016943169784678</c:v>
                </c:pt>
                <c:pt idx="16">
                  <c:v>0.73512963904422979</c:v>
                </c:pt>
                <c:pt idx="17">
                  <c:v>0.36709367493995199</c:v>
                </c:pt>
                <c:pt idx="18">
                  <c:v>0.181169757489301</c:v>
                </c:pt>
                <c:pt idx="19">
                  <c:v>0.20896576067772679</c:v>
                </c:pt>
                <c:pt idx="20">
                  <c:v>0.18423437028088191</c:v>
                </c:pt>
                <c:pt idx="21">
                  <c:v>0.22256438969764838</c:v>
                </c:pt>
                <c:pt idx="22">
                  <c:v>0.15921684521610638</c:v>
                </c:pt>
                <c:pt idx="23">
                  <c:v>0.21936603059454346</c:v>
                </c:pt>
                <c:pt idx="24">
                  <c:v>0.23946215440398852</c:v>
                </c:pt>
                <c:pt idx="25">
                  <c:v>0.32394612559034458</c:v>
                </c:pt>
                <c:pt idx="26">
                  <c:v>0.19888587774766636</c:v>
                </c:pt>
                <c:pt idx="27">
                  <c:v>0.12861593235425012</c:v>
                </c:pt>
                <c:pt idx="28">
                  <c:v>0.13773006134969326</c:v>
                </c:pt>
                <c:pt idx="29">
                  <c:v>7.2946733140907896E-2</c:v>
                </c:pt>
                <c:pt idx="30">
                  <c:v>0.14787815673001822</c:v>
                </c:pt>
                <c:pt idx="31">
                  <c:v>0.15152219381826632</c:v>
                </c:pt>
                <c:pt idx="32">
                  <c:v>0.15845668527056539</c:v>
                </c:pt>
                <c:pt idx="33">
                  <c:v>0.34384858044164041</c:v>
                </c:pt>
                <c:pt idx="34">
                  <c:v>0.37569470174138569</c:v>
                </c:pt>
                <c:pt idx="35">
                  <c:v>0.37582187686790197</c:v>
                </c:pt>
                <c:pt idx="36">
                  <c:v>0.3700434356172061</c:v>
                </c:pt>
                <c:pt idx="37">
                  <c:v>0.43304007820136853</c:v>
                </c:pt>
                <c:pt idx="38">
                  <c:v>0.28341245863904474</c:v>
                </c:pt>
                <c:pt idx="39">
                  <c:v>0.16603569497025419</c:v>
                </c:pt>
                <c:pt idx="40">
                  <c:v>0.24451718494271685</c:v>
                </c:pt>
                <c:pt idx="41">
                  <c:v>0.19076714188730481</c:v>
                </c:pt>
                <c:pt idx="42">
                  <c:v>0.13841705818576075</c:v>
                </c:pt>
                <c:pt idx="43">
                  <c:v>8.4402623324779019E-2</c:v>
                </c:pt>
                <c:pt idx="44">
                  <c:v>9.4888178913738019E-2</c:v>
                </c:pt>
                <c:pt idx="45">
                  <c:v>0.26215968185989597</c:v>
                </c:pt>
                <c:pt idx="46">
                  <c:v>0.66192969334330587</c:v>
                </c:pt>
                <c:pt idx="47">
                  <c:v>0.41192787794729541</c:v>
                </c:pt>
                <c:pt idx="48">
                  <c:v>0.4244377811094453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A-1946-863D-F7FFD443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24256"/>
        <c:axId val="1631235904"/>
      </c:lineChart>
      <c:catAx>
        <c:axId val="16312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69984"/>
        <c:crosses val="autoZero"/>
        <c:auto val="1"/>
        <c:lblAlgn val="ctr"/>
        <c:lblOffset val="100"/>
        <c:noMultiLvlLbl val="0"/>
      </c:catAx>
      <c:valAx>
        <c:axId val="16235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€/MWh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59712"/>
        <c:crosses val="autoZero"/>
        <c:crossBetween val="between"/>
      </c:valAx>
      <c:valAx>
        <c:axId val="16312359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24256"/>
        <c:crosses val="max"/>
        <c:crossBetween val="between"/>
      </c:valAx>
      <c:catAx>
        <c:axId val="16312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12359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950914129773036"/>
          <c:y val="0.20562023459281761"/>
          <c:w val="0.23326195036128461"/>
          <c:h val="5.3221820663369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Sheet3!$P$1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Sheet3!$N$2:$N$97</c:f>
              <c:strCache>
                <c:ptCount val="96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2021-09</c:v>
                </c:pt>
                <c:pt idx="48">
                  <c:v>2021-10</c:v>
                </c:pt>
                <c:pt idx="49">
                  <c:v>2021-11</c:v>
                </c:pt>
                <c:pt idx="50">
                  <c:v>2021-12</c:v>
                </c:pt>
                <c:pt idx="51">
                  <c:v>2022-01</c:v>
                </c:pt>
                <c:pt idx="52">
                  <c:v>2022-02</c:v>
                </c:pt>
                <c:pt idx="53">
                  <c:v>2022-03</c:v>
                </c:pt>
                <c:pt idx="54">
                  <c:v>2022-04</c:v>
                </c:pt>
                <c:pt idx="55">
                  <c:v>2022-05</c:v>
                </c:pt>
                <c:pt idx="56">
                  <c:v>2022-06</c:v>
                </c:pt>
                <c:pt idx="57">
                  <c:v>2022-07</c:v>
                </c:pt>
                <c:pt idx="58">
                  <c:v>2022-08</c:v>
                </c:pt>
                <c:pt idx="59">
                  <c:v>2022-09</c:v>
                </c:pt>
                <c:pt idx="60">
                  <c:v>2022-10</c:v>
                </c:pt>
                <c:pt idx="61">
                  <c:v>2022-11</c:v>
                </c:pt>
                <c:pt idx="62">
                  <c:v>2022-12</c:v>
                </c:pt>
                <c:pt idx="63">
                  <c:v>2023-01</c:v>
                </c:pt>
                <c:pt idx="64">
                  <c:v>2023-02</c:v>
                </c:pt>
                <c:pt idx="65">
                  <c:v>2023-03</c:v>
                </c:pt>
                <c:pt idx="66">
                  <c:v>2023-04</c:v>
                </c:pt>
                <c:pt idx="67">
                  <c:v>2023-05</c:v>
                </c:pt>
                <c:pt idx="68">
                  <c:v>2023-06</c:v>
                </c:pt>
                <c:pt idx="69">
                  <c:v>2023-07</c:v>
                </c:pt>
                <c:pt idx="70">
                  <c:v>2023-08</c:v>
                </c:pt>
                <c:pt idx="71">
                  <c:v>2023-09</c:v>
                </c:pt>
                <c:pt idx="72">
                  <c:v>2023-10</c:v>
                </c:pt>
                <c:pt idx="73">
                  <c:v>2023-11</c:v>
                </c:pt>
                <c:pt idx="74">
                  <c:v>2023-12</c:v>
                </c:pt>
                <c:pt idx="75">
                  <c:v>2024-01</c:v>
                </c:pt>
                <c:pt idx="76">
                  <c:v>2024-02</c:v>
                </c:pt>
                <c:pt idx="77">
                  <c:v>2024-03</c:v>
                </c:pt>
                <c:pt idx="78">
                  <c:v>2024-04</c:v>
                </c:pt>
                <c:pt idx="79">
                  <c:v>2024-05</c:v>
                </c:pt>
                <c:pt idx="80">
                  <c:v>2024-06</c:v>
                </c:pt>
                <c:pt idx="81">
                  <c:v>2024-07</c:v>
                </c:pt>
                <c:pt idx="82">
                  <c:v>2024-08</c:v>
                </c:pt>
                <c:pt idx="83">
                  <c:v>2024-09</c:v>
                </c:pt>
                <c:pt idx="84">
                  <c:v>2024-10</c:v>
                </c:pt>
                <c:pt idx="85">
                  <c:v>2024-11</c:v>
                </c:pt>
                <c:pt idx="86">
                  <c:v>2024-12</c:v>
                </c:pt>
                <c:pt idx="87">
                  <c:v>2025-01</c:v>
                </c:pt>
                <c:pt idx="88">
                  <c:v>2025-02</c:v>
                </c:pt>
                <c:pt idx="89">
                  <c:v>2025-03</c:v>
                </c:pt>
                <c:pt idx="90">
                  <c:v>2025-04</c:v>
                </c:pt>
                <c:pt idx="91">
                  <c:v>2025-05</c:v>
                </c:pt>
                <c:pt idx="92">
                  <c:v>2025-06</c:v>
                </c:pt>
                <c:pt idx="93">
                  <c:v>2025-07</c:v>
                </c:pt>
                <c:pt idx="94">
                  <c:v>2025-08</c:v>
                </c:pt>
                <c:pt idx="95">
                  <c:v>2025-09</c:v>
                </c:pt>
              </c:strCache>
            </c:strRef>
          </c:cat>
          <c:val>
            <c:numRef>
              <c:f>Sheet3!$P$2:$P$97</c:f>
              <c:numCache>
                <c:formatCode>General</c:formatCode>
                <c:ptCount val="96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44.713590448552907</c:v>
                </c:pt>
                <c:pt idx="47">
                  <c:v>66.839047749837235</c:v>
                </c:pt>
                <c:pt idx="48">
                  <c:v>91.333141871861045</c:v>
                </c:pt>
                <c:pt idx="49">
                  <c:v>82.057619730631515</c:v>
                </c:pt>
                <c:pt idx="50">
                  <c:v>114.99272606589579</c:v>
                </c:pt>
                <c:pt idx="51">
                  <c:v>85.593600082397458</c:v>
                </c:pt>
                <c:pt idx="52">
                  <c:v>82.403052480597239</c:v>
                </c:pt>
                <c:pt idx="53">
                  <c:v>131.27382693083391</c:v>
                </c:pt>
                <c:pt idx="54">
                  <c:v>101.5196506500244</c:v>
                </c:pt>
                <c:pt idx="55">
                  <c:v>94.377048674083895</c:v>
                </c:pt>
                <c:pt idx="56">
                  <c:v>107.7004757835751</c:v>
                </c:pt>
                <c:pt idx="57">
                  <c:v>172.4152992248535</c:v>
                </c:pt>
                <c:pt idx="58">
                  <c:v>235.95530567998469</c:v>
                </c:pt>
                <c:pt idx="59">
                  <c:v>201.47780863444009</c:v>
                </c:pt>
                <c:pt idx="60">
                  <c:v>135.47933342343279</c:v>
                </c:pt>
                <c:pt idx="61">
                  <c:v>119.3362379528227</c:v>
                </c:pt>
                <c:pt idx="62">
                  <c:v>116.1687149774461</c:v>
                </c:pt>
                <c:pt idx="63">
                  <c:v>63.684649848937987</c:v>
                </c:pt>
                <c:pt idx="64">
                  <c:v>52.793158280222038</c:v>
                </c:pt>
                <c:pt idx="65">
                  <c:v>44.025304213814117</c:v>
                </c:pt>
                <c:pt idx="66">
                  <c:v>42.070315712376647</c:v>
                </c:pt>
                <c:pt idx="67">
                  <c:v>32.051181793212891</c:v>
                </c:pt>
                <c:pt idx="68">
                  <c:v>32.47385715302967</c:v>
                </c:pt>
                <c:pt idx="69">
                  <c:v>29.15274991989136</c:v>
                </c:pt>
                <c:pt idx="70">
                  <c:v>35.000434875488281</c:v>
                </c:pt>
                <c:pt idx="71">
                  <c:v>37.043300437927243</c:v>
                </c:pt>
                <c:pt idx="72">
                  <c:v>47.068136388605289</c:v>
                </c:pt>
                <c:pt idx="73">
                  <c:v>45.735636451027609</c:v>
                </c:pt>
                <c:pt idx="74">
                  <c:v>35.9706995010376</c:v>
                </c:pt>
                <c:pt idx="75">
                  <c:v>29.907999946957538</c:v>
                </c:pt>
                <c:pt idx="76">
                  <c:v>25.866250133514409</c:v>
                </c:pt>
                <c:pt idx="77">
                  <c:v>26.852850055694581</c:v>
                </c:pt>
                <c:pt idx="78">
                  <c:v>28.961809339977449</c:v>
                </c:pt>
                <c:pt idx="79">
                  <c:v>31.812363711270422</c:v>
                </c:pt>
                <c:pt idx="80">
                  <c:v>34.4207370155736</c:v>
                </c:pt>
                <c:pt idx="81">
                  <c:v>32.523045453158289</c:v>
                </c:pt>
                <c:pt idx="82">
                  <c:v>38.347045725042172</c:v>
                </c:pt>
                <c:pt idx="83">
                  <c:v>36.082599830627437</c:v>
                </c:pt>
                <c:pt idx="84">
                  <c:v>40.423434547756031</c:v>
                </c:pt>
                <c:pt idx="85">
                  <c:v>44.633600425720218</c:v>
                </c:pt>
                <c:pt idx="86">
                  <c:v>45.153618585495721</c:v>
                </c:pt>
                <c:pt idx="87">
                  <c:v>48.350666591099333</c:v>
                </c:pt>
                <c:pt idx="88">
                  <c:v>50.380420885587988</c:v>
                </c:pt>
                <c:pt idx="89">
                  <c:v>41.781190781366263</c:v>
                </c:pt>
                <c:pt idx="90">
                  <c:v>35.213476544334767</c:v>
                </c:pt>
                <c:pt idx="91">
                  <c:v>35.177713848295667</c:v>
                </c:pt>
                <c:pt idx="92">
                  <c:v>36.388399887084958</c:v>
                </c:pt>
                <c:pt idx="93">
                  <c:v>33.937173760455593</c:v>
                </c:pt>
                <c:pt idx="94">
                  <c:v>32.695904413859047</c:v>
                </c:pt>
                <c:pt idx="95">
                  <c:v>32.340333121163503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3-3644-B42C-58D2E055E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59712"/>
        <c:axId val="1623569984"/>
      </c:lineChart>
      <c:lineChart>
        <c:grouping val="standard"/>
        <c:varyColors val="0"/>
        <c:ser>
          <c:idx val="0"/>
          <c:order val="0"/>
          <c:tx>
            <c:strRef>
              <c:f>Sheet3!$O$1</c:f>
              <c:strCache>
                <c:ptCount val="1"/>
                <c:pt idx="0">
                  <c:v>LNG İthalat Oranı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Sheet3!$N$2:$N$97</c:f>
              <c:strCache>
                <c:ptCount val="96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2021-09</c:v>
                </c:pt>
                <c:pt idx="48">
                  <c:v>2021-10</c:v>
                </c:pt>
                <c:pt idx="49">
                  <c:v>2021-11</c:v>
                </c:pt>
                <c:pt idx="50">
                  <c:v>2021-12</c:v>
                </c:pt>
                <c:pt idx="51">
                  <c:v>2022-01</c:v>
                </c:pt>
                <c:pt idx="52">
                  <c:v>2022-02</c:v>
                </c:pt>
                <c:pt idx="53">
                  <c:v>2022-03</c:v>
                </c:pt>
                <c:pt idx="54">
                  <c:v>2022-04</c:v>
                </c:pt>
                <c:pt idx="55">
                  <c:v>2022-05</c:v>
                </c:pt>
                <c:pt idx="56">
                  <c:v>2022-06</c:v>
                </c:pt>
                <c:pt idx="57">
                  <c:v>2022-07</c:v>
                </c:pt>
                <c:pt idx="58">
                  <c:v>2022-08</c:v>
                </c:pt>
                <c:pt idx="59">
                  <c:v>2022-09</c:v>
                </c:pt>
                <c:pt idx="60">
                  <c:v>2022-10</c:v>
                </c:pt>
                <c:pt idx="61">
                  <c:v>2022-11</c:v>
                </c:pt>
                <c:pt idx="62">
                  <c:v>2022-12</c:v>
                </c:pt>
                <c:pt idx="63">
                  <c:v>2023-01</c:v>
                </c:pt>
                <c:pt idx="64">
                  <c:v>2023-02</c:v>
                </c:pt>
                <c:pt idx="65">
                  <c:v>2023-03</c:v>
                </c:pt>
                <c:pt idx="66">
                  <c:v>2023-04</c:v>
                </c:pt>
                <c:pt idx="67">
                  <c:v>2023-05</c:v>
                </c:pt>
                <c:pt idx="68">
                  <c:v>2023-06</c:v>
                </c:pt>
                <c:pt idx="69">
                  <c:v>2023-07</c:v>
                </c:pt>
                <c:pt idx="70">
                  <c:v>2023-08</c:v>
                </c:pt>
                <c:pt idx="71">
                  <c:v>2023-09</c:v>
                </c:pt>
                <c:pt idx="72">
                  <c:v>2023-10</c:v>
                </c:pt>
                <c:pt idx="73">
                  <c:v>2023-11</c:v>
                </c:pt>
                <c:pt idx="74">
                  <c:v>2023-12</c:v>
                </c:pt>
                <c:pt idx="75">
                  <c:v>2024-01</c:v>
                </c:pt>
                <c:pt idx="76">
                  <c:v>2024-02</c:v>
                </c:pt>
                <c:pt idx="77">
                  <c:v>2024-03</c:v>
                </c:pt>
                <c:pt idx="78">
                  <c:v>2024-04</c:v>
                </c:pt>
                <c:pt idx="79">
                  <c:v>2024-05</c:v>
                </c:pt>
                <c:pt idx="80">
                  <c:v>2024-06</c:v>
                </c:pt>
                <c:pt idx="81">
                  <c:v>2024-07</c:v>
                </c:pt>
                <c:pt idx="82">
                  <c:v>2024-08</c:v>
                </c:pt>
                <c:pt idx="83">
                  <c:v>2024-09</c:v>
                </c:pt>
                <c:pt idx="84">
                  <c:v>2024-10</c:v>
                </c:pt>
                <c:pt idx="85">
                  <c:v>2024-11</c:v>
                </c:pt>
                <c:pt idx="86">
                  <c:v>2024-12</c:v>
                </c:pt>
                <c:pt idx="87">
                  <c:v>2025-01</c:v>
                </c:pt>
                <c:pt idx="88">
                  <c:v>2025-02</c:v>
                </c:pt>
                <c:pt idx="89">
                  <c:v>2025-03</c:v>
                </c:pt>
                <c:pt idx="90">
                  <c:v>2025-04</c:v>
                </c:pt>
                <c:pt idx="91">
                  <c:v>2025-05</c:v>
                </c:pt>
                <c:pt idx="92">
                  <c:v>2025-06</c:v>
                </c:pt>
                <c:pt idx="93">
                  <c:v>2025-07</c:v>
                </c:pt>
                <c:pt idx="94">
                  <c:v>2025-08</c:v>
                </c:pt>
                <c:pt idx="95">
                  <c:v>2025-09</c:v>
                </c:pt>
              </c:strCache>
            </c:strRef>
          </c:cat>
          <c:val>
            <c:numRef>
              <c:f>Sheet3!$O$2:$O$97</c:f>
              <c:numCache>
                <c:formatCode>0%</c:formatCode>
                <c:ptCount val="96"/>
                <c:pt idx="0">
                  <c:v>0.12991094814038764</c:v>
                </c:pt>
                <c:pt idx="1">
                  <c:v>0.23781313473256602</c:v>
                </c:pt>
                <c:pt idx="2">
                  <c:v>0.3512169124178362</c:v>
                </c:pt>
                <c:pt idx="3">
                  <c:v>0.3015848592091091</c:v>
                </c:pt>
                <c:pt idx="4">
                  <c:v>0.31279442246090072</c:v>
                </c:pt>
                <c:pt idx="5">
                  <c:v>0.20658813263525305</c:v>
                </c:pt>
                <c:pt idx="6">
                  <c:v>0.17360319270239452</c:v>
                </c:pt>
                <c:pt idx="7">
                  <c:v>0.17087438423645321</c:v>
                </c:pt>
                <c:pt idx="8">
                  <c:v>0.20923579893747446</c:v>
                </c:pt>
                <c:pt idx="9">
                  <c:v>0.1245221190606226</c:v>
                </c:pt>
                <c:pt idx="10">
                  <c:v>0.1516796742449949</c:v>
                </c:pt>
                <c:pt idx="11">
                  <c:v>9.8135126872516049E-2</c:v>
                </c:pt>
                <c:pt idx="12">
                  <c:v>0.19064454718520532</c:v>
                </c:pt>
                <c:pt idx="13">
                  <c:v>0.16967680608365018</c:v>
                </c:pt>
                <c:pt idx="14">
                  <c:v>0.33958602846054331</c:v>
                </c:pt>
                <c:pt idx="15">
                  <c:v>0.37831286360698124</c:v>
                </c:pt>
                <c:pt idx="16">
                  <c:v>0.34899052327976926</c:v>
                </c:pt>
                <c:pt idx="17">
                  <c:v>0.26749482401656316</c:v>
                </c:pt>
                <c:pt idx="18">
                  <c:v>0.18544474393530996</c:v>
                </c:pt>
                <c:pt idx="19">
                  <c:v>0.18600078647267007</c:v>
                </c:pt>
                <c:pt idx="20">
                  <c:v>0.30125523012552302</c:v>
                </c:pt>
                <c:pt idx="21">
                  <c:v>0.19106368789596531</c:v>
                </c:pt>
                <c:pt idx="22">
                  <c:v>0.30704441041347624</c:v>
                </c:pt>
                <c:pt idx="23">
                  <c:v>0.22058823529411764</c:v>
                </c:pt>
                <c:pt idx="24">
                  <c:v>0.26777087646652864</c:v>
                </c:pt>
                <c:pt idx="25">
                  <c:v>0.27743746809596731</c:v>
                </c:pt>
                <c:pt idx="26">
                  <c:v>0.30693763139453401</c:v>
                </c:pt>
                <c:pt idx="27">
                  <c:v>0.31383527331663474</c:v>
                </c:pt>
                <c:pt idx="28">
                  <c:v>0.44987513378523009</c:v>
                </c:pt>
                <c:pt idx="29">
                  <c:v>0.48499765588373184</c:v>
                </c:pt>
                <c:pt idx="30">
                  <c:v>0.44016943169784678</c:v>
                </c:pt>
                <c:pt idx="31">
                  <c:v>0.73512963904422979</c:v>
                </c:pt>
                <c:pt idx="32">
                  <c:v>0.36709367493995199</c:v>
                </c:pt>
                <c:pt idx="33">
                  <c:v>0.181169757489301</c:v>
                </c:pt>
                <c:pt idx="34">
                  <c:v>0.20896576067772679</c:v>
                </c:pt>
                <c:pt idx="35">
                  <c:v>0.18423437028088191</c:v>
                </c:pt>
                <c:pt idx="36">
                  <c:v>0.22256438969764838</c:v>
                </c:pt>
                <c:pt idx="37">
                  <c:v>0.15921684521610638</c:v>
                </c:pt>
                <c:pt idx="38">
                  <c:v>0.21936603059454346</c:v>
                </c:pt>
                <c:pt idx="39">
                  <c:v>0.23946215440398852</c:v>
                </c:pt>
                <c:pt idx="40">
                  <c:v>0.32394612559034458</c:v>
                </c:pt>
                <c:pt idx="41">
                  <c:v>0.19888587774766636</c:v>
                </c:pt>
                <c:pt idx="42">
                  <c:v>0.12861593235425012</c:v>
                </c:pt>
                <c:pt idx="43">
                  <c:v>0.13773006134969326</c:v>
                </c:pt>
                <c:pt idx="44">
                  <c:v>7.2946733140907896E-2</c:v>
                </c:pt>
                <c:pt idx="45">
                  <c:v>0.14787815673001822</c:v>
                </c:pt>
                <c:pt idx="46">
                  <c:v>0.15152219381826632</c:v>
                </c:pt>
                <c:pt idx="47">
                  <c:v>0.15845668527056539</c:v>
                </c:pt>
                <c:pt idx="48">
                  <c:v>0.34384858044164041</c:v>
                </c:pt>
                <c:pt idx="49">
                  <c:v>0.37569470174138569</c:v>
                </c:pt>
                <c:pt idx="50">
                  <c:v>0.37582187686790197</c:v>
                </c:pt>
                <c:pt idx="51">
                  <c:v>0.3700434356172061</c:v>
                </c:pt>
                <c:pt idx="52">
                  <c:v>0.43304007820136853</c:v>
                </c:pt>
                <c:pt idx="53">
                  <c:v>0.28341245863904474</c:v>
                </c:pt>
                <c:pt idx="54">
                  <c:v>0.16603569497025419</c:v>
                </c:pt>
                <c:pt idx="55">
                  <c:v>0.24451718494271685</c:v>
                </c:pt>
                <c:pt idx="56">
                  <c:v>0.19076714188730481</c:v>
                </c:pt>
                <c:pt idx="57">
                  <c:v>0.13841705818576075</c:v>
                </c:pt>
                <c:pt idx="58">
                  <c:v>8.4402623324779019E-2</c:v>
                </c:pt>
                <c:pt idx="59">
                  <c:v>9.4888178913738019E-2</c:v>
                </c:pt>
                <c:pt idx="60">
                  <c:v>0.26215968185989597</c:v>
                </c:pt>
                <c:pt idx="61">
                  <c:v>0.66192969334330587</c:v>
                </c:pt>
                <c:pt idx="62">
                  <c:v>0.41192787794729541</c:v>
                </c:pt>
                <c:pt idx="63">
                  <c:v>0.4244377811094453</c:v>
                </c:pt>
                <c:pt idx="64">
                  <c:v>0.45366703627435451</c:v>
                </c:pt>
                <c:pt idx="65">
                  <c:v>0.30826600372902424</c:v>
                </c:pt>
                <c:pt idx="66">
                  <c:v>0.18120456905503635</c:v>
                </c:pt>
                <c:pt idx="67">
                  <c:v>0.25391201653380574</c:v>
                </c:pt>
                <c:pt idx="68">
                  <c:v>0.2179245283018868</c:v>
                </c:pt>
                <c:pt idx="69">
                  <c:v>0.16592236344898662</c:v>
                </c:pt>
                <c:pt idx="70">
                  <c:v>0.11547344110854503</c:v>
                </c:pt>
                <c:pt idx="71">
                  <c:v>0.16611405835543766</c:v>
                </c:pt>
                <c:pt idx="72">
                  <c:v>0.15837104072398189</c:v>
                </c:pt>
                <c:pt idx="73">
                  <c:v>0.19392575928008998</c:v>
                </c:pt>
                <c:pt idx="74">
                  <c:v>0.14857671835223327</c:v>
                </c:pt>
                <c:pt idx="75">
                  <c:v>0.31151207873546077</c:v>
                </c:pt>
                <c:pt idx="76">
                  <c:v>0.32004621606008088</c:v>
                </c:pt>
                <c:pt idx="77">
                  <c:v>0.22099644128113879</c:v>
                </c:pt>
                <c:pt idx="78">
                  <c:v>0.16125461254612547</c:v>
                </c:pt>
                <c:pt idx="79">
                  <c:v>0.17483189241114314</c:v>
                </c:pt>
                <c:pt idx="80">
                  <c:v>0.14455917394757745</c:v>
                </c:pt>
                <c:pt idx="81">
                  <c:v>0.13115212527964207</c:v>
                </c:pt>
                <c:pt idx="82">
                  <c:v>0.12524398178269355</c:v>
                </c:pt>
                <c:pt idx="83">
                  <c:v>0.13180417665183156</c:v>
                </c:pt>
                <c:pt idx="84">
                  <c:v>9.8945660989456605E-2</c:v>
                </c:pt>
                <c:pt idx="85">
                  <c:v>0.20927903871829107</c:v>
                </c:pt>
                <c:pt idx="86">
                  <c:v>0.38408259278619966</c:v>
                </c:pt>
                <c:pt idx="87">
                  <c:v>0.36254436254436256</c:v>
                </c:pt>
                <c:pt idx="88">
                  <c:v>0.38620602698272599</c:v>
                </c:pt>
                <c:pt idx="89">
                  <c:v>0.45970307529162246</c:v>
                </c:pt>
                <c:pt idx="90">
                  <c:v>8.6464560204953037E-2</c:v>
                </c:pt>
                <c:pt idx="91">
                  <c:v>0.11663066954643629</c:v>
                </c:pt>
                <c:pt idx="92">
                  <c:v>0.14806110458284372</c:v>
                </c:pt>
                <c:pt idx="93">
                  <c:v>8.2373782108060234E-2</c:v>
                </c:pt>
                <c:pt idx="94">
                  <c:v>8.5894857799482902E-2</c:v>
                </c:pt>
                <c:pt idx="95">
                  <c:v>0.12014674411494956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3-3644-B42C-58D2E055E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24256"/>
        <c:axId val="1631235904"/>
      </c:lineChart>
      <c:catAx>
        <c:axId val="16312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69984"/>
        <c:crosses val="autoZero"/>
        <c:auto val="1"/>
        <c:lblAlgn val="ctr"/>
        <c:lblOffset val="100"/>
        <c:noMultiLvlLbl val="0"/>
      </c:catAx>
      <c:valAx>
        <c:axId val="1623569984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59712"/>
        <c:crosses val="autoZero"/>
        <c:crossBetween val="between"/>
      </c:valAx>
      <c:valAx>
        <c:axId val="16312359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24256"/>
        <c:crosses val="max"/>
        <c:crossBetween val="between"/>
      </c:valAx>
      <c:catAx>
        <c:axId val="16312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1235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Sheet3!$O$17:$O$49</c:f>
              <c:numCache>
                <c:formatCode>0%</c:formatCode>
                <c:ptCount val="33"/>
                <c:pt idx="0">
                  <c:v>0.37831286360698124</c:v>
                </c:pt>
                <c:pt idx="1">
                  <c:v>0.34899052327976926</c:v>
                </c:pt>
                <c:pt idx="2">
                  <c:v>0.26749482401656316</c:v>
                </c:pt>
                <c:pt idx="3">
                  <c:v>0.18544474393530996</c:v>
                </c:pt>
                <c:pt idx="4">
                  <c:v>0.18600078647267007</c:v>
                </c:pt>
                <c:pt idx="5">
                  <c:v>0.30125523012552302</c:v>
                </c:pt>
                <c:pt idx="6">
                  <c:v>0.19106368789596531</c:v>
                </c:pt>
                <c:pt idx="7">
                  <c:v>0.30704441041347624</c:v>
                </c:pt>
                <c:pt idx="8">
                  <c:v>0.22058823529411764</c:v>
                </c:pt>
                <c:pt idx="9">
                  <c:v>0.26777087646652864</c:v>
                </c:pt>
                <c:pt idx="10">
                  <c:v>0.27743746809596731</c:v>
                </c:pt>
                <c:pt idx="11">
                  <c:v>0.30693763139453401</c:v>
                </c:pt>
                <c:pt idx="12">
                  <c:v>0.31383527331663474</c:v>
                </c:pt>
                <c:pt idx="13">
                  <c:v>0.44987513378523009</c:v>
                </c:pt>
                <c:pt idx="14">
                  <c:v>0.48499765588373184</c:v>
                </c:pt>
                <c:pt idx="15">
                  <c:v>0.44016943169784678</c:v>
                </c:pt>
                <c:pt idx="16">
                  <c:v>0.73512963904422979</c:v>
                </c:pt>
                <c:pt idx="17">
                  <c:v>0.36709367493995199</c:v>
                </c:pt>
                <c:pt idx="18">
                  <c:v>0.181169757489301</c:v>
                </c:pt>
                <c:pt idx="19">
                  <c:v>0.20896576067772679</c:v>
                </c:pt>
                <c:pt idx="20">
                  <c:v>0.18423437028088191</c:v>
                </c:pt>
                <c:pt idx="21">
                  <c:v>0.22256438969764838</c:v>
                </c:pt>
                <c:pt idx="22">
                  <c:v>0.15921684521610638</c:v>
                </c:pt>
                <c:pt idx="23">
                  <c:v>0.21936603059454346</c:v>
                </c:pt>
                <c:pt idx="24">
                  <c:v>0.23946215440398852</c:v>
                </c:pt>
                <c:pt idx="25">
                  <c:v>0.32394612559034458</c:v>
                </c:pt>
                <c:pt idx="26">
                  <c:v>0.19888587774766636</c:v>
                </c:pt>
                <c:pt idx="27">
                  <c:v>0.12861593235425012</c:v>
                </c:pt>
                <c:pt idx="28">
                  <c:v>0.13773006134969326</c:v>
                </c:pt>
                <c:pt idx="29">
                  <c:v>7.2946733140907896E-2</c:v>
                </c:pt>
                <c:pt idx="30">
                  <c:v>0.14787815673001822</c:v>
                </c:pt>
                <c:pt idx="31">
                  <c:v>0.15152219381826632</c:v>
                </c:pt>
                <c:pt idx="32">
                  <c:v>0.15845668527056539</c:v>
                </c:pt>
              </c:numCache>
            </c:numRef>
          </c:xVal>
          <c:yVal>
            <c:numRef>
              <c:f>Sheet3!$P$17:$P$49</c:f>
              <c:numCache>
                <c:formatCode>General</c:formatCode>
                <c:ptCount val="33"/>
                <c:pt idx="0">
                  <c:v>21.692857015700572</c:v>
                </c:pt>
                <c:pt idx="1">
                  <c:v>18.085263101678141</c:v>
                </c:pt>
                <c:pt idx="2">
                  <c:v>15.62833331880115</c:v>
                </c:pt>
                <c:pt idx="3">
                  <c:v>14.94047614506313</c:v>
                </c:pt>
                <c:pt idx="4">
                  <c:v>13.29159086400812</c:v>
                </c:pt>
                <c:pt idx="5">
                  <c:v>10.842249965667721</c:v>
                </c:pt>
                <c:pt idx="6">
                  <c:v>11.03227272900668</c:v>
                </c:pt>
                <c:pt idx="7">
                  <c:v>11.275454477830371</c:v>
                </c:pt>
                <c:pt idx="8">
                  <c:v>13.0949999332428</c:v>
                </c:pt>
                <c:pt idx="9">
                  <c:v>15.611739241558571</c:v>
                </c:pt>
                <c:pt idx="10">
                  <c:v>15.909500026702879</c:v>
                </c:pt>
                <c:pt idx="11">
                  <c:v>14.187619118463431</c:v>
                </c:pt>
                <c:pt idx="12">
                  <c:v>11.193095207214361</c:v>
                </c:pt>
                <c:pt idx="13">
                  <c:v>9.083684168363872</c:v>
                </c:pt>
                <c:pt idx="14">
                  <c:v>8.3850000121376738</c:v>
                </c:pt>
                <c:pt idx="15">
                  <c:v>6.6571428435189386</c:v>
                </c:pt>
                <c:pt idx="16">
                  <c:v>4.9372499704360964</c:v>
                </c:pt>
                <c:pt idx="17">
                  <c:v>5.3118181445381856</c:v>
                </c:pt>
                <c:pt idx="18">
                  <c:v>5.332045446742665</c:v>
                </c:pt>
                <c:pt idx="19">
                  <c:v>8.2552380561828613</c:v>
                </c:pt>
                <c:pt idx="20">
                  <c:v>11.44357145400274</c:v>
                </c:pt>
                <c:pt idx="21">
                  <c:v>14.17522729526867</c:v>
                </c:pt>
                <c:pt idx="22">
                  <c:v>13.94175000190735</c:v>
                </c:pt>
                <c:pt idx="23">
                  <c:v>16.423181663859971</c:v>
                </c:pt>
                <c:pt idx="24">
                  <c:v>20.44157911601819</c:v>
                </c:pt>
                <c:pt idx="25">
                  <c:v>17.415000012046409</c:v>
                </c:pt>
                <c:pt idx="26">
                  <c:v>17.563912972160011</c:v>
                </c:pt>
                <c:pt idx="27">
                  <c:v>20.39285741533552</c:v>
                </c:pt>
                <c:pt idx="28">
                  <c:v>25.01800003051758</c:v>
                </c:pt>
                <c:pt idx="29">
                  <c:v>29.168272712013941</c:v>
                </c:pt>
                <c:pt idx="30">
                  <c:v>36.019524165562217</c:v>
                </c:pt>
                <c:pt idx="31">
                  <c:v>44.713590448552907</c:v>
                </c:pt>
                <c:pt idx="32">
                  <c:v>66.839047749837235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E2-EB40-B8A4-C43989E61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984384"/>
        <c:axId val="1615286656"/>
      </c:scatterChart>
      <c:valAx>
        <c:axId val="16199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86656"/>
        <c:crosses val="autoZero"/>
        <c:crossBetween val="midCat"/>
      </c:valAx>
      <c:valAx>
        <c:axId val="16152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9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Türkiye'de LNG İthalatını Tüketimdeki</a:t>
            </a:r>
            <a:r>
              <a:rPr lang="en-GB" baseline="0"/>
              <a:t> Oranı ve TTF Fiyatları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Sheet3!$P$1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Sheet3!$N$17:$N$39</c:f>
              <c:strCache>
                <c:ptCount val="2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</c:strCache>
            </c:strRef>
          </c:cat>
          <c:val>
            <c:numRef>
              <c:f>Sheet3!$P$17:$P$39</c:f>
              <c:numCache>
                <c:formatCode>General</c:formatCode>
                <c:ptCount val="23"/>
                <c:pt idx="0">
                  <c:v>21.692857015700572</c:v>
                </c:pt>
                <c:pt idx="1">
                  <c:v>18.085263101678141</c:v>
                </c:pt>
                <c:pt idx="2">
                  <c:v>15.62833331880115</c:v>
                </c:pt>
                <c:pt idx="3">
                  <c:v>14.94047614506313</c:v>
                </c:pt>
                <c:pt idx="4">
                  <c:v>13.29159086400812</c:v>
                </c:pt>
                <c:pt idx="5">
                  <c:v>10.842249965667721</c:v>
                </c:pt>
                <c:pt idx="6">
                  <c:v>11.03227272900668</c:v>
                </c:pt>
                <c:pt idx="7">
                  <c:v>11.275454477830371</c:v>
                </c:pt>
                <c:pt idx="8">
                  <c:v>13.0949999332428</c:v>
                </c:pt>
                <c:pt idx="9">
                  <c:v>15.611739241558571</c:v>
                </c:pt>
                <c:pt idx="10">
                  <c:v>15.909500026702879</c:v>
                </c:pt>
                <c:pt idx="11">
                  <c:v>14.187619118463431</c:v>
                </c:pt>
                <c:pt idx="12">
                  <c:v>11.193095207214361</c:v>
                </c:pt>
                <c:pt idx="13">
                  <c:v>9.083684168363872</c:v>
                </c:pt>
                <c:pt idx="14">
                  <c:v>8.3850000121376738</c:v>
                </c:pt>
                <c:pt idx="15">
                  <c:v>6.6571428435189386</c:v>
                </c:pt>
                <c:pt idx="16">
                  <c:v>4.9372499704360964</c:v>
                </c:pt>
                <c:pt idx="17">
                  <c:v>5.3118181445381856</c:v>
                </c:pt>
                <c:pt idx="18">
                  <c:v>5.332045446742665</c:v>
                </c:pt>
                <c:pt idx="19">
                  <c:v>8.2552380561828613</c:v>
                </c:pt>
                <c:pt idx="20">
                  <c:v>11.44357145400274</c:v>
                </c:pt>
                <c:pt idx="21">
                  <c:v>14.17522729526867</c:v>
                </c:pt>
                <c:pt idx="22">
                  <c:v>13.94175000190735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8-8B4D-85B8-CD7148528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59712"/>
        <c:axId val="1623569984"/>
      </c:lineChart>
      <c:lineChart>
        <c:grouping val="standard"/>
        <c:varyColors val="0"/>
        <c:ser>
          <c:idx val="0"/>
          <c:order val="0"/>
          <c:tx>
            <c:strRef>
              <c:f>Sheet3!$O$1</c:f>
              <c:strCache>
                <c:ptCount val="1"/>
                <c:pt idx="0">
                  <c:v>LNG İthalat Oranı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Sheet3!$N$17:$N$39</c:f>
              <c:strCache>
                <c:ptCount val="23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  <c:pt idx="12">
                  <c:v>2020-01</c:v>
                </c:pt>
                <c:pt idx="13">
                  <c:v>2020-02</c:v>
                </c:pt>
                <c:pt idx="14">
                  <c:v>2020-03</c:v>
                </c:pt>
                <c:pt idx="15">
                  <c:v>2020-04</c:v>
                </c:pt>
                <c:pt idx="16">
                  <c:v>2020-05</c:v>
                </c:pt>
                <c:pt idx="17">
                  <c:v>2020-06</c:v>
                </c:pt>
                <c:pt idx="18">
                  <c:v>2020-07</c:v>
                </c:pt>
                <c:pt idx="19">
                  <c:v>2020-08</c:v>
                </c:pt>
                <c:pt idx="20">
                  <c:v>2020-09</c:v>
                </c:pt>
                <c:pt idx="21">
                  <c:v>2020-10</c:v>
                </c:pt>
                <c:pt idx="22">
                  <c:v>2020-11</c:v>
                </c:pt>
              </c:strCache>
            </c:strRef>
          </c:cat>
          <c:val>
            <c:numRef>
              <c:f>Sheet3!$O$17:$O$39</c:f>
              <c:numCache>
                <c:formatCode>0%</c:formatCode>
                <c:ptCount val="23"/>
                <c:pt idx="0">
                  <c:v>0.37831286360698124</c:v>
                </c:pt>
                <c:pt idx="1">
                  <c:v>0.34899052327976926</c:v>
                </c:pt>
                <c:pt idx="2">
                  <c:v>0.26749482401656316</c:v>
                </c:pt>
                <c:pt idx="3">
                  <c:v>0.18544474393530996</c:v>
                </c:pt>
                <c:pt idx="4">
                  <c:v>0.18600078647267007</c:v>
                </c:pt>
                <c:pt idx="5">
                  <c:v>0.30125523012552302</c:v>
                </c:pt>
                <c:pt idx="6">
                  <c:v>0.19106368789596531</c:v>
                </c:pt>
                <c:pt idx="7">
                  <c:v>0.30704441041347624</c:v>
                </c:pt>
                <c:pt idx="8">
                  <c:v>0.22058823529411764</c:v>
                </c:pt>
                <c:pt idx="9">
                  <c:v>0.26777087646652864</c:v>
                </c:pt>
                <c:pt idx="10">
                  <c:v>0.27743746809596731</c:v>
                </c:pt>
                <c:pt idx="11">
                  <c:v>0.30693763139453401</c:v>
                </c:pt>
                <c:pt idx="12">
                  <c:v>0.31383527331663474</c:v>
                </c:pt>
                <c:pt idx="13">
                  <c:v>0.44987513378523009</c:v>
                </c:pt>
                <c:pt idx="14">
                  <c:v>0.48499765588373184</c:v>
                </c:pt>
                <c:pt idx="15">
                  <c:v>0.44016943169784678</c:v>
                </c:pt>
                <c:pt idx="16">
                  <c:v>0.73512963904422979</c:v>
                </c:pt>
                <c:pt idx="17">
                  <c:v>0.36709367493995199</c:v>
                </c:pt>
                <c:pt idx="18">
                  <c:v>0.181169757489301</c:v>
                </c:pt>
                <c:pt idx="19">
                  <c:v>0.20896576067772679</c:v>
                </c:pt>
                <c:pt idx="20">
                  <c:v>0.18423437028088191</c:v>
                </c:pt>
                <c:pt idx="21">
                  <c:v>0.22256438969764838</c:v>
                </c:pt>
                <c:pt idx="22">
                  <c:v>0.15921684521610638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8-8B4D-85B8-CD7148528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24256"/>
        <c:axId val="1631235904"/>
      </c:lineChart>
      <c:catAx>
        <c:axId val="16312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69984"/>
        <c:crosses val="autoZero"/>
        <c:auto val="1"/>
        <c:lblAlgn val="ctr"/>
        <c:lblOffset val="100"/>
        <c:noMultiLvlLbl val="0"/>
      </c:catAx>
      <c:valAx>
        <c:axId val="16235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€/MWh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59712"/>
        <c:crosses val="autoZero"/>
        <c:crossBetween val="between"/>
      </c:valAx>
      <c:valAx>
        <c:axId val="16312359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24256"/>
        <c:crosses val="max"/>
        <c:crossBetween val="between"/>
      </c:valAx>
      <c:catAx>
        <c:axId val="16312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1235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74975158947604"/>
          <c:y val="0.16146614426765421"/>
          <c:w val="0.23326195036128461"/>
          <c:h val="5.3221820663369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Aylık</a:t>
            </a:r>
            <a:r>
              <a:rPr lang="en-US" baseline="0"/>
              <a:t> LNG İthalatı ile TTF Gaz Fiyatı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5199043382706E-2"/>
          <c:y val="0.13077694235588971"/>
          <c:w val="0.86221965870693851"/>
          <c:h val="0.72196745871367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'kesilmis-miktar'!$C$1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57150" cap="rnd">
                <a:solidFill>
                  <a:srgbClr val="C0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'kesilmis-miktar'!$B$2:$B$70</c:f>
              <c:numCache>
                <c:formatCode>General</c:formatCode>
                <c:ptCount val="69"/>
                <c:pt idx="0">
                  <c:v>496</c:v>
                </c:pt>
                <c:pt idx="1">
                  <c:v>1405</c:v>
                </c:pt>
                <c:pt idx="2">
                  <c:v>1977</c:v>
                </c:pt>
                <c:pt idx="3">
                  <c:v>1960</c:v>
                </c:pt>
                <c:pt idx="4">
                  <c:v>1660</c:v>
                </c:pt>
                <c:pt idx="5">
                  <c:v>947</c:v>
                </c:pt>
                <c:pt idx="6">
                  <c:v>609</c:v>
                </c:pt>
                <c:pt idx="7">
                  <c:v>555</c:v>
                </c:pt>
                <c:pt idx="8">
                  <c:v>512</c:v>
                </c:pt>
                <c:pt idx="9">
                  <c:v>456</c:v>
                </c:pt>
                <c:pt idx="10">
                  <c:v>447</c:v>
                </c:pt>
                <c:pt idx="11">
                  <c:v>321</c:v>
                </c:pt>
                <c:pt idx="12">
                  <c:v>701</c:v>
                </c:pt>
                <c:pt idx="13">
                  <c:v>714</c:v>
                </c:pt>
                <c:pt idx="14">
                  <c:v>2100</c:v>
                </c:pt>
                <c:pt idx="15">
                  <c:v>2341</c:v>
                </c:pt>
                <c:pt idx="16">
                  <c:v>1694</c:v>
                </c:pt>
                <c:pt idx="17">
                  <c:v>1292</c:v>
                </c:pt>
                <c:pt idx="18">
                  <c:v>688</c:v>
                </c:pt>
                <c:pt idx="19">
                  <c:v>473</c:v>
                </c:pt>
                <c:pt idx="20">
                  <c:v>648</c:v>
                </c:pt>
                <c:pt idx="21">
                  <c:v>573</c:v>
                </c:pt>
                <c:pt idx="22">
                  <c:v>802</c:v>
                </c:pt>
                <c:pt idx="23">
                  <c:v>570</c:v>
                </c:pt>
                <c:pt idx="24">
                  <c:v>776</c:v>
                </c:pt>
                <c:pt idx="25">
                  <c:v>1087</c:v>
                </c:pt>
                <c:pt idx="26">
                  <c:v>1752</c:v>
                </c:pt>
                <c:pt idx="27">
                  <c:v>2130</c:v>
                </c:pt>
                <c:pt idx="28">
                  <c:v>2522</c:v>
                </c:pt>
                <c:pt idx="29">
                  <c:v>2069</c:v>
                </c:pt>
                <c:pt idx="30">
                  <c:v>1247</c:v>
                </c:pt>
                <c:pt idx="31">
                  <c:v>1446</c:v>
                </c:pt>
                <c:pt idx="32">
                  <c:v>917</c:v>
                </c:pt>
                <c:pt idx="33">
                  <c:v>508</c:v>
                </c:pt>
                <c:pt idx="34">
                  <c:v>592</c:v>
                </c:pt>
                <c:pt idx="35">
                  <c:v>610</c:v>
                </c:pt>
                <c:pt idx="36">
                  <c:v>795</c:v>
                </c:pt>
                <c:pt idx="37">
                  <c:v>862</c:v>
                </c:pt>
                <c:pt idx="38">
                  <c:v>1391</c:v>
                </c:pt>
                <c:pt idx="39">
                  <c:v>1585</c:v>
                </c:pt>
                <c:pt idx="40">
                  <c:v>1852</c:v>
                </c:pt>
                <c:pt idx="41">
                  <c:v>1321</c:v>
                </c:pt>
                <c:pt idx="42">
                  <c:v>578</c:v>
                </c:pt>
                <c:pt idx="43">
                  <c:v>449</c:v>
                </c:pt>
                <c:pt idx="44">
                  <c:v>278</c:v>
                </c:pt>
                <c:pt idx="45">
                  <c:v>568</c:v>
                </c:pt>
                <c:pt idx="46">
                  <c:v>698</c:v>
                </c:pt>
                <c:pt idx="47">
                  <c:v>860</c:v>
                </c:pt>
                <c:pt idx="48">
                  <c:v>462</c:v>
                </c:pt>
                <c:pt idx="49">
                  <c:v>483</c:v>
                </c:pt>
                <c:pt idx="50">
                  <c:v>400</c:v>
                </c:pt>
                <c:pt idx="51">
                  <c:v>501</c:v>
                </c:pt>
                <c:pt idx="52">
                  <c:v>642</c:v>
                </c:pt>
                <c:pt idx="53">
                  <c:v>2089</c:v>
                </c:pt>
                <c:pt idx="54">
                  <c:v>1662</c:v>
                </c:pt>
                <c:pt idx="55">
                  <c:v>1242</c:v>
                </c:pt>
                <c:pt idx="56">
                  <c:v>437</c:v>
                </c:pt>
                <c:pt idx="57">
                  <c:v>546</c:v>
                </c:pt>
                <c:pt idx="58">
                  <c:v>364</c:v>
                </c:pt>
                <c:pt idx="59">
                  <c:v>469</c:v>
                </c:pt>
                <c:pt idx="60">
                  <c:v>385</c:v>
                </c:pt>
                <c:pt idx="61">
                  <c:v>385</c:v>
                </c:pt>
                <c:pt idx="62">
                  <c:v>366</c:v>
                </c:pt>
                <c:pt idx="63">
                  <c:v>405</c:v>
                </c:pt>
                <c:pt idx="64">
                  <c:v>378</c:v>
                </c:pt>
                <c:pt idx="65">
                  <c:v>378</c:v>
                </c:pt>
                <c:pt idx="66">
                  <c:v>279</c:v>
                </c:pt>
                <c:pt idx="67">
                  <c:v>299</c:v>
                </c:pt>
                <c:pt idx="68">
                  <c:v>393</c:v>
                </c:pt>
              </c:numCache>
            </c:numRef>
          </c:xVal>
          <c:yVal>
            <c:numRef>
              <c:f>'kesilmis-miktar'!$C$2:$C$70</c:f>
              <c:numCache>
                <c:formatCode>General</c:formatCode>
                <c:ptCount val="69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42.070315712376647</c:v>
                </c:pt>
                <c:pt idx="47">
                  <c:v>32.051181793212891</c:v>
                </c:pt>
                <c:pt idx="48">
                  <c:v>32.47385715302967</c:v>
                </c:pt>
                <c:pt idx="49">
                  <c:v>29.15274991989136</c:v>
                </c:pt>
                <c:pt idx="50">
                  <c:v>35.000434875488281</c:v>
                </c:pt>
                <c:pt idx="51">
                  <c:v>37.043300437927243</c:v>
                </c:pt>
                <c:pt idx="52">
                  <c:v>35.9706995010376</c:v>
                </c:pt>
                <c:pt idx="53">
                  <c:v>29.907999946957538</c:v>
                </c:pt>
                <c:pt idx="54">
                  <c:v>25.866250133514409</c:v>
                </c:pt>
                <c:pt idx="55">
                  <c:v>26.852850055694581</c:v>
                </c:pt>
                <c:pt idx="56">
                  <c:v>28.961809339977449</c:v>
                </c:pt>
                <c:pt idx="57">
                  <c:v>31.812363711270422</c:v>
                </c:pt>
                <c:pt idx="58">
                  <c:v>34.4207370155736</c:v>
                </c:pt>
                <c:pt idx="59">
                  <c:v>32.523045453158289</c:v>
                </c:pt>
                <c:pt idx="60">
                  <c:v>38.347045725042172</c:v>
                </c:pt>
                <c:pt idx="61">
                  <c:v>36.082599830627437</c:v>
                </c:pt>
                <c:pt idx="62">
                  <c:v>40.423434547756031</c:v>
                </c:pt>
                <c:pt idx="63">
                  <c:v>35.213476544334767</c:v>
                </c:pt>
                <c:pt idx="64">
                  <c:v>35.177713848295667</c:v>
                </c:pt>
                <c:pt idx="65">
                  <c:v>36.388399887084958</c:v>
                </c:pt>
                <c:pt idx="66">
                  <c:v>33.937173760455593</c:v>
                </c:pt>
                <c:pt idx="67">
                  <c:v>32.695904413859047</c:v>
                </c:pt>
                <c:pt idx="68">
                  <c:v>32.340333121163503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0-7B45-883F-E879F02C4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600576"/>
        <c:axId val="1736732032"/>
      </c:scatterChart>
      <c:valAx>
        <c:axId val="173260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milyon m3/ay LNG</a:t>
                </a:r>
                <a:r>
                  <a:rPr lang="en-GB" baseline="0"/>
                  <a:t> İthalatı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32032"/>
        <c:crosses val="autoZero"/>
        <c:crossBetween val="midCat"/>
      </c:valAx>
      <c:valAx>
        <c:axId val="17367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TTF €/MWh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0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'kesilmis-oran'!$C$1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'kesilmis-oran'!$A$2:$A$79</c:f>
              <c:strCache>
                <c:ptCount val="78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2023-03</c:v>
                </c:pt>
                <c:pt idx="48">
                  <c:v>2023-04</c:v>
                </c:pt>
                <c:pt idx="49">
                  <c:v>2023-05</c:v>
                </c:pt>
                <c:pt idx="50">
                  <c:v>2023-06</c:v>
                </c:pt>
                <c:pt idx="51">
                  <c:v>2023-07</c:v>
                </c:pt>
                <c:pt idx="52">
                  <c:v>2023-08</c:v>
                </c:pt>
                <c:pt idx="53">
                  <c:v>2023-09</c:v>
                </c:pt>
                <c:pt idx="54">
                  <c:v>2023-10</c:v>
                </c:pt>
                <c:pt idx="55">
                  <c:v>2023-11</c:v>
                </c:pt>
                <c:pt idx="56">
                  <c:v>2023-12</c:v>
                </c:pt>
                <c:pt idx="57">
                  <c:v>2024-01</c:v>
                </c:pt>
                <c:pt idx="58">
                  <c:v>2024-02</c:v>
                </c:pt>
                <c:pt idx="59">
                  <c:v>2024-03</c:v>
                </c:pt>
                <c:pt idx="60">
                  <c:v>2024-04</c:v>
                </c:pt>
                <c:pt idx="61">
                  <c:v>2024-05</c:v>
                </c:pt>
                <c:pt idx="62">
                  <c:v>2024-06</c:v>
                </c:pt>
                <c:pt idx="63">
                  <c:v>2024-07</c:v>
                </c:pt>
                <c:pt idx="64">
                  <c:v>2024-08</c:v>
                </c:pt>
                <c:pt idx="65">
                  <c:v>2024-09</c:v>
                </c:pt>
                <c:pt idx="66">
                  <c:v>2024-10</c:v>
                </c:pt>
                <c:pt idx="67">
                  <c:v>2024-11</c:v>
                </c:pt>
                <c:pt idx="68">
                  <c:v>2024-12</c:v>
                </c:pt>
                <c:pt idx="69">
                  <c:v>2025-01</c:v>
                </c:pt>
                <c:pt idx="70">
                  <c:v>2025-02</c:v>
                </c:pt>
                <c:pt idx="71">
                  <c:v>2025-03</c:v>
                </c:pt>
                <c:pt idx="72">
                  <c:v>2025-04</c:v>
                </c:pt>
                <c:pt idx="73">
                  <c:v>2025-05</c:v>
                </c:pt>
                <c:pt idx="74">
                  <c:v>2025-06</c:v>
                </c:pt>
                <c:pt idx="75">
                  <c:v>2025-07</c:v>
                </c:pt>
                <c:pt idx="76">
                  <c:v>2025-08</c:v>
                </c:pt>
                <c:pt idx="77">
                  <c:v>2025-09</c:v>
                </c:pt>
              </c:strCache>
            </c:strRef>
          </c:cat>
          <c:val>
            <c:numRef>
              <c:f>'kesilmis-oran'!$C$2:$C$79</c:f>
              <c:numCache>
                <c:formatCode>General</c:formatCode>
                <c:ptCount val="78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44.713590448552907</c:v>
                </c:pt>
                <c:pt idx="47">
                  <c:v>44.025304213814117</c:v>
                </c:pt>
                <c:pt idx="48">
                  <c:v>42.070315712376647</c:v>
                </c:pt>
                <c:pt idx="49">
                  <c:v>32.051181793212891</c:v>
                </c:pt>
                <c:pt idx="50">
                  <c:v>32.47385715302967</c:v>
                </c:pt>
                <c:pt idx="51">
                  <c:v>29.15274991989136</c:v>
                </c:pt>
                <c:pt idx="52">
                  <c:v>35.000434875488281</c:v>
                </c:pt>
                <c:pt idx="53">
                  <c:v>37.043300437927243</c:v>
                </c:pt>
                <c:pt idx="54">
                  <c:v>47.068136388605289</c:v>
                </c:pt>
                <c:pt idx="55">
                  <c:v>45.735636451027609</c:v>
                </c:pt>
                <c:pt idx="56">
                  <c:v>35.9706995010376</c:v>
                </c:pt>
                <c:pt idx="57">
                  <c:v>29.907999946957538</c:v>
                </c:pt>
                <c:pt idx="58">
                  <c:v>25.866250133514409</c:v>
                </c:pt>
                <c:pt idx="59">
                  <c:v>26.852850055694581</c:v>
                </c:pt>
                <c:pt idx="60">
                  <c:v>28.961809339977449</c:v>
                </c:pt>
                <c:pt idx="61">
                  <c:v>31.812363711270422</c:v>
                </c:pt>
                <c:pt idx="62">
                  <c:v>34.4207370155736</c:v>
                </c:pt>
                <c:pt idx="63">
                  <c:v>32.523045453158289</c:v>
                </c:pt>
                <c:pt idx="64">
                  <c:v>38.347045725042172</c:v>
                </c:pt>
                <c:pt idx="65">
                  <c:v>36.082599830627437</c:v>
                </c:pt>
                <c:pt idx="66">
                  <c:v>40.423434547756031</c:v>
                </c:pt>
                <c:pt idx="67">
                  <c:v>44.633600425720218</c:v>
                </c:pt>
                <c:pt idx="68">
                  <c:v>45.153618585495721</c:v>
                </c:pt>
                <c:pt idx="69">
                  <c:v>48.350666591099333</c:v>
                </c:pt>
                <c:pt idx="70">
                  <c:v>50.380420885587988</c:v>
                </c:pt>
                <c:pt idx="71">
                  <c:v>41.781190781366263</c:v>
                </c:pt>
                <c:pt idx="72">
                  <c:v>35.213476544334767</c:v>
                </c:pt>
                <c:pt idx="73">
                  <c:v>35.177713848295667</c:v>
                </c:pt>
                <c:pt idx="74">
                  <c:v>36.388399887084958</c:v>
                </c:pt>
                <c:pt idx="75">
                  <c:v>33.937173760455593</c:v>
                </c:pt>
                <c:pt idx="76">
                  <c:v>32.695904413859047</c:v>
                </c:pt>
                <c:pt idx="77">
                  <c:v>32.340333121163503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3-8C4A-BF35-2254DB5CE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243392"/>
        <c:axId val="1672016576"/>
      </c:lineChart>
      <c:lineChart>
        <c:grouping val="standard"/>
        <c:varyColors val="0"/>
        <c:ser>
          <c:idx val="0"/>
          <c:order val="0"/>
          <c:tx>
            <c:strRef>
              <c:f>'kesilmis-oran'!$B$1</c:f>
              <c:strCache>
                <c:ptCount val="1"/>
                <c:pt idx="0">
                  <c:v>IMPLNG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'kesilmis-oran'!$A$2:$A$79</c:f>
              <c:strCache>
                <c:ptCount val="78"/>
                <c:pt idx="0">
                  <c:v>2017-10</c:v>
                </c:pt>
                <c:pt idx="1">
                  <c:v>2017-11</c:v>
                </c:pt>
                <c:pt idx="2">
                  <c:v>2017-12</c:v>
                </c:pt>
                <c:pt idx="3">
                  <c:v>2018-01</c:v>
                </c:pt>
                <c:pt idx="4">
                  <c:v>2018-02</c:v>
                </c:pt>
                <c:pt idx="5">
                  <c:v>2018-03</c:v>
                </c:pt>
                <c:pt idx="6">
                  <c:v>2018-04</c:v>
                </c:pt>
                <c:pt idx="7">
                  <c:v>2018-05</c:v>
                </c:pt>
                <c:pt idx="8">
                  <c:v>2018-06</c:v>
                </c:pt>
                <c:pt idx="9">
                  <c:v>2018-07</c:v>
                </c:pt>
                <c:pt idx="10">
                  <c:v>2018-08</c:v>
                </c:pt>
                <c:pt idx="11">
                  <c:v>2018-09</c:v>
                </c:pt>
                <c:pt idx="12">
                  <c:v>2018-10</c:v>
                </c:pt>
                <c:pt idx="13">
                  <c:v>2018-11</c:v>
                </c:pt>
                <c:pt idx="14">
                  <c:v>2018-12</c:v>
                </c:pt>
                <c:pt idx="15">
                  <c:v>2019-01</c:v>
                </c:pt>
                <c:pt idx="16">
                  <c:v>2019-02</c:v>
                </c:pt>
                <c:pt idx="17">
                  <c:v>2019-03</c:v>
                </c:pt>
                <c:pt idx="18">
                  <c:v>2019-04</c:v>
                </c:pt>
                <c:pt idx="19">
                  <c:v>2019-05</c:v>
                </c:pt>
                <c:pt idx="20">
                  <c:v>2019-06</c:v>
                </c:pt>
                <c:pt idx="21">
                  <c:v>2019-07</c:v>
                </c:pt>
                <c:pt idx="22">
                  <c:v>2019-08</c:v>
                </c:pt>
                <c:pt idx="23">
                  <c:v>2019-09</c:v>
                </c:pt>
                <c:pt idx="24">
                  <c:v>2019-10</c:v>
                </c:pt>
                <c:pt idx="25">
                  <c:v>2019-11</c:v>
                </c:pt>
                <c:pt idx="26">
                  <c:v>2019-12</c:v>
                </c:pt>
                <c:pt idx="27">
                  <c:v>2020-01</c:v>
                </c:pt>
                <c:pt idx="28">
                  <c:v>2020-02</c:v>
                </c:pt>
                <c:pt idx="29">
                  <c:v>2020-03</c:v>
                </c:pt>
                <c:pt idx="30">
                  <c:v>2020-04</c:v>
                </c:pt>
                <c:pt idx="31">
                  <c:v>2020-05</c:v>
                </c:pt>
                <c:pt idx="32">
                  <c:v>2020-06</c:v>
                </c:pt>
                <c:pt idx="33">
                  <c:v>2020-07</c:v>
                </c:pt>
                <c:pt idx="34">
                  <c:v>2020-08</c:v>
                </c:pt>
                <c:pt idx="35">
                  <c:v>2020-09</c:v>
                </c:pt>
                <c:pt idx="36">
                  <c:v>2020-10</c:v>
                </c:pt>
                <c:pt idx="37">
                  <c:v>2020-11</c:v>
                </c:pt>
                <c:pt idx="38">
                  <c:v>2020-12</c:v>
                </c:pt>
                <c:pt idx="39">
                  <c:v>2021-01</c:v>
                </c:pt>
                <c:pt idx="40">
                  <c:v>2021-02</c:v>
                </c:pt>
                <c:pt idx="41">
                  <c:v>2021-03</c:v>
                </c:pt>
                <c:pt idx="42">
                  <c:v>2021-04</c:v>
                </c:pt>
                <c:pt idx="43">
                  <c:v>2021-05</c:v>
                </c:pt>
                <c:pt idx="44">
                  <c:v>2021-06</c:v>
                </c:pt>
                <c:pt idx="45">
                  <c:v>2021-07</c:v>
                </c:pt>
                <c:pt idx="46">
                  <c:v>2021-08</c:v>
                </c:pt>
                <c:pt idx="47">
                  <c:v>2023-03</c:v>
                </c:pt>
                <c:pt idx="48">
                  <c:v>2023-04</c:v>
                </c:pt>
                <c:pt idx="49">
                  <c:v>2023-05</c:v>
                </c:pt>
                <c:pt idx="50">
                  <c:v>2023-06</c:v>
                </c:pt>
                <c:pt idx="51">
                  <c:v>2023-07</c:v>
                </c:pt>
                <c:pt idx="52">
                  <c:v>2023-08</c:v>
                </c:pt>
                <c:pt idx="53">
                  <c:v>2023-09</c:v>
                </c:pt>
                <c:pt idx="54">
                  <c:v>2023-10</c:v>
                </c:pt>
                <c:pt idx="55">
                  <c:v>2023-11</c:v>
                </c:pt>
                <c:pt idx="56">
                  <c:v>2023-12</c:v>
                </c:pt>
                <c:pt idx="57">
                  <c:v>2024-01</c:v>
                </c:pt>
                <c:pt idx="58">
                  <c:v>2024-02</c:v>
                </c:pt>
                <c:pt idx="59">
                  <c:v>2024-03</c:v>
                </c:pt>
                <c:pt idx="60">
                  <c:v>2024-04</c:v>
                </c:pt>
                <c:pt idx="61">
                  <c:v>2024-05</c:v>
                </c:pt>
                <c:pt idx="62">
                  <c:v>2024-06</c:v>
                </c:pt>
                <c:pt idx="63">
                  <c:v>2024-07</c:v>
                </c:pt>
                <c:pt idx="64">
                  <c:v>2024-08</c:v>
                </c:pt>
                <c:pt idx="65">
                  <c:v>2024-09</c:v>
                </c:pt>
                <c:pt idx="66">
                  <c:v>2024-10</c:v>
                </c:pt>
                <c:pt idx="67">
                  <c:v>2024-11</c:v>
                </c:pt>
                <c:pt idx="68">
                  <c:v>2024-12</c:v>
                </c:pt>
                <c:pt idx="69">
                  <c:v>2025-01</c:v>
                </c:pt>
                <c:pt idx="70">
                  <c:v>2025-02</c:v>
                </c:pt>
                <c:pt idx="71">
                  <c:v>2025-03</c:v>
                </c:pt>
                <c:pt idx="72">
                  <c:v>2025-04</c:v>
                </c:pt>
                <c:pt idx="73">
                  <c:v>2025-05</c:v>
                </c:pt>
                <c:pt idx="74">
                  <c:v>2025-06</c:v>
                </c:pt>
                <c:pt idx="75">
                  <c:v>2025-07</c:v>
                </c:pt>
                <c:pt idx="76">
                  <c:v>2025-08</c:v>
                </c:pt>
                <c:pt idx="77">
                  <c:v>2025-09</c:v>
                </c:pt>
              </c:strCache>
            </c:strRef>
          </c:cat>
          <c:val>
            <c:numRef>
              <c:f>'kesilmis-oran'!$B$2:$B$79</c:f>
              <c:numCache>
                <c:formatCode>0%</c:formatCode>
                <c:ptCount val="78"/>
                <c:pt idx="0">
                  <c:v>0.12991094814038764</c:v>
                </c:pt>
                <c:pt idx="1">
                  <c:v>0.23781313473256602</c:v>
                </c:pt>
                <c:pt idx="2">
                  <c:v>0.3512169124178362</c:v>
                </c:pt>
                <c:pt idx="3">
                  <c:v>0.3015848592091091</c:v>
                </c:pt>
                <c:pt idx="4">
                  <c:v>0.31279442246090072</c:v>
                </c:pt>
                <c:pt idx="5">
                  <c:v>0.20658813263525305</c:v>
                </c:pt>
                <c:pt idx="6">
                  <c:v>0.17360319270239452</c:v>
                </c:pt>
                <c:pt idx="7">
                  <c:v>0.17087438423645321</c:v>
                </c:pt>
                <c:pt idx="8">
                  <c:v>0.20923579893747446</c:v>
                </c:pt>
                <c:pt idx="9">
                  <c:v>0.1245221190606226</c:v>
                </c:pt>
                <c:pt idx="10">
                  <c:v>0.1516796742449949</c:v>
                </c:pt>
                <c:pt idx="11">
                  <c:v>9.8135126872516049E-2</c:v>
                </c:pt>
                <c:pt idx="12">
                  <c:v>0.19064454718520532</c:v>
                </c:pt>
                <c:pt idx="13">
                  <c:v>0.16967680608365018</c:v>
                </c:pt>
                <c:pt idx="14">
                  <c:v>0.33958602846054331</c:v>
                </c:pt>
                <c:pt idx="15">
                  <c:v>0.37831286360698124</c:v>
                </c:pt>
                <c:pt idx="16">
                  <c:v>0.34899052327976926</c:v>
                </c:pt>
                <c:pt idx="17">
                  <c:v>0.26749482401656316</c:v>
                </c:pt>
                <c:pt idx="18">
                  <c:v>0.18544474393530996</c:v>
                </c:pt>
                <c:pt idx="19">
                  <c:v>0.18600078647267007</c:v>
                </c:pt>
                <c:pt idx="20">
                  <c:v>0.30125523012552302</c:v>
                </c:pt>
                <c:pt idx="21">
                  <c:v>0.19106368789596531</c:v>
                </c:pt>
                <c:pt idx="22">
                  <c:v>0.30704441041347624</c:v>
                </c:pt>
                <c:pt idx="23">
                  <c:v>0.22058823529411764</c:v>
                </c:pt>
                <c:pt idx="24">
                  <c:v>0.26777087646652864</c:v>
                </c:pt>
                <c:pt idx="25">
                  <c:v>0.27743746809596731</c:v>
                </c:pt>
                <c:pt idx="26">
                  <c:v>0.30693763139453401</c:v>
                </c:pt>
                <c:pt idx="27">
                  <c:v>0.31383527331663474</c:v>
                </c:pt>
                <c:pt idx="28">
                  <c:v>0.44987513378523009</c:v>
                </c:pt>
                <c:pt idx="29">
                  <c:v>0.48499765588373184</c:v>
                </c:pt>
                <c:pt idx="30">
                  <c:v>0.44016943169784678</c:v>
                </c:pt>
                <c:pt idx="31">
                  <c:v>0.73512963904422979</c:v>
                </c:pt>
                <c:pt idx="32">
                  <c:v>0.36709367493995199</c:v>
                </c:pt>
                <c:pt idx="33">
                  <c:v>0.181169757489301</c:v>
                </c:pt>
                <c:pt idx="34">
                  <c:v>0.20896576067772679</c:v>
                </c:pt>
                <c:pt idx="35">
                  <c:v>0.18423437028088191</c:v>
                </c:pt>
                <c:pt idx="36">
                  <c:v>0.22256438969764838</c:v>
                </c:pt>
                <c:pt idx="37">
                  <c:v>0.15921684521610638</c:v>
                </c:pt>
                <c:pt idx="38">
                  <c:v>0.21936603059454346</c:v>
                </c:pt>
                <c:pt idx="39">
                  <c:v>0.23946215440398852</c:v>
                </c:pt>
                <c:pt idx="40">
                  <c:v>0.32394612559034458</c:v>
                </c:pt>
                <c:pt idx="41">
                  <c:v>0.19888587774766636</c:v>
                </c:pt>
                <c:pt idx="42">
                  <c:v>0.12861593235425012</c:v>
                </c:pt>
                <c:pt idx="43">
                  <c:v>0.13773006134969326</c:v>
                </c:pt>
                <c:pt idx="44">
                  <c:v>7.2946733140907896E-2</c:v>
                </c:pt>
                <c:pt idx="45">
                  <c:v>0.14787815673001822</c:v>
                </c:pt>
                <c:pt idx="46">
                  <c:v>0.15152219381826632</c:v>
                </c:pt>
                <c:pt idx="47">
                  <c:v>0.30826600372902424</c:v>
                </c:pt>
                <c:pt idx="48">
                  <c:v>0.18120456905503635</c:v>
                </c:pt>
                <c:pt idx="49">
                  <c:v>0.25391201653380574</c:v>
                </c:pt>
                <c:pt idx="50">
                  <c:v>0.2179245283018868</c:v>
                </c:pt>
                <c:pt idx="51">
                  <c:v>0.16592236344898662</c:v>
                </c:pt>
                <c:pt idx="52">
                  <c:v>0.11547344110854503</c:v>
                </c:pt>
                <c:pt idx="53">
                  <c:v>0.16611405835543766</c:v>
                </c:pt>
                <c:pt idx="54">
                  <c:v>0.15837104072398189</c:v>
                </c:pt>
                <c:pt idx="55">
                  <c:v>0.19392575928008998</c:v>
                </c:pt>
                <c:pt idx="56">
                  <c:v>0.14857671835223327</c:v>
                </c:pt>
                <c:pt idx="57">
                  <c:v>0.31151207873546077</c:v>
                </c:pt>
                <c:pt idx="58">
                  <c:v>0.32004621606008088</c:v>
                </c:pt>
                <c:pt idx="59">
                  <c:v>0.22099644128113879</c:v>
                </c:pt>
                <c:pt idx="60">
                  <c:v>0.16125461254612547</c:v>
                </c:pt>
                <c:pt idx="61">
                  <c:v>0.17483189241114314</c:v>
                </c:pt>
                <c:pt idx="62">
                  <c:v>0.14455917394757745</c:v>
                </c:pt>
                <c:pt idx="63">
                  <c:v>0.13115212527964207</c:v>
                </c:pt>
                <c:pt idx="64">
                  <c:v>0.12524398178269355</c:v>
                </c:pt>
                <c:pt idx="65">
                  <c:v>0.13180417665183156</c:v>
                </c:pt>
                <c:pt idx="66">
                  <c:v>9.8945660989456605E-2</c:v>
                </c:pt>
                <c:pt idx="67">
                  <c:v>0.20927903871829107</c:v>
                </c:pt>
                <c:pt idx="68">
                  <c:v>0.38408259278619966</c:v>
                </c:pt>
                <c:pt idx="69">
                  <c:v>0.36254436254436256</c:v>
                </c:pt>
                <c:pt idx="70">
                  <c:v>0.38620602698272599</c:v>
                </c:pt>
                <c:pt idx="71">
                  <c:v>0.45970307529162246</c:v>
                </c:pt>
                <c:pt idx="72">
                  <c:v>8.6464560204953037E-2</c:v>
                </c:pt>
                <c:pt idx="73">
                  <c:v>0.11663066954643629</c:v>
                </c:pt>
                <c:pt idx="74">
                  <c:v>0.14806110458284372</c:v>
                </c:pt>
                <c:pt idx="75">
                  <c:v>8.2373782108060234E-2</c:v>
                </c:pt>
                <c:pt idx="76">
                  <c:v>8.5894857799482902E-2</c:v>
                </c:pt>
                <c:pt idx="77">
                  <c:v>0.12014674411494956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3-8C4A-BF35-2254DB5CE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593856"/>
        <c:axId val="1732592960"/>
      </c:lineChart>
      <c:catAx>
        <c:axId val="16342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16576"/>
        <c:crosses val="autoZero"/>
        <c:auto val="1"/>
        <c:lblAlgn val="ctr"/>
        <c:lblOffset val="100"/>
        <c:noMultiLvlLbl val="0"/>
      </c:catAx>
      <c:valAx>
        <c:axId val="167201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43392"/>
        <c:crosses val="autoZero"/>
        <c:crossBetween val="between"/>
      </c:valAx>
      <c:valAx>
        <c:axId val="17325929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93856"/>
        <c:crosses val="max"/>
        <c:crossBetween val="between"/>
      </c:valAx>
      <c:catAx>
        <c:axId val="1732593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25929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Türkiye LNG Talebi(Tüketimdeki</a:t>
            </a:r>
            <a:r>
              <a:rPr lang="en-US" baseline="0"/>
              <a:t> Oranı) ve TTF Fiyatı Esnekliği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'kesilmis-oran'!$C$1</c:f>
              <c:strCache>
                <c:ptCount val="1"/>
                <c:pt idx="0">
                  <c:v>TTF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'kesilmis-oran'!$B$2:$B$79</c:f>
              <c:numCache>
                <c:formatCode>0%</c:formatCode>
                <c:ptCount val="78"/>
                <c:pt idx="0">
                  <c:v>0.12991094814038764</c:v>
                </c:pt>
                <c:pt idx="1">
                  <c:v>0.23781313473256602</c:v>
                </c:pt>
                <c:pt idx="2">
                  <c:v>0.3512169124178362</c:v>
                </c:pt>
                <c:pt idx="3">
                  <c:v>0.3015848592091091</c:v>
                </c:pt>
                <c:pt idx="4">
                  <c:v>0.31279442246090072</c:v>
                </c:pt>
                <c:pt idx="5">
                  <c:v>0.20658813263525305</c:v>
                </c:pt>
                <c:pt idx="6">
                  <c:v>0.17360319270239452</c:v>
                </c:pt>
                <c:pt idx="7">
                  <c:v>0.17087438423645321</c:v>
                </c:pt>
                <c:pt idx="8">
                  <c:v>0.20923579893747446</c:v>
                </c:pt>
                <c:pt idx="9">
                  <c:v>0.1245221190606226</c:v>
                </c:pt>
                <c:pt idx="10">
                  <c:v>0.1516796742449949</c:v>
                </c:pt>
                <c:pt idx="11">
                  <c:v>9.8135126872516049E-2</c:v>
                </c:pt>
                <c:pt idx="12">
                  <c:v>0.19064454718520532</c:v>
                </c:pt>
                <c:pt idx="13">
                  <c:v>0.16967680608365018</c:v>
                </c:pt>
                <c:pt idx="14">
                  <c:v>0.33958602846054331</c:v>
                </c:pt>
                <c:pt idx="15">
                  <c:v>0.37831286360698124</c:v>
                </c:pt>
                <c:pt idx="16">
                  <c:v>0.34899052327976926</c:v>
                </c:pt>
                <c:pt idx="17">
                  <c:v>0.26749482401656316</c:v>
                </c:pt>
                <c:pt idx="18">
                  <c:v>0.18544474393530996</c:v>
                </c:pt>
                <c:pt idx="19">
                  <c:v>0.18600078647267007</c:v>
                </c:pt>
                <c:pt idx="20">
                  <c:v>0.30125523012552302</c:v>
                </c:pt>
                <c:pt idx="21">
                  <c:v>0.19106368789596531</c:v>
                </c:pt>
                <c:pt idx="22">
                  <c:v>0.30704441041347624</c:v>
                </c:pt>
                <c:pt idx="23">
                  <c:v>0.22058823529411764</c:v>
                </c:pt>
                <c:pt idx="24">
                  <c:v>0.26777087646652864</c:v>
                </c:pt>
                <c:pt idx="25">
                  <c:v>0.27743746809596731</c:v>
                </c:pt>
                <c:pt idx="26">
                  <c:v>0.30693763139453401</c:v>
                </c:pt>
                <c:pt idx="27">
                  <c:v>0.31383527331663474</c:v>
                </c:pt>
                <c:pt idx="28">
                  <c:v>0.44987513378523009</c:v>
                </c:pt>
                <c:pt idx="29">
                  <c:v>0.48499765588373184</c:v>
                </c:pt>
                <c:pt idx="30">
                  <c:v>0.44016943169784678</c:v>
                </c:pt>
                <c:pt idx="31">
                  <c:v>0.73512963904422979</c:v>
                </c:pt>
                <c:pt idx="32">
                  <c:v>0.36709367493995199</c:v>
                </c:pt>
                <c:pt idx="33">
                  <c:v>0.181169757489301</c:v>
                </c:pt>
                <c:pt idx="34">
                  <c:v>0.20896576067772679</c:v>
                </c:pt>
                <c:pt idx="35">
                  <c:v>0.18423437028088191</c:v>
                </c:pt>
                <c:pt idx="36">
                  <c:v>0.22256438969764838</c:v>
                </c:pt>
                <c:pt idx="37">
                  <c:v>0.15921684521610638</c:v>
                </c:pt>
                <c:pt idx="38">
                  <c:v>0.21936603059454346</c:v>
                </c:pt>
                <c:pt idx="39">
                  <c:v>0.23946215440398852</c:v>
                </c:pt>
                <c:pt idx="40">
                  <c:v>0.32394612559034458</c:v>
                </c:pt>
                <c:pt idx="41">
                  <c:v>0.19888587774766636</c:v>
                </c:pt>
                <c:pt idx="42">
                  <c:v>0.12861593235425012</c:v>
                </c:pt>
                <c:pt idx="43">
                  <c:v>0.13773006134969326</c:v>
                </c:pt>
                <c:pt idx="44">
                  <c:v>7.2946733140907896E-2</c:v>
                </c:pt>
                <c:pt idx="45">
                  <c:v>0.14787815673001822</c:v>
                </c:pt>
                <c:pt idx="46">
                  <c:v>0.15152219381826632</c:v>
                </c:pt>
                <c:pt idx="47">
                  <c:v>0.30826600372902424</c:v>
                </c:pt>
                <c:pt idx="48">
                  <c:v>0.18120456905503635</c:v>
                </c:pt>
                <c:pt idx="49">
                  <c:v>0.25391201653380574</c:v>
                </c:pt>
                <c:pt idx="50">
                  <c:v>0.2179245283018868</c:v>
                </c:pt>
                <c:pt idx="51">
                  <c:v>0.16592236344898662</c:v>
                </c:pt>
                <c:pt idx="52">
                  <c:v>0.11547344110854503</c:v>
                </c:pt>
                <c:pt idx="53">
                  <c:v>0.16611405835543766</c:v>
                </c:pt>
                <c:pt idx="54">
                  <c:v>0.15837104072398189</c:v>
                </c:pt>
                <c:pt idx="55">
                  <c:v>0.19392575928008998</c:v>
                </c:pt>
                <c:pt idx="56">
                  <c:v>0.14857671835223327</c:v>
                </c:pt>
                <c:pt idx="57">
                  <c:v>0.31151207873546077</c:v>
                </c:pt>
                <c:pt idx="58">
                  <c:v>0.32004621606008088</c:v>
                </c:pt>
                <c:pt idx="59">
                  <c:v>0.22099644128113879</c:v>
                </c:pt>
                <c:pt idx="60">
                  <c:v>0.16125461254612547</c:v>
                </c:pt>
                <c:pt idx="61">
                  <c:v>0.17483189241114314</c:v>
                </c:pt>
                <c:pt idx="62">
                  <c:v>0.14455917394757745</c:v>
                </c:pt>
                <c:pt idx="63">
                  <c:v>0.13115212527964207</c:v>
                </c:pt>
                <c:pt idx="64">
                  <c:v>0.12524398178269355</c:v>
                </c:pt>
                <c:pt idx="65">
                  <c:v>0.13180417665183156</c:v>
                </c:pt>
                <c:pt idx="66">
                  <c:v>9.8945660989456605E-2</c:v>
                </c:pt>
                <c:pt idx="67">
                  <c:v>0.20927903871829107</c:v>
                </c:pt>
                <c:pt idx="68">
                  <c:v>0.38408259278619966</c:v>
                </c:pt>
                <c:pt idx="69">
                  <c:v>0.36254436254436256</c:v>
                </c:pt>
                <c:pt idx="70">
                  <c:v>0.38620602698272599</c:v>
                </c:pt>
                <c:pt idx="71">
                  <c:v>0.45970307529162246</c:v>
                </c:pt>
                <c:pt idx="72">
                  <c:v>8.6464560204953037E-2</c:v>
                </c:pt>
                <c:pt idx="73">
                  <c:v>0.11663066954643629</c:v>
                </c:pt>
                <c:pt idx="74">
                  <c:v>0.14806110458284372</c:v>
                </c:pt>
                <c:pt idx="75">
                  <c:v>8.2373782108060234E-2</c:v>
                </c:pt>
                <c:pt idx="76">
                  <c:v>8.5894857799482902E-2</c:v>
                </c:pt>
                <c:pt idx="77">
                  <c:v>0.12014674411494956</c:v>
                </c:pt>
              </c:numCache>
            </c:numRef>
          </c:xVal>
          <c:yVal>
            <c:numRef>
              <c:f>'kesilmis-oran'!$C$2:$C$79</c:f>
              <c:numCache>
                <c:formatCode>General</c:formatCode>
                <c:ptCount val="78"/>
                <c:pt idx="0">
                  <c:v>18.110714231218608</c:v>
                </c:pt>
                <c:pt idx="1">
                  <c:v>19.524047669910249</c:v>
                </c:pt>
                <c:pt idx="2">
                  <c:v>20.55075016021728</c:v>
                </c:pt>
                <c:pt idx="3">
                  <c:v>18.588333584013441</c:v>
                </c:pt>
                <c:pt idx="4">
                  <c:v>18.4734212975753</c:v>
                </c:pt>
                <c:pt idx="5">
                  <c:v>18.510000047229589</c:v>
                </c:pt>
                <c:pt idx="6">
                  <c:v>19.239999771118161</c:v>
                </c:pt>
                <c:pt idx="7">
                  <c:v>21.562272765419699</c:v>
                </c:pt>
                <c:pt idx="8">
                  <c:v>21.747619083949498</c:v>
                </c:pt>
                <c:pt idx="9">
                  <c:v>22.195714133126391</c:v>
                </c:pt>
                <c:pt idx="10">
                  <c:v>23.893043600994609</c:v>
                </c:pt>
                <c:pt idx="11">
                  <c:v>27.951315930015159</c:v>
                </c:pt>
                <c:pt idx="12">
                  <c:v>26.11326068380605</c:v>
                </c:pt>
                <c:pt idx="13">
                  <c:v>24.8261904943557</c:v>
                </c:pt>
                <c:pt idx="14">
                  <c:v>23.90500008432489</c:v>
                </c:pt>
                <c:pt idx="15">
                  <c:v>21.692857015700572</c:v>
                </c:pt>
                <c:pt idx="16">
                  <c:v>18.085263101678141</c:v>
                </c:pt>
                <c:pt idx="17">
                  <c:v>15.62833331880115</c:v>
                </c:pt>
                <c:pt idx="18">
                  <c:v>14.94047614506313</c:v>
                </c:pt>
                <c:pt idx="19">
                  <c:v>13.29159086400812</c:v>
                </c:pt>
                <c:pt idx="20">
                  <c:v>10.842249965667721</c:v>
                </c:pt>
                <c:pt idx="21">
                  <c:v>11.03227272900668</c:v>
                </c:pt>
                <c:pt idx="22">
                  <c:v>11.275454477830371</c:v>
                </c:pt>
                <c:pt idx="23">
                  <c:v>13.0949999332428</c:v>
                </c:pt>
                <c:pt idx="24">
                  <c:v>15.611739241558571</c:v>
                </c:pt>
                <c:pt idx="25">
                  <c:v>15.909500026702879</c:v>
                </c:pt>
                <c:pt idx="26">
                  <c:v>14.187619118463431</c:v>
                </c:pt>
                <c:pt idx="27">
                  <c:v>11.193095207214361</c:v>
                </c:pt>
                <c:pt idx="28">
                  <c:v>9.083684168363872</c:v>
                </c:pt>
                <c:pt idx="29">
                  <c:v>8.3850000121376738</c:v>
                </c:pt>
                <c:pt idx="30">
                  <c:v>6.6571428435189386</c:v>
                </c:pt>
                <c:pt idx="31">
                  <c:v>4.9372499704360964</c:v>
                </c:pt>
                <c:pt idx="32">
                  <c:v>5.3118181445381856</c:v>
                </c:pt>
                <c:pt idx="33">
                  <c:v>5.332045446742665</c:v>
                </c:pt>
                <c:pt idx="34">
                  <c:v>8.2552380561828613</c:v>
                </c:pt>
                <c:pt idx="35">
                  <c:v>11.44357145400274</c:v>
                </c:pt>
                <c:pt idx="36">
                  <c:v>14.17522729526867</c:v>
                </c:pt>
                <c:pt idx="37">
                  <c:v>13.94175000190735</c:v>
                </c:pt>
                <c:pt idx="38">
                  <c:v>16.423181663859971</c:v>
                </c:pt>
                <c:pt idx="39">
                  <c:v>20.44157911601819</c:v>
                </c:pt>
                <c:pt idx="40">
                  <c:v>17.415000012046409</c:v>
                </c:pt>
                <c:pt idx="41">
                  <c:v>17.563912972160011</c:v>
                </c:pt>
                <c:pt idx="42">
                  <c:v>20.39285741533552</c:v>
                </c:pt>
                <c:pt idx="43">
                  <c:v>25.01800003051758</c:v>
                </c:pt>
                <c:pt idx="44">
                  <c:v>29.168272712013941</c:v>
                </c:pt>
                <c:pt idx="45">
                  <c:v>36.019524165562217</c:v>
                </c:pt>
                <c:pt idx="46">
                  <c:v>44.713590448552907</c:v>
                </c:pt>
                <c:pt idx="47">
                  <c:v>44.025304213814117</c:v>
                </c:pt>
                <c:pt idx="48">
                  <c:v>42.070315712376647</c:v>
                </c:pt>
                <c:pt idx="49">
                  <c:v>32.051181793212891</c:v>
                </c:pt>
                <c:pt idx="50">
                  <c:v>32.47385715302967</c:v>
                </c:pt>
                <c:pt idx="51">
                  <c:v>29.15274991989136</c:v>
                </c:pt>
                <c:pt idx="52">
                  <c:v>35.000434875488281</c:v>
                </c:pt>
                <c:pt idx="53">
                  <c:v>37.043300437927243</c:v>
                </c:pt>
                <c:pt idx="54">
                  <c:v>47.068136388605289</c:v>
                </c:pt>
                <c:pt idx="55">
                  <c:v>45.735636451027609</c:v>
                </c:pt>
                <c:pt idx="56">
                  <c:v>35.9706995010376</c:v>
                </c:pt>
                <c:pt idx="57">
                  <c:v>29.907999946957538</c:v>
                </c:pt>
                <c:pt idx="58">
                  <c:v>25.866250133514409</c:v>
                </c:pt>
                <c:pt idx="59">
                  <c:v>26.852850055694581</c:v>
                </c:pt>
                <c:pt idx="60">
                  <c:v>28.961809339977449</c:v>
                </c:pt>
                <c:pt idx="61">
                  <c:v>31.812363711270422</c:v>
                </c:pt>
                <c:pt idx="62">
                  <c:v>34.4207370155736</c:v>
                </c:pt>
                <c:pt idx="63">
                  <c:v>32.523045453158289</c:v>
                </c:pt>
                <c:pt idx="64">
                  <c:v>38.347045725042172</c:v>
                </c:pt>
                <c:pt idx="65">
                  <c:v>36.082599830627437</c:v>
                </c:pt>
                <c:pt idx="66">
                  <c:v>40.423434547756031</c:v>
                </c:pt>
                <c:pt idx="67">
                  <c:v>44.633600425720218</c:v>
                </c:pt>
                <c:pt idx="68">
                  <c:v>45.153618585495721</c:v>
                </c:pt>
                <c:pt idx="69">
                  <c:v>48.350666591099333</c:v>
                </c:pt>
                <c:pt idx="70">
                  <c:v>50.380420885587988</c:v>
                </c:pt>
                <c:pt idx="71">
                  <c:v>41.781190781366263</c:v>
                </c:pt>
                <c:pt idx="72">
                  <c:v>35.213476544334767</c:v>
                </c:pt>
                <c:pt idx="73">
                  <c:v>35.177713848295667</c:v>
                </c:pt>
                <c:pt idx="74">
                  <c:v>36.388399887084958</c:v>
                </c:pt>
                <c:pt idx="75">
                  <c:v>33.937173760455593</c:v>
                </c:pt>
                <c:pt idx="76">
                  <c:v>32.695904413859047</c:v>
                </c:pt>
                <c:pt idx="77">
                  <c:v>32.340333121163503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7-0D4A-8E13-2AAA5C688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828608"/>
        <c:axId val="1732830400"/>
      </c:scatterChart>
      <c:valAx>
        <c:axId val="173282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LNG'nin Tüketimdeki Oranı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830400"/>
        <c:crosses val="autoZero"/>
        <c:crossBetween val="midCat"/>
      </c:valAx>
      <c:valAx>
        <c:axId val="173283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€/MWh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82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806450</xdr:colOff>
      <xdr:row>27</xdr:row>
      <xdr:rowOff>82550</xdr:rowOff>
    </xdr:from>
    <xdr:to>
      <xdr:col>27</xdr:col>
      <xdr:colOff>241300</xdr:colOff>
      <xdr:row>51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0C3D8-7EA6-9A6D-B7D2-5B77CBCE5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336550</xdr:colOff>
      <xdr:row>50</xdr:row>
      <xdr:rowOff>184150</xdr:rowOff>
    </xdr:from>
    <xdr:to>
      <xdr:col>27</xdr:col>
      <xdr:colOff>279400</xdr:colOff>
      <xdr:row>71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3EEC2-363D-79D3-60E5-74723ECC4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419553</xdr:colOff>
      <xdr:row>83</xdr:row>
      <xdr:rowOff>79376</xdr:rowOff>
    </xdr:from>
    <xdr:to>
      <xdr:col>26</xdr:col>
      <xdr:colOff>360136</xdr:colOff>
      <xdr:row>104</xdr:row>
      <xdr:rowOff>7258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828083-AE96-E545-A8B4-FE2097ABF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50800</xdr:colOff>
      <xdr:row>8</xdr:row>
      <xdr:rowOff>25400</xdr:rowOff>
    </xdr:from>
    <xdr:to>
      <xdr:col>28</xdr:col>
      <xdr:colOff>819150</xdr:colOff>
      <xdr:row>28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426644-F0B6-9542-B39A-4C0ABF763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787400</xdr:colOff>
      <xdr:row>30</xdr:row>
      <xdr:rowOff>25400</xdr:rowOff>
    </xdr:from>
    <xdr:to>
      <xdr:col>28</xdr:col>
      <xdr:colOff>711200</xdr:colOff>
      <xdr:row>52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7F7C75-EC9E-6F55-7991-5C6EC4A0D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611414</xdr:colOff>
      <xdr:row>37</xdr:row>
      <xdr:rowOff>182789</xdr:rowOff>
    </xdr:from>
    <xdr:to>
      <xdr:col>14</xdr:col>
      <xdr:colOff>446314</xdr:colOff>
      <xdr:row>58</xdr:row>
      <xdr:rowOff>161471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534DDA6-E84C-14C0-0A8E-D57E48795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551090</xdr:colOff>
      <xdr:row>13</xdr:row>
      <xdr:rowOff>82096</xdr:rowOff>
    </xdr:from>
    <xdr:to>
      <xdr:col>12</xdr:col>
      <xdr:colOff>385990</xdr:colOff>
      <xdr:row>34</xdr:row>
      <xdr:rowOff>63046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7EF090-7818-E846-95E9-5B2FECD41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197304</xdr:colOff>
      <xdr:row>14</xdr:row>
      <xdr:rowOff>11340</xdr:rowOff>
    </xdr:from>
    <xdr:to>
      <xdr:col>25</xdr:col>
      <xdr:colOff>283482</xdr:colOff>
      <xdr:row>29</xdr:row>
      <xdr:rowOff>124279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01EE785-B050-377C-B475-28BBC4D41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623660</xdr:colOff>
      <xdr:row>42</xdr:row>
      <xdr:rowOff>34019</xdr:rowOff>
    </xdr:from>
    <xdr:to>
      <xdr:col>11</xdr:col>
      <xdr:colOff>458561</xdr:colOff>
      <xdr:row>63</xdr:row>
      <xdr:rowOff>12701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44A954A-74AC-4C4F-A15D-32349397C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711199</xdr:colOff>
      <xdr:row>3</xdr:row>
      <xdr:rowOff>177800</xdr:rowOff>
    </xdr:from>
    <xdr:to>
      <xdr:col>9</xdr:col>
      <xdr:colOff>784410</xdr:colOff>
      <xdr:row>18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42D2CE-C50C-47E4-A4F0-E046B204A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139700</xdr:colOff>
      <xdr:row>31</xdr:row>
      <xdr:rowOff>114300</xdr:rowOff>
    </xdr:from>
    <xdr:to>
      <xdr:col>19</xdr:col>
      <xdr:colOff>400050</xdr:colOff>
      <xdr:row>48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83C87-37A7-69F0-E139-07743BA9A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8</xdr:row>
      <xdr:rowOff>57150</xdr:rowOff>
    </xdr:from>
    <xdr:to>
      <xdr:col>13</xdr:col>
      <xdr:colOff>50800</xdr:colOff>
      <xdr:row>27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EA46CB-568D-F4BA-F5E4-C7F2F8342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0.18696</cdr:x>
      <cdr:y>0.25132</cdr:y>
    </cdr:from>
    <cdr:to>
      <cdr:x>0.8422</cdr:x>
      <cdr:y>0.75044</cdr:y>
    </cdr:to>
    <cdr:sp macro="" textlink="">
      <cdr:nvSpPr>
        <cdr:cNvPr id="2" name="Arc 1">
          <a:extLst xmlns:a="http://schemas.openxmlformats.org/drawingml/2006/main">
            <a:ext uri="{FF2B5EF4-FFF2-40B4-BE49-F238E27FC236}">
              <a16:creationId xmlns:a16="http://schemas.microsoft.com/office/drawing/2014/main" id="{78EEA897-351C-FE7D-E654-47678DB1194F}"/>
            </a:ext>
          </a:extLst>
        </cdr:cNvPr>
        <cdr:cNvSpPr/>
      </cdr:nvSpPr>
      <cdr:spPr>
        <a:xfrm xmlns:a="http://schemas.openxmlformats.org/drawingml/2006/main" rot="11577045">
          <a:off x="1384299" y="908050"/>
          <a:ext cx="4851400" cy="1803400"/>
        </a:xfrm>
        <a:prstGeom xmlns:a="http://schemas.openxmlformats.org/drawingml/2006/main" prst="arc">
          <a:avLst>
            <a:gd name="adj1" fmla="val 12478851"/>
            <a:gd name="adj2" fmla="val 0"/>
          </a:avLst>
        </a:prstGeom>
        <a:ln xmlns:a="http://schemas.openxmlformats.org/drawingml/2006/main" w="57150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B4" sqref="B4:B101"/>
    </sheetView>
  </sheetViews>
  <sheetFormatPr baseColWidth="10" defaultColWidth="8.83203125" defaultRowHeight="15" x14ac:dyDescent="0.2"/>
  <cols>
    <col min="1" max="1" width="20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2">
      <c r="A3" s="1" t="s">
        <v>8</v>
      </c>
    </row>
    <row r="4" spans="1:6" x14ac:dyDescent="0.2">
      <c r="A4" s="2">
        <v>43039</v>
      </c>
      <c r="B4">
        <v>18.110714231218608</v>
      </c>
      <c r="C4">
        <v>18.110714231218608</v>
      </c>
      <c r="D4">
        <v>18.110714231218608</v>
      </c>
      <c r="E4">
        <v>18.110714231218608</v>
      </c>
      <c r="F4">
        <v>0</v>
      </c>
    </row>
    <row r="5" spans="1:6" x14ac:dyDescent="0.2">
      <c r="A5" s="2">
        <v>43069</v>
      </c>
      <c r="B5">
        <v>19.524047669910249</v>
      </c>
      <c r="C5">
        <v>19.524047669910249</v>
      </c>
      <c r="D5">
        <v>19.524047669910249</v>
      </c>
      <c r="E5">
        <v>19.524047669910249</v>
      </c>
      <c r="F5">
        <v>0</v>
      </c>
    </row>
    <row r="6" spans="1:6" x14ac:dyDescent="0.2">
      <c r="A6" s="2">
        <v>43100</v>
      </c>
      <c r="B6">
        <v>20.55075016021728</v>
      </c>
      <c r="C6">
        <v>20.55075016021728</v>
      </c>
      <c r="D6">
        <v>20.55075016021728</v>
      </c>
      <c r="E6">
        <v>20.55075016021728</v>
      </c>
      <c r="F6">
        <v>0</v>
      </c>
    </row>
    <row r="7" spans="1:6" x14ac:dyDescent="0.2">
      <c r="A7" s="2">
        <v>43131</v>
      </c>
      <c r="B7">
        <v>18.588333584013441</v>
      </c>
      <c r="C7">
        <v>18.588333584013441</v>
      </c>
      <c r="D7">
        <v>18.588333584013441</v>
      </c>
      <c r="E7">
        <v>18.588333584013441</v>
      </c>
      <c r="F7">
        <v>0</v>
      </c>
    </row>
    <row r="8" spans="1:6" x14ac:dyDescent="0.2">
      <c r="A8" s="2">
        <v>43159</v>
      </c>
      <c r="B8">
        <v>18.4734212975753</v>
      </c>
      <c r="C8">
        <v>18.4734212975753</v>
      </c>
      <c r="D8">
        <v>18.4734212975753</v>
      </c>
      <c r="E8">
        <v>18.4734212975753</v>
      </c>
      <c r="F8">
        <v>0.52631578947368418</v>
      </c>
    </row>
    <row r="9" spans="1:6" x14ac:dyDescent="0.2">
      <c r="A9" s="2">
        <v>43190</v>
      </c>
      <c r="B9">
        <v>18.510000047229589</v>
      </c>
      <c r="C9">
        <v>18.510000047229589</v>
      </c>
      <c r="D9">
        <v>18.507142929803759</v>
      </c>
      <c r="E9">
        <v>18.507142929803759</v>
      </c>
      <c r="F9">
        <v>8.5714285714285712</v>
      </c>
    </row>
    <row r="10" spans="1:6" x14ac:dyDescent="0.2">
      <c r="A10" s="2">
        <v>43220</v>
      </c>
      <c r="B10">
        <v>19.239999771118161</v>
      </c>
      <c r="C10">
        <v>19.241666430518741</v>
      </c>
      <c r="D10">
        <v>19.205714089529859</v>
      </c>
      <c r="E10">
        <v>19.207856950305761</v>
      </c>
      <c r="F10">
        <v>3.333333333333333</v>
      </c>
    </row>
    <row r="11" spans="1:6" x14ac:dyDescent="0.2">
      <c r="A11" s="2">
        <v>43251</v>
      </c>
      <c r="B11">
        <v>21.562272765419699</v>
      </c>
      <c r="C11">
        <v>21.596136439930309</v>
      </c>
      <c r="D11">
        <v>21.54954554817893</v>
      </c>
      <c r="E11">
        <v>21.58363645726984</v>
      </c>
      <c r="F11">
        <v>4.0909090909090908</v>
      </c>
    </row>
    <row r="12" spans="1:6" x14ac:dyDescent="0.2">
      <c r="A12" s="2">
        <v>43281</v>
      </c>
      <c r="B12">
        <v>21.747619083949498</v>
      </c>
      <c r="C12">
        <v>21.78047616141183</v>
      </c>
      <c r="D12">
        <v>21.747619083949498</v>
      </c>
      <c r="E12">
        <v>21.78047616141183</v>
      </c>
      <c r="F12">
        <v>2</v>
      </c>
    </row>
    <row r="13" spans="1:6" x14ac:dyDescent="0.2">
      <c r="A13" s="2">
        <v>43312</v>
      </c>
      <c r="B13">
        <v>22.195714133126391</v>
      </c>
      <c r="C13">
        <v>22.202618826003299</v>
      </c>
      <c r="D13">
        <v>22.195714133126391</v>
      </c>
      <c r="E13">
        <v>22.202618826003299</v>
      </c>
      <c r="F13">
        <v>0.95238095238095233</v>
      </c>
    </row>
    <row r="14" spans="1:6" x14ac:dyDescent="0.2">
      <c r="A14" s="2">
        <v>43343</v>
      </c>
      <c r="B14">
        <v>23.893043600994609</v>
      </c>
      <c r="C14">
        <v>23.946086883544918</v>
      </c>
      <c r="D14">
        <v>23.85456516431725</v>
      </c>
      <c r="E14">
        <v>23.91695652837339</v>
      </c>
      <c r="F14">
        <v>8.9130434782608692</v>
      </c>
    </row>
    <row r="15" spans="1:6" x14ac:dyDescent="0.2">
      <c r="A15" s="2">
        <v>43373</v>
      </c>
      <c r="B15">
        <v>27.951315930015159</v>
      </c>
      <c r="C15">
        <v>28.15000002007735</v>
      </c>
      <c r="D15">
        <v>27.761579212389499</v>
      </c>
      <c r="E15">
        <v>27.964210409867139</v>
      </c>
      <c r="F15">
        <v>51.05263157894737</v>
      </c>
    </row>
    <row r="16" spans="1:6" x14ac:dyDescent="0.2">
      <c r="A16" s="2">
        <v>43404</v>
      </c>
      <c r="B16">
        <v>26.11326068380605</v>
      </c>
      <c r="C16">
        <v>26.182825917782989</v>
      </c>
      <c r="D16">
        <v>26.06217367752739</v>
      </c>
      <c r="E16">
        <v>26.138260716977332</v>
      </c>
      <c r="F16">
        <v>5.3043478260869561</v>
      </c>
    </row>
    <row r="17" spans="1:6" x14ac:dyDescent="0.2">
      <c r="A17" s="2">
        <v>43434</v>
      </c>
      <c r="B17">
        <v>24.8261904943557</v>
      </c>
      <c r="C17">
        <v>24.964285623459588</v>
      </c>
      <c r="D17">
        <v>24.658809571039111</v>
      </c>
      <c r="E17">
        <v>24.794523874918621</v>
      </c>
      <c r="F17">
        <v>39.428571428571431</v>
      </c>
    </row>
    <row r="18" spans="1:6" x14ac:dyDescent="0.2">
      <c r="A18" s="2">
        <v>43465</v>
      </c>
      <c r="B18">
        <v>23.90500008432489</v>
      </c>
      <c r="C18">
        <v>24.009473599885641</v>
      </c>
      <c r="D18">
        <v>23.86631574128803</v>
      </c>
      <c r="E18">
        <v>23.949736745733961</v>
      </c>
      <c r="F18">
        <v>37.578947368421048</v>
      </c>
    </row>
    <row r="19" spans="1:6" x14ac:dyDescent="0.2">
      <c r="A19" s="2">
        <v>43496</v>
      </c>
      <c r="B19">
        <v>21.692857015700572</v>
      </c>
      <c r="C19">
        <v>21.853095100039528</v>
      </c>
      <c r="D19">
        <v>21.596904482160291</v>
      </c>
      <c r="E19">
        <v>21.77142860775902</v>
      </c>
      <c r="F19">
        <v>36.142857142857153</v>
      </c>
    </row>
    <row r="20" spans="1:6" x14ac:dyDescent="0.2">
      <c r="A20" s="2">
        <v>43524</v>
      </c>
      <c r="B20">
        <v>18.085263101678141</v>
      </c>
      <c r="C20">
        <v>18.17236840097528</v>
      </c>
      <c r="D20">
        <v>18.039736797935081</v>
      </c>
      <c r="E20">
        <v>18.12052636397512</v>
      </c>
      <c r="F20">
        <v>46.578947368421048</v>
      </c>
    </row>
    <row r="21" spans="1:6" x14ac:dyDescent="0.2">
      <c r="A21" s="2">
        <v>43555</v>
      </c>
      <c r="B21">
        <v>15.62833331880115</v>
      </c>
      <c r="C21">
        <v>15.76738103230794</v>
      </c>
      <c r="D21">
        <v>15.56095232282366</v>
      </c>
      <c r="E21">
        <v>15.694523856753399</v>
      </c>
      <c r="F21">
        <v>175</v>
      </c>
    </row>
    <row r="22" spans="1:6" x14ac:dyDescent="0.2">
      <c r="A22" s="2">
        <v>43585</v>
      </c>
      <c r="B22">
        <v>14.94047614506313</v>
      </c>
      <c r="C22">
        <v>15.07571424756731</v>
      </c>
      <c r="D22">
        <v>14.868571417672291</v>
      </c>
      <c r="E22">
        <v>14.982142902555919</v>
      </c>
      <c r="F22">
        <v>18.428571428571431</v>
      </c>
    </row>
    <row r="23" spans="1:6" x14ac:dyDescent="0.2">
      <c r="A23" s="2">
        <v>43616</v>
      </c>
      <c r="B23">
        <v>13.29159086400812</v>
      </c>
      <c r="C23">
        <v>13.3254546252164</v>
      </c>
      <c r="D23">
        <v>13.277499979192561</v>
      </c>
      <c r="E23">
        <v>13.312727364626801</v>
      </c>
      <c r="F23">
        <v>5.8636363636363633</v>
      </c>
    </row>
    <row r="24" spans="1:6" x14ac:dyDescent="0.2">
      <c r="A24" s="2">
        <v>43646</v>
      </c>
      <c r="B24">
        <v>10.842249965667721</v>
      </c>
      <c r="C24">
        <v>10.90324993133545</v>
      </c>
      <c r="D24">
        <v>10.756749916076661</v>
      </c>
      <c r="E24">
        <v>10.819499921798711</v>
      </c>
      <c r="F24">
        <v>23.95</v>
      </c>
    </row>
    <row r="25" spans="1:6" x14ac:dyDescent="0.2">
      <c r="A25" s="2">
        <v>43677</v>
      </c>
      <c r="B25">
        <v>11.03227272900668</v>
      </c>
      <c r="C25">
        <v>11.328409021550961</v>
      </c>
      <c r="D25">
        <v>10.790000005201859</v>
      </c>
      <c r="E25">
        <v>11.074090870943939</v>
      </c>
      <c r="F25">
        <v>338.18181818181819</v>
      </c>
    </row>
    <row r="26" spans="1:6" x14ac:dyDescent="0.2">
      <c r="A26" s="2">
        <v>43708</v>
      </c>
      <c r="B26">
        <v>11.275454477830371</v>
      </c>
      <c r="C26">
        <v>11.49727270819924</v>
      </c>
      <c r="D26">
        <v>11.10159089348533</v>
      </c>
      <c r="E26">
        <v>11.2611363584345</v>
      </c>
      <c r="F26">
        <v>261.09090909090912</v>
      </c>
    </row>
    <row r="27" spans="1:6" x14ac:dyDescent="0.2">
      <c r="A27" s="2">
        <v>43738</v>
      </c>
      <c r="B27">
        <v>13.0949999332428</v>
      </c>
      <c r="C27">
        <v>13.273750019073489</v>
      </c>
      <c r="D27">
        <v>12.896750020980839</v>
      </c>
      <c r="E27">
        <v>13.06625003814697</v>
      </c>
      <c r="F27">
        <v>147.55000000000001</v>
      </c>
    </row>
    <row r="28" spans="1:6" x14ac:dyDescent="0.2">
      <c r="A28" s="2">
        <v>43769</v>
      </c>
      <c r="B28">
        <v>15.611739241558571</v>
      </c>
      <c r="C28">
        <v>15.7947825970857</v>
      </c>
      <c r="D28">
        <v>15.45217389645784</v>
      </c>
      <c r="E28">
        <v>15.65239118493122</v>
      </c>
      <c r="F28">
        <v>271.82608695652169</v>
      </c>
    </row>
    <row r="29" spans="1:6" x14ac:dyDescent="0.2">
      <c r="A29" s="2">
        <v>43799</v>
      </c>
      <c r="B29">
        <v>15.909500026702879</v>
      </c>
      <c r="C29">
        <v>16.03600010871887</v>
      </c>
      <c r="D29">
        <v>15.8085000038147</v>
      </c>
      <c r="E29">
        <v>15.91149997711182</v>
      </c>
      <c r="F29">
        <v>428.3</v>
      </c>
    </row>
    <row r="30" spans="1:6" x14ac:dyDescent="0.2">
      <c r="A30" s="2">
        <v>43830</v>
      </c>
      <c r="B30">
        <v>14.187619118463431</v>
      </c>
      <c r="C30">
        <v>14.269523756844659</v>
      </c>
      <c r="D30">
        <v>14.051190512520931</v>
      </c>
      <c r="E30">
        <v>14.11809521629697</v>
      </c>
      <c r="F30">
        <v>253.85714285714289</v>
      </c>
    </row>
    <row r="31" spans="1:6" x14ac:dyDescent="0.2">
      <c r="A31" s="2">
        <v>43861</v>
      </c>
      <c r="B31">
        <v>11.193095207214361</v>
      </c>
      <c r="C31">
        <v>11.40595236278716</v>
      </c>
      <c r="D31">
        <v>11.112619036719909</v>
      </c>
      <c r="E31">
        <v>11.316904749189099</v>
      </c>
      <c r="F31">
        <v>311.14285714285722</v>
      </c>
    </row>
    <row r="32" spans="1:6" x14ac:dyDescent="0.2">
      <c r="A32" s="2">
        <v>43890</v>
      </c>
      <c r="B32">
        <v>9.083684168363872</v>
      </c>
      <c r="C32">
        <v>9.1628947508962533</v>
      </c>
      <c r="D32">
        <v>8.9460526014629167</v>
      </c>
      <c r="E32">
        <v>9.0378947508962533</v>
      </c>
      <c r="F32">
        <v>193.10526315789471</v>
      </c>
    </row>
    <row r="33" spans="1:6" x14ac:dyDescent="0.2">
      <c r="A33" s="2">
        <v>43921</v>
      </c>
      <c r="B33">
        <v>8.3850000121376738</v>
      </c>
      <c r="C33">
        <v>8.4852273464202881</v>
      </c>
      <c r="D33">
        <v>8.2890909801829942</v>
      </c>
      <c r="E33">
        <v>8.382272742011331</v>
      </c>
      <c r="F33">
        <v>570.5</v>
      </c>
    </row>
    <row r="34" spans="1:6" x14ac:dyDescent="0.2">
      <c r="A34" s="2">
        <v>43951</v>
      </c>
      <c r="B34">
        <v>6.6571428435189386</v>
      </c>
      <c r="C34">
        <v>6.8004761877514071</v>
      </c>
      <c r="D34">
        <v>6.5940476145063132</v>
      </c>
      <c r="E34">
        <v>6.7057142711821056</v>
      </c>
      <c r="F34">
        <v>261.52380952380952</v>
      </c>
    </row>
    <row r="35" spans="1:6" x14ac:dyDescent="0.2">
      <c r="A35" s="2">
        <v>43982</v>
      </c>
      <c r="B35">
        <v>4.9372499704360964</v>
      </c>
      <c r="C35">
        <v>5.1690000057220464</v>
      </c>
      <c r="D35">
        <v>4.8902500629425054</v>
      </c>
      <c r="E35">
        <v>5.0689999938011168</v>
      </c>
      <c r="F35">
        <v>271</v>
      </c>
    </row>
    <row r="36" spans="1:6" x14ac:dyDescent="0.2">
      <c r="A36" s="2">
        <v>44012</v>
      </c>
      <c r="B36">
        <v>5.3118181445381856</v>
      </c>
      <c r="C36">
        <v>5.4622727307406338</v>
      </c>
      <c r="D36">
        <v>5.1290909268639302</v>
      </c>
      <c r="E36">
        <v>5.2540908943523057</v>
      </c>
      <c r="F36">
        <v>417.40909090909088</v>
      </c>
    </row>
    <row r="37" spans="1:6" x14ac:dyDescent="0.2">
      <c r="A37" s="2">
        <v>44043</v>
      </c>
      <c r="B37">
        <v>5.332045446742665</v>
      </c>
      <c r="C37">
        <v>5.4702272631905293</v>
      </c>
      <c r="D37">
        <v>5.2675000104037197</v>
      </c>
      <c r="E37">
        <v>5.3850000121376729</v>
      </c>
      <c r="F37">
        <v>353.31818181818181</v>
      </c>
    </row>
    <row r="38" spans="1:6" x14ac:dyDescent="0.2">
      <c r="A38" s="2">
        <v>44074</v>
      </c>
      <c r="B38">
        <v>8.2552380561828613</v>
      </c>
      <c r="C38">
        <v>8.4673809778122671</v>
      </c>
      <c r="D38">
        <v>8.0823808851696199</v>
      </c>
      <c r="E38">
        <v>8.2392856734139581</v>
      </c>
      <c r="F38">
        <v>192.1904761904762</v>
      </c>
    </row>
    <row r="39" spans="1:6" x14ac:dyDescent="0.2">
      <c r="A39" s="2">
        <v>44104</v>
      </c>
      <c r="B39">
        <v>11.44357145400274</v>
      </c>
      <c r="C39">
        <v>11.63214288439069</v>
      </c>
      <c r="D39">
        <v>11.30261902582078</v>
      </c>
      <c r="E39">
        <v>11.46119049617222</v>
      </c>
      <c r="F39">
        <v>193.47619047619051</v>
      </c>
    </row>
    <row r="40" spans="1:6" x14ac:dyDescent="0.2">
      <c r="A40" s="2">
        <v>44135</v>
      </c>
      <c r="B40">
        <v>14.17522729526867</v>
      </c>
      <c r="C40">
        <v>14.30409080331976</v>
      </c>
      <c r="D40">
        <v>14.00909085707231</v>
      </c>
      <c r="E40">
        <v>14.121818108992141</v>
      </c>
      <c r="F40">
        <v>323.81818181818181</v>
      </c>
    </row>
    <row r="41" spans="1:6" x14ac:dyDescent="0.2">
      <c r="A41" s="2">
        <v>44165</v>
      </c>
      <c r="B41">
        <v>13.94175000190735</v>
      </c>
      <c r="C41">
        <v>14.11874995231628</v>
      </c>
      <c r="D41">
        <v>13.752250099182129</v>
      </c>
      <c r="E41">
        <v>13.88900003433228</v>
      </c>
      <c r="F41">
        <v>323.60000000000002</v>
      </c>
    </row>
    <row r="42" spans="1:6" x14ac:dyDescent="0.2">
      <c r="A42" s="2">
        <v>44196</v>
      </c>
      <c r="B42">
        <v>16.423181663859971</v>
      </c>
      <c r="C42">
        <v>16.588636268268932</v>
      </c>
      <c r="D42">
        <v>16.209090839732781</v>
      </c>
      <c r="E42">
        <v>16.38636363636364</v>
      </c>
      <c r="F42">
        <v>214.77272727272731</v>
      </c>
    </row>
    <row r="43" spans="1:6" x14ac:dyDescent="0.2">
      <c r="A43" s="2">
        <v>44227</v>
      </c>
      <c r="B43">
        <v>20.44157911601819</v>
      </c>
      <c r="C43">
        <v>21.045000076293949</v>
      </c>
      <c r="D43">
        <v>19.787631386204769</v>
      </c>
      <c r="E43">
        <v>20.39710536756014</v>
      </c>
      <c r="F43">
        <v>554.47368421052636</v>
      </c>
    </row>
    <row r="44" spans="1:6" x14ac:dyDescent="0.2">
      <c r="A44" s="2">
        <v>44255</v>
      </c>
      <c r="B44">
        <v>17.415000012046409</v>
      </c>
      <c r="C44">
        <v>17.769210413882611</v>
      </c>
      <c r="D44">
        <v>17.156315803527828</v>
      </c>
      <c r="E44">
        <v>17.55526306754664</v>
      </c>
      <c r="F44">
        <v>735.36842105263156</v>
      </c>
    </row>
    <row r="45" spans="1:6" x14ac:dyDescent="0.2">
      <c r="A45" s="2">
        <v>44286</v>
      </c>
      <c r="B45">
        <v>17.563912972160011</v>
      </c>
      <c r="C45">
        <v>17.749348018480379</v>
      </c>
      <c r="D45">
        <v>17.206739301266879</v>
      </c>
      <c r="E45">
        <v>17.39152178557023</v>
      </c>
      <c r="F45">
        <v>889.26086956521738</v>
      </c>
    </row>
    <row r="46" spans="1:6" x14ac:dyDescent="0.2">
      <c r="A46" s="2">
        <v>44316</v>
      </c>
      <c r="B46">
        <v>20.39285741533552</v>
      </c>
      <c r="C46">
        <v>20.631666728428431</v>
      </c>
      <c r="D46">
        <v>20.11738086882092</v>
      </c>
      <c r="E46">
        <v>20.327142987932479</v>
      </c>
      <c r="F46">
        <v>863.76190476190482</v>
      </c>
    </row>
    <row r="47" spans="1:6" x14ac:dyDescent="0.2">
      <c r="A47" s="2">
        <v>44347</v>
      </c>
      <c r="B47">
        <v>25.01800003051758</v>
      </c>
      <c r="C47">
        <v>25.39500017166138</v>
      </c>
      <c r="D47">
        <v>24.56650018692017</v>
      </c>
      <c r="E47">
        <v>24.969249916076659</v>
      </c>
      <c r="F47">
        <v>834.45</v>
      </c>
    </row>
    <row r="48" spans="1:6" x14ac:dyDescent="0.2">
      <c r="A48" s="2">
        <v>44377</v>
      </c>
      <c r="B48">
        <v>29.168272712013941</v>
      </c>
      <c r="C48">
        <v>29.464318362149321</v>
      </c>
      <c r="D48">
        <v>28.65159112756902</v>
      </c>
      <c r="E48">
        <v>28.943863435225051</v>
      </c>
      <c r="F48">
        <v>745</v>
      </c>
    </row>
    <row r="49" spans="1:6" x14ac:dyDescent="0.2">
      <c r="A49" s="2">
        <v>44408</v>
      </c>
      <c r="B49">
        <v>36.019524165562217</v>
      </c>
      <c r="C49">
        <v>36.837571643647692</v>
      </c>
      <c r="D49">
        <v>35.261333193097798</v>
      </c>
      <c r="E49">
        <v>35.975714002336773</v>
      </c>
      <c r="F49">
        <v>681.42857142857144</v>
      </c>
    </row>
    <row r="50" spans="1:6" x14ac:dyDescent="0.2">
      <c r="A50" s="2">
        <v>44439</v>
      </c>
      <c r="B50">
        <v>44.713590448552907</v>
      </c>
      <c r="C50">
        <v>45.513636675747961</v>
      </c>
      <c r="D50">
        <v>43.831863750110983</v>
      </c>
      <c r="E50">
        <v>44.561409343372688</v>
      </c>
      <c r="F50">
        <v>684.72727272727275</v>
      </c>
    </row>
    <row r="51" spans="1:6" x14ac:dyDescent="0.2">
      <c r="A51" s="2">
        <v>44469</v>
      </c>
      <c r="B51">
        <v>66.839047749837235</v>
      </c>
      <c r="C51">
        <v>68.309667133149645</v>
      </c>
      <c r="D51">
        <v>64.742380959647036</v>
      </c>
      <c r="E51">
        <v>66.145952678862074</v>
      </c>
      <c r="F51">
        <v>801.42857142857144</v>
      </c>
    </row>
    <row r="52" spans="1:6" x14ac:dyDescent="0.2">
      <c r="A52" s="2">
        <v>44500</v>
      </c>
      <c r="B52">
        <v>91.333141871861045</v>
      </c>
      <c r="C52">
        <v>96.411427815755204</v>
      </c>
      <c r="D52">
        <v>88.949095589773989</v>
      </c>
      <c r="E52">
        <v>93.505238124302451</v>
      </c>
      <c r="F52">
        <v>130.1904761904762</v>
      </c>
    </row>
    <row r="53" spans="1:6" x14ac:dyDescent="0.2">
      <c r="A53" s="2">
        <v>44530</v>
      </c>
      <c r="B53">
        <v>82.057619730631515</v>
      </c>
      <c r="C53">
        <v>84.292762029738654</v>
      </c>
      <c r="D53">
        <v>79.83090355282738</v>
      </c>
      <c r="E53">
        <v>81.993332454136436</v>
      </c>
      <c r="F53">
        <v>41.285714285714278</v>
      </c>
    </row>
    <row r="54" spans="1:6" x14ac:dyDescent="0.2">
      <c r="A54" s="2">
        <v>44561</v>
      </c>
      <c r="B54">
        <v>114.99272606589579</v>
      </c>
      <c r="C54">
        <v>118.42740943215109</v>
      </c>
      <c r="D54">
        <v>109.3734536604448</v>
      </c>
      <c r="E54">
        <v>113.0825004577637</v>
      </c>
      <c r="F54">
        <v>309.18181818181819</v>
      </c>
    </row>
    <row r="55" spans="1:6" x14ac:dyDescent="0.2">
      <c r="A55" s="2">
        <v>44592</v>
      </c>
      <c r="B55">
        <v>85.593600082397458</v>
      </c>
      <c r="C55">
        <v>88.420049667358398</v>
      </c>
      <c r="D55">
        <v>82.874949645996097</v>
      </c>
      <c r="E55">
        <v>85.285549545288092</v>
      </c>
      <c r="F55">
        <v>91.65</v>
      </c>
    </row>
    <row r="56" spans="1:6" x14ac:dyDescent="0.2">
      <c r="A56" s="2">
        <v>44620</v>
      </c>
      <c r="B56">
        <v>82.403052480597239</v>
      </c>
      <c r="C56">
        <v>84.519157409667969</v>
      </c>
      <c r="D56">
        <v>78.706158286646797</v>
      </c>
      <c r="E56">
        <v>81.459579066226354</v>
      </c>
      <c r="F56">
        <v>165.78947368421049</v>
      </c>
    </row>
    <row r="57" spans="1:6" x14ac:dyDescent="0.2">
      <c r="A57" s="2">
        <v>44651</v>
      </c>
      <c r="B57">
        <v>131.27382693083391</v>
      </c>
      <c r="C57">
        <v>132.0770008253015</v>
      </c>
      <c r="D57">
        <v>129.5897402556046</v>
      </c>
      <c r="E57">
        <v>130.41508782428241</v>
      </c>
      <c r="F57">
        <v>42.304347826086953</v>
      </c>
    </row>
    <row r="58" spans="1:6" x14ac:dyDescent="0.2">
      <c r="A58" s="2">
        <v>44681</v>
      </c>
      <c r="B58">
        <v>101.5196506500244</v>
      </c>
      <c r="C58">
        <v>101.8521503448486</v>
      </c>
      <c r="D58">
        <v>101.49845046997071</v>
      </c>
      <c r="E58">
        <v>101.8309501647949</v>
      </c>
      <c r="F58">
        <v>1.85</v>
      </c>
    </row>
    <row r="59" spans="1:6" x14ac:dyDescent="0.2">
      <c r="A59" s="2">
        <v>44712</v>
      </c>
      <c r="B59">
        <v>94.377048674083895</v>
      </c>
      <c r="C59">
        <v>94.794429234095986</v>
      </c>
      <c r="D59">
        <v>94.193095979236418</v>
      </c>
      <c r="E59">
        <v>94.647857666015625</v>
      </c>
      <c r="F59">
        <v>5.3809523809523814</v>
      </c>
    </row>
    <row r="60" spans="1:6" x14ac:dyDescent="0.2">
      <c r="A60" s="2">
        <v>44742</v>
      </c>
      <c r="B60">
        <v>107.7004757835751</v>
      </c>
      <c r="C60">
        <v>107.7889992850167</v>
      </c>
      <c r="D60">
        <v>107.7004757835751</v>
      </c>
      <c r="E60">
        <v>107.7599520002093</v>
      </c>
      <c r="F60">
        <v>1.285714285714286</v>
      </c>
    </row>
    <row r="61" spans="1:6" x14ac:dyDescent="0.2">
      <c r="A61" s="2">
        <v>44773</v>
      </c>
      <c r="B61">
        <v>172.4152992248535</v>
      </c>
      <c r="C61">
        <v>172.4152992248535</v>
      </c>
      <c r="D61">
        <v>172.4152992248535</v>
      </c>
      <c r="E61">
        <v>172.4152992248535</v>
      </c>
      <c r="F61">
        <v>0</v>
      </c>
    </row>
    <row r="62" spans="1:6" x14ac:dyDescent="0.2">
      <c r="A62" s="2">
        <v>44804</v>
      </c>
      <c r="B62">
        <v>235.95530567998469</v>
      </c>
      <c r="C62">
        <v>235.95530567998469</v>
      </c>
      <c r="D62">
        <v>235.95530567998469</v>
      </c>
      <c r="E62">
        <v>235.95530567998469</v>
      </c>
      <c r="F62">
        <v>0</v>
      </c>
    </row>
    <row r="63" spans="1:6" x14ac:dyDescent="0.2">
      <c r="A63" s="2">
        <v>44834</v>
      </c>
      <c r="B63">
        <v>201.47780863444009</v>
      </c>
      <c r="C63">
        <v>201.47780863444009</v>
      </c>
      <c r="D63">
        <v>201.47780863444009</v>
      </c>
      <c r="E63">
        <v>201.47780863444009</v>
      </c>
      <c r="F63">
        <v>0.23809523809523811</v>
      </c>
    </row>
    <row r="64" spans="1:6" x14ac:dyDescent="0.2">
      <c r="A64" s="2">
        <v>44865</v>
      </c>
      <c r="B64">
        <v>135.47933342343279</v>
      </c>
      <c r="C64">
        <v>135.47933342343279</v>
      </c>
      <c r="D64">
        <v>135.47933342343279</v>
      </c>
      <c r="E64">
        <v>135.47933342343279</v>
      </c>
      <c r="F64">
        <v>0</v>
      </c>
    </row>
    <row r="65" spans="1:6" x14ac:dyDescent="0.2">
      <c r="A65" s="2">
        <v>44895</v>
      </c>
      <c r="B65">
        <v>119.3362379528227</v>
      </c>
      <c r="C65">
        <v>119.3362379528227</v>
      </c>
      <c r="D65">
        <v>118.8410477411179</v>
      </c>
      <c r="E65">
        <v>118.8410477411179</v>
      </c>
      <c r="F65">
        <v>0</v>
      </c>
    </row>
    <row r="66" spans="1:6" x14ac:dyDescent="0.2">
      <c r="A66" s="2">
        <v>44926</v>
      </c>
      <c r="B66">
        <v>116.1687149774461</v>
      </c>
      <c r="C66">
        <v>116.1687149774461</v>
      </c>
      <c r="D66">
        <v>116.1687149774461</v>
      </c>
      <c r="E66">
        <v>116.1687149774461</v>
      </c>
      <c r="F66">
        <v>0</v>
      </c>
    </row>
    <row r="67" spans="1:6" x14ac:dyDescent="0.2">
      <c r="A67" s="2">
        <v>44957</v>
      </c>
      <c r="B67">
        <v>63.684649848937987</v>
      </c>
      <c r="C67">
        <v>65.708750343322748</v>
      </c>
      <c r="D67">
        <v>62.698799705505373</v>
      </c>
      <c r="E67">
        <v>64.835150146484381</v>
      </c>
      <c r="F67">
        <v>5.45</v>
      </c>
    </row>
    <row r="68" spans="1:6" x14ac:dyDescent="0.2">
      <c r="A68" s="2">
        <v>44985</v>
      </c>
      <c r="B68">
        <v>52.793158280222038</v>
      </c>
      <c r="C68">
        <v>53.314368599339538</v>
      </c>
      <c r="D68">
        <v>52.579158381411901</v>
      </c>
      <c r="E68">
        <v>53.039316076981393</v>
      </c>
      <c r="F68">
        <v>2.5263157894736841</v>
      </c>
    </row>
    <row r="69" spans="1:6" x14ac:dyDescent="0.2">
      <c r="A69" s="2">
        <v>45016</v>
      </c>
      <c r="B69">
        <v>44.025304213814117</v>
      </c>
      <c r="C69">
        <v>44.883130778437078</v>
      </c>
      <c r="D69">
        <v>43.035000179124907</v>
      </c>
      <c r="E69">
        <v>43.808913023575492</v>
      </c>
      <c r="F69">
        <v>41</v>
      </c>
    </row>
    <row r="70" spans="1:6" x14ac:dyDescent="0.2">
      <c r="A70" s="2">
        <v>45046</v>
      </c>
      <c r="B70">
        <v>42.070315712376647</v>
      </c>
      <c r="C70">
        <v>42.882789812589948</v>
      </c>
      <c r="D70">
        <v>41.726473958868731</v>
      </c>
      <c r="E70">
        <v>42.457526156776829</v>
      </c>
      <c r="F70">
        <v>101.0526315789474</v>
      </c>
    </row>
    <row r="71" spans="1:6" x14ac:dyDescent="0.2">
      <c r="A71" s="2">
        <v>45077</v>
      </c>
      <c r="B71">
        <v>32.051181793212891</v>
      </c>
      <c r="C71">
        <v>32.70922721516002</v>
      </c>
      <c r="D71">
        <v>31.80131816864014</v>
      </c>
      <c r="E71">
        <v>32.394409006292172</v>
      </c>
      <c r="F71">
        <v>192.40909090909091</v>
      </c>
    </row>
    <row r="72" spans="1:6" x14ac:dyDescent="0.2">
      <c r="A72" s="2">
        <v>45107</v>
      </c>
      <c r="B72">
        <v>32.47385715302967</v>
      </c>
      <c r="C72">
        <v>33.693428402855282</v>
      </c>
      <c r="D72">
        <v>30.41171400887626</v>
      </c>
      <c r="E72">
        <v>31.27190453665597</v>
      </c>
      <c r="F72">
        <v>323</v>
      </c>
    </row>
    <row r="73" spans="1:6" x14ac:dyDescent="0.2">
      <c r="A73" s="2">
        <v>45138</v>
      </c>
      <c r="B73">
        <v>29.15274991989136</v>
      </c>
      <c r="C73">
        <v>30.507750034332279</v>
      </c>
      <c r="D73">
        <v>28.321950054168699</v>
      </c>
      <c r="E73">
        <v>29.624750137329102</v>
      </c>
      <c r="F73">
        <v>812.55</v>
      </c>
    </row>
    <row r="74" spans="1:6" x14ac:dyDescent="0.2">
      <c r="A74" s="2">
        <v>45169</v>
      </c>
      <c r="B74">
        <v>35.000434875488281</v>
      </c>
      <c r="C74">
        <v>36.768478144770093</v>
      </c>
      <c r="D74">
        <v>33.6997825788415</v>
      </c>
      <c r="E74">
        <v>34.96630444733993</v>
      </c>
      <c r="F74">
        <v>1446.826086956522</v>
      </c>
    </row>
    <row r="75" spans="1:6" x14ac:dyDescent="0.2">
      <c r="A75" s="2">
        <v>45199</v>
      </c>
      <c r="B75">
        <v>37.043300437927243</v>
      </c>
      <c r="C75">
        <v>38.592999839782713</v>
      </c>
      <c r="D75">
        <v>35.74249973297119</v>
      </c>
      <c r="E75">
        <v>37.022500133514413</v>
      </c>
      <c r="F75">
        <v>1988.95</v>
      </c>
    </row>
    <row r="76" spans="1:6" x14ac:dyDescent="0.2">
      <c r="A76" s="2">
        <v>45230</v>
      </c>
      <c r="B76">
        <v>47.068136388605289</v>
      </c>
      <c r="C76">
        <v>48.601590936834157</v>
      </c>
      <c r="D76">
        <v>45.148499922318891</v>
      </c>
      <c r="E76">
        <v>46.966590707952328</v>
      </c>
      <c r="F76">
        <v>1379.5</v>
      </c>
    </row>
    <row r="77" spans="1:6" x14ac:dyDescent="0.2">
      <c r="A77" s="2">
        <v>45260</v>
      </c>
      <c r="B77">
        <v>45.735636451027609</v>
      </c>
      <c r="C77">
        <v>46.900227286598899</v>
      </c>
      <c r="D77">
        <v>44.541590777310461</v>
      </c>
      <c r="E77">
        <v>45.843181436712086</v>
      </c>
      <c r="F77">
        <v>1492.090909090909</v>
      </c>
    </row>
    <row r="78" spans="1:6" x14ac:dyDescent="0.2">
      <c r="A78" s="2">
        <v>45291</v>
      </c>
      <c r="B78">
        <v>35.9706995010376</v>
      </c>
      <c r="C78">
        <v>37.27944984436035</v>
      </c>
      <c r="D78">
        <v>35.444199657440187</v>
      </c>
      <c r="E78">
        <v>36.604950141906741</v>
      </c>
      <c r="F78">
        <v>859.65</v>
      </c>
    </row>
    <row r="79" spans="1:6" x14ac:dyDescent="0.2">
      <c r="A79" s="2">
        <v>45322</v>
      </c>
      <c r="B79">
        <v>29.907999946957538</v>
      </c>
      <c r="C79">
        <v>30.777619043986</v>
      </c>
      <c r="D79">
        <v>29.109285717918759</v>
      </c>
      <c r="E79">
        <v>29.90714282081241</v>
      </c>
      <c r="F79">
        <v>586.61904761904759</v>
      </c>
    </row>
    <row r="80" spans="1:6" x14ac:dyDescent="0.2">
      <c r="A80" s="2">
        <v>45351</v>
      </c>
      <c r="B80">
        <v>25.866250133514409</v>
      </c>
      <c r="C80">
        <v>26.487750339508061</v>
      </c>
      <c r="D80">
        <v>25.460249900817871</v>
      </c>
      <c r="E80">
        <v>26.048999977111819</v>
      </c>
      <c r="F80">
        <v>483</v>
      </c>
    </row>
    <row r="81" spans="1:6" x14ac:dyDescent="0.2">
      <c r="A81" s="2">
        <v>45382</v>
      </c>
      <c r="B81">
        <v>26.852850055694581</v>
      </c>
      <c r="C81">
        <v>27.537849903106689</v>
      </c>
      <c r="D81">
        <v>26.227349948883059</v>
      </c>
      <c r="E81">
        <v>26.68874988555908</v>
      </c>
      <c r="F81">
        <v>409.25</v>
      </c>
    </row>
    <row r="82" spans="1:6" x14ac:dyDescent="0.2">
      <c r="A82" s="2">
        <v>45412</v>
      </c>
      <c r="B82">
        <v>28.961809339977449</v>
      </c>
      <c r="C82">
        <v>29.796142759777251</v>
      </c>
      <c r="D82">
        <v>28.29071444556827</v>
      </c>
      <c r="E82">
        <v>29.048762185232981</v>
      </c>
      <c r="F82">
        <v>683.57142857142856</v>
      </c>
    </row>
    <row r="83" spans="1:6" x14ac:dyDescent="0.2">
      <c r="A83" s="2">
        <v>45443</v>
      </c>
      <c r="B83">
        <v>31.812363711270422</v>
      </c>
      <c r="C83">
        <v>32.487363641912289</v>
      </c>
      <c r="D83">
        <v>31.067954843694508</v>
      </c>
      <c r="E83">
        <v>31.613408608870071</v>
      </c>
      <c r="F83">
        <v>985</v>
      </c>
    </row>
    <row r="84" spans="1:6" x14ac:dyDescent="0.2">
      <c r="A84" s="2">
        <v>45473</v>
      </c>
      <c r="B84">
        <v>34.4207370155736</v>
      </c>
      <c r="C84">
        <v>35.280262997275898</v>
      </c>
      <c r="D84">
        <v>33.96889455694901</v>
      </c>
      <c r="E84">
        <v>34.453947368421048</v>
      </c>
      <c r="F84">
        <v>461.4736842105263</v>
      </c>
    </row>
    <row r="85" spans="1:6" x14ac:dyDescent="0.2">
      <c r="A85" s="2">
        <v>45504</v>
      </c>
      <c r="B85">
        <v>32.523045453158289</v>
      </c>
      <c r="C85">
        <v>33.039818156849257</v>
      </c>
      <c r="D85">
        <v>32.018181800842292</v>
      </c>
      <c r="E85">
        <v>32.525454607876867</v>
      </c>
      <c r="F85">
        <v>632.36363636363637</v>
      </c>
    </row>
    <row r="86" spans="1:6" x14ac:dyDescent="0.2">
      <c r="A86" s="2">
        <v>45535</v>
      </c>
      <c r="B86">
        <v>38.347045725042172</v>
      </c>
      <c r="C86">
        <v>39.098863775079899</v>
      </c>
      <c r="D86">
        <v>37.558636231855907</v>
      </c>
      <c r="E86">
        <v>38.198635968295008</v>
      </c>
      <c r="F86">
        <v>648.5454545454545</v>
      </c>
    </row>
    <row r="87" spans="1:6" x14ac:dyDescent="0.2">
      <c r="A87" s="2">
        <v>45565</v>
      </c>
      <c r="B87">
        <v>36.082599830627437</v>
      </c>
      <c r="C87">
        <v>36.935749816894528</v>
      </c>
      <c r="D87">
        <v>35.428000259399411</v>
      </c>
      <c r="E87">
        <v>36.31625061035156</v>
      </c>
      <c r="F87">
        <v>371.95</v>
      </c>
    </row>
    <row r="88" spans="1:6" x14ac:dyDescent="0.2">
      <c r="A88" s="2">
        <v>45596</v>
      </c>
      <c r="B88">
        <v>40.423434547756031</v>
      </c>
      <c r="C88">
        <v>40.920521611752719</v>
      </c>
      <c r="D88">
        <v>39.615739241890289</v>
      </c>
      <c r="E88">
        <v>40.2286957450535</v>
      </c>
      <c r="F88">
        <v>213.17391304347831</v>
      </c>
    </row>
    <row r="89" spans="1:6" x14ac:dyDescent="0.2">
      <c r="A89" s="2">
        <v>45626</v>
      </c>
      <c r="B89">
        <v>44.633600425720218</v>
      </c>
      <c r="C89">
        <v>45.280500221252439</v>
      </c>
      <c r="D89">
        <v>43.64624996185303</v>
      </c>
      <c r="E89">
        <v>44.271500015258788</v>
      </c>
      <c r="F89">
        <v>7421.6</v>
      </c>
    </row>
    <row r="90" spans="1:6" x14ac:dyDescent="0.2">
      <c r="A90" s="2">
        <v>45657</v>
      </c>
      <c r="B90">
        <v>45.153618585495721</v>
      </c>
      <c r="C90">
        <v>45.935523805164152</v>
      </c>
      <c r="D90">
        <v>44.362428574335013</v>
      </c>
      <c r="E90">
        <v>45.267904554094592</v>
      </c>
      <c r="F90">
        <v>5996.8095238095239</v>
      </c>
    </row>
    <row r="91" spans="1:6" x14ac:dyDescent="0.2">
      <c r="A91" s="2">
        <v>45688</v>
      </c>
      <c r="B91">
        <v>48.350666591099333</v>
      </c>
      <c r="C91">
        <v>49.16333334786551</v>
      </c>
      <c r="D91">
        <v>47.378809611002602</v>
      </c>
      <c r="E91">
        <v>48.31809543427967</v>
      </c>
      <c r="F91">
        <v>11614.190476190481</v>
      </c>
    </row>
    <row r="92" spans="1:6" x14ac:dyDescent="0.2">
      <c r="A92" s="2">
        <v>45716</v>
      </c>
      <c r="B92">
        <v>50.380420885587988</v>
      </c>
      <c r="C92">
        <v>51.565578259919818</v>
      </c>
      <c r="D92">
        <v>49.259262687281563</v>
      </c>
      <c r="E92">
        <v>50.621368207429583</v>
      </c>
      <c r="F92">
        <v>11446.05263157895</v>
      </c>
    </row>
    <row r="93" spans="1:6" x14ac:dyDescent="0.2">
      <c r="A93" s="2">
        <v>45747</v>
      </c>
      <c r="B93">
        <v>41.781190781366263</v>
      </c>
      <c r="C93">
        <v>42.931571597144718</v>
      </c>
      <c r="D93">
        <v>40.842475891113281</v>
      </c>
      <c r="E93">
        <v>42.125000181652247</v>
      </c>
      <c r="F93">
        <v>3821.8571428571431</v>
      </c>
    </row>
    <row r="94" spans="1:6" x14ac:dyDescent="0.2">
      <c r="A94" s="2">
        <v>45777</v>
      </c>
      <c r="B94">
        <v>35.213476544334767</v>
      </c>
      <c r="C94">
        <v>36.124904905046733</v>
      </c>
      <c r="D94">
        <v>34.477714720226473</v>
      </c>
      <c r="E94">
        <v>35.416047323317763</v>
      </c>
      <c r="F94">
        <v>5009.3809523809523</v>
      </c>
    </row>
    <row r="95" spans="1:6" x14ac:dyDescent="0.2">
      <c r="A95" s="2">
        <v>45808</v>
      </c>
      <c r="B95">
        <v>35.177713848295667</v>
      </c>
      <c r="C95">
        <v>35.693762098039898</v>
      </c>
      <c r="D95">
        <v>34.589523951212563</v>
      </c>
      <c r="E95">
        <v>35.002047947474892</v>
      </c>
      <c r="F95">
        <v>6550.0952380952394</v>
      </c>
    </row>
    <row r="96" spans="1:6" x14ac:dyDescent="0.2">
      <c r="A96" s="2">
        <v>45838</v>
      </c>
      <c r="B96">
        <v>36.388399887084958</v>
      </c>
      <c r="C96">
        <v>37.071000289917002</v>
      </c>
      <c r="D96">
        <v>35.924300193786621</v>
      </c>
      <c r="E96">
        <v>36.50610008239746</v>
      </c>
      <c r="F96">
        <v>4994.3999999999996</v>
      </c>
    </row>
    <row r="97" spans="1:6" x14ac:dyDescent="0.2">
      <c r="A97" s="2">
        <v>45869</v>
      </c>
      <c r="B97">
        <v>33.937173760455593</v>
      </c>
      <c r="C97">
        <v>34.371956535007641</v>
      </c>
      <c r="D97">
        <v>33.580565576967977</v>
      </c>
      <c r="E97">
        <v>33.939478169316828</v>
      </c>
      <c r="F97">
        <v>7429.217391304348</v>
      </c>
    </row>
    <row r="98" spans="1:6" x14ac:dyDescent="0.2">
      <c r="A98" s="2">
        <v>45900</v>
      </c>
      <c r="B98">
        <v>32.695904413859047</v>
      </c>
      <c r="C98">
        <v>33.063999811808273</v>
      </c>
      <c r="D98">
        <v>32.323857262021022</v>
      </c>
      <c r="E98">
        <v>32.720476241338822</v>
      </c>
      <c r="F98">
        <v>2451.428571428572</v>
      </c>
    </row>
    <row r="99" spans="1:6" x14ac:dyDescent="0.2">
      <c r="A99" s="2">
        <v>45930</v>
      </c>
      <c r="B99">
        <v>32.340333121163503</v>
      </c>
      <c r="C99">
        <v>32.668809436616442</v>
      </c>
      <c r="D99">
        <v>32.076380775088353</v>
      </c>
      <c r="E99">
        <v>32.349047433762323</v>
      </c>
      <c r="F99">
        <v>2797.2857142857142</v>
      </c>
    </row>
    <row r="100" spans="1:6" x14ac:dyDescent="0.2">
      <c r="A100" s="2">
        <v>45961</v>
      </c>
      <c r="B100">
        <v>31.92299967226775</v>
      </c>
      <c r="C100">
        <v>32.334739187489383</v>
      </c>
      <c r="D100">
        <v>31.67426076142684</v>
      </c>
      <c r="E100">
        <v>32.111912934676461</v>
      </c>
      <c r="F100">
        <v>2721.869565217391</v>
      </c>
    </row>
    <row r="101" spans="1:6" x14ac:dyDescent="0.2">
      <c r="A101" s="2">
        <v>45991</v>
      </c>
      <c r="B101">
        <v>31.176874876022339</v>
      </c>
      <c r="C101">
        <v>31.41912484169006</v>
      </c>
      <c r="D101">
        <v>30.93893730640411</v>
      </c>
      <c r="E101">
        <v>31.252500057220459</v>
      </c>
      <c r="F101">
        <v>3647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71D7-7B43-7441-95DD-CF80FBAE9403}">
  <dimension ref="A1:D190"/>
  <sheetViews>
    <sheetView workbookViewId="0">
      <selection activeCell="B1" sqref="B1:D1"/>
    </sheetView>
  </sheetViews>
  <sheetFormatPr baseColWidth="10" defaultRowHeight="15" x14ac:dyDescent="0.2"/>
  <sheetData>
    <row r="1" spans="1:4" x14ac:dyDescent="0.2">
      <c r="A1" s="1" t="s">
        <v>9</v>
      </c>
      <c r="B1" s="1" t="s">
        <v>199</v>
      </c>
      <c r="C1" s="1" t="s">
        <v>200</v>
      </c>
      <c r="D1" s="1" t="s">
        <v>201</v>
      </c>
    </row>
    <row r="2" spans="1:4" x14ac:dyDescent="0.2">
      <c r="A2" s="1" t="s">
        <v>10</v>
      </c>
      <c r="B2">
        <v>904</v>
      </c>
      <c r="C2">
        <v>2737</v>
      </c>
      <c r="D2">
        <v>3985</v>
      </c>
    </row>
    <row r="3" spans="1:4" x14ac:dyDescent="0.2">
      <c r="A3" s="1" t="s">
        <v>11</v>
      </c>
      <c r="B3">
        <v>744</v>
      </c>
      <c r="C3">
        <v>2302</v>
      </c>
      <c r="D3">
        <v>3286</v>
      </c>
    </row>
    <row r="4" spans="1:4" x14ac:dyDescent="0.2">
      <c r="A4" s="1" t="s">
        <v>12</v>
      </c>
      <c r="B4">
        <v>902</v>
      </c>
      <c r="C4">
        <v>2376</v>
      </c>
      <c r="D4">
        <v>3441</v>
      </c>
    </row>
    <row r="5" spans="1:4" x14ac:dyDescent="0.2">
      <c r="A5" s="1" t="s">
        <v>13</v>
      </c>
      <c r="B5">
        <v>573</v>
      </c>
      <c r="C5">
        <v>2339</v>
      </c>
      <c r="D5">
        <v>2930</v>
      </c>
    </row>
    <row r="6" spans="1:4" x14ac:dyDescent="0.2">
      <c r="A6" s="1" t="s">
        <v>14</v>
      </c>
      <c r="B6">
        <v>583</v>
      </c>
      <c r="C6">
        <v>1919</v>
      </c>
      <c r="D6">
        <v>2566</v>
      </c>
    </row>
    <row r="7" spans="1:4" x14ac:dyDescent="0.2">
      <c r="A7" s="1" t="s">
        <v>15</v>
      </c>
      <c r="B7">
        <v>489</v>
      </c>
      <c r="C7">
        <v>2299</v>
      </c>
      <c r="D7">
        <v>2479</v>
      </c>
    </row>
    <row r="8" spans="1:4" x14ac:dyDescent="0.2">
      <c r="A8" s="1" t="s">
        <v>16</v>
      </c>
      <c r="B8">
        <v>419</v>
      </c>
      <c r="C8">
        <v>2379</v>
      </c>
      <c r="D8">
        <v>2826</v>
      </c>
    </row>
    <row r="9" spans="1:4" x14ac:dyDescent="0.2">
      <c r="A9" s="1" t="s">
        <v>17</v>
      </c>
      <c r="B9">
        <v>667</v>
      </c>
      <c r="C9">
        <v>2475</v>
      </c>
      <c r="D9">
        <v>3002</v>
      </c>
    </row>
    <row r="10" spans="1:4" x14ac:dyDescent="0.2">
      <c r="A10" s="1" t="s">
        <v>18</v>
      </c>
      <c r="B10">
        <v>509</v>
      </c>
      <c r="C10">
        <v>2017</v>
      </c>
      <c r="D10">
        <v>2743</v>
      </c>
    </row>
    <row r="11" spans="1:4" x14ac:dyDescent="0.2">
      <c r="A11" s="1" t="s">
        <v>19</v>
      </c>
      <c r="B11">
        <v>774</v>
      </c>
      <c r="C11">
        <v>2943</v>
      </c>
      <c r="D11">
        <v>3386</v>
      </c>
    </row>
    <row r="12" spans="1:4" x14ac:dyDescent="0.2">
      <c r="A12" s="1" t="s">
        <v>20</v>
      </c>
      <c r="B12">
        <v>756</v>
      </c>
      <c r="C12">
        <v>2695</v>
      </c>
      <c r="D12">
        <v>3071</v>
      </c>
    </row>
    <row r="13" spans="1:4" x14ac:dyDescent="0.2">
      <c r="A13" s="1" t="s">
        <v>21</v>
      </c>
      <c r="B13">
        <v>855</v>
      </c>
      <c r="C13">
        <v>3381</v>
      </c>
      <c r="D13">
        <v>4404</v>
      </c>
    </row>
    <row r="14" spans="1:4" x14ac:dyDescent="0.2">
      <c r="A14" s="1" t="s">
        <v>22</v>
      </c>
      <c r="B14">
        <v>825</v>
      </c>
      <c r="C14">
        <v>3556</v>
      </c>
      <c r="D14">
        <v>4802</v>
      </c>
    </row>
    <row r="15" spans="1:4" x14ac:dyDescent="0.2">
      <c r="A15" s="1" t="s">
        <v>23</v>
      </c>
      <c r="B15">
        <v>564</v>
      </c>
      <c r="C15">
        <v>3297</v>
      </c>
      <c r="D15">
        <v>4342</v>
      </c>
    </row>
    <row r="16" spans="1:4" x14ac:dyDescent="0.2">
      <c r="A16" s="1" t="s">
        <v>24</v>
      </c>
      <c r="B16">
        <v>657</v>
      </c>
      <c r="C16">
        <v>3444</v>
      </c>
      <c r="D16">
        <v>4305</v>
      </c>
    </row>
    <row r="17" spans="1:4" x14ac:dyDescent="0.2">
      <c r="A17" s="1" t="s">
        <v>25</v>
      </c>
      <c r="B17">
        <v>588</v>
      </c>
      <c r="C17">
        <v>3051</v>
      </c>
      <c r="D17">
        <v>3551</v>
      </c>
    </row>
    <row r="18" spans="1:4" x14ac:dyDescent="0.2">
      <c r="A18" s="1" t="s">
        <v>26</v>
      </c>
      <c r="B18">
        <v>325</v>
      </c>
      <c r="C18">
        <v>2744</v>
      </c>
      <c r="D18">
        <v>2664</v>
      </c>
    </row>
    <row r="19" spans="1:4" x14ac:dyDescent="0.2">
      <c r="A19" s="1" t="s">
        <v>27</v>
      </c>
      <c r="B19">
        <v>398</v>
      </c>
      <c r="C19">
        <v>2490</v>
      </c>
      <c r="D19">
        <v>2498</v>
      </c>
    </row>
    <row r="20" spans="1:4" x14ac:dyDescent="0.2">
      <c r="A20" s="1" t="s">
        <v>28</v>
      </c>
      <c r="B20">
        <v>241</v>
      </c>
      <c r="C20">
        <v>2759</v>
      </c>
      <c r="D20">
        <v>3069</v>
      </c>
    </row>
    <row r="21" spans="1:4" x14ac:dyDescent="0.2">
      <c r="A21" s="1" t="s">
        <v>29</v>
      </c>
      <c r="B21">
        <v>495</v>
      </c>
      <c r="C21">
        <v>2720</v>
      </c>
      <c r="D21">
        <v>3088</v>
      </c>
    </row>
    <row r="22" spans="1:4" x14ac:dyDescent="0.2">
      <c r="A22" s="1" t="s">
        <v>30</v>
      </c>
      <c r="B22">
        <v>407</v>
      </c>
      <c r="C22">
        <v>2599</v>
      </c>
      <c r="D22">
        <v>3072</v>
      </c>
    </row>
    <row r="23" spans="1:4" x14ac:dyDescent="0.2">
      <c r="A23" s="1" t="s">
        <v>31</v>
      </c>
      <c r="B23">
        <v>414</v>
      </c>
      <c r="C23">
        <v>3223</v>
      </c>
      <c r="D23">
        <v>3684</v>
      </c>
    </row>
    <row r="24" spans="1:4" x14ac:dyDescent="0.2">
      <c r="A24" s="1" t="s">
        <v>32</v>
      </c>
      <c r="B24">
        <v>748</v>
      </c>
      <c r="C24">
        <v>3608</v>
      </c>
      <c r="D24">
        <v>4566</v>
      </c>
    </row>
    <row r="25" spans="1:4" x14ac:dyDescent="0.2">
      <c r="A25" s="1" t="s">
        <v>33</v>
      </c>
      <c r="B25">
        <v>812</v>
      </c>
      <c r="C25">
        <v>3940</v>
      </c>
      <c r="D25">
        <v>5072</v>
      </c>
    </row>
    <row r="26" spans="1:4" x14ac:dyDescent="0.2">
      <c r="A26" s="1" t="s">
        <v>34</v>
      </c>
      <c r="B26">
        <v>782</v>
      </c>
      <c r="C26">
        <v>4002</v>
      </c>
      <c r="D26">
        <v>5244</v>
      </c>
    </row>
    <row r="27" spans="1:4" x14ac:dyDescent="0.2">
      <c r="A27" s="1" t="s">
        <v>35</v>
      </c>
      <c r="B27">
        <v>644</v>
      </c>
      <c r="C27">
        <v>3558</v>
      </c>
      <c r="D27">
        <v>4791</v>
      </c>
    </row>
    <row r="28" spans="1:4" x14ac:dyDescent="0.2">
      <c r="A28" s="1" t="s">
        <v>36</v>
      </c>
      <c r="B28">
        <v>876</v>
      </c>
      <c r="C28">
        <v>3770</v>
      </c>
      <c r="D28">
        <v>4629</v>
      </c>
    </row>
    <row r="29" spans="1:4" x14ac:dyDescent="0.2">
      <c r="A29" s="1" t="s">
        <v>37</v>
      </c>
      <c r="B29">
        <v>396</v>
      </c>
      <c r="C29">
        <v>2852</v>
      </c>
      <c r="D29">
        <v>2876</v>
      </c>
    </row>
    <row r="30" spans="1:4" x14ac:dyDescent="0.2">
      <c r="A30" s="1" t="s">
        <v>38</v>
      </c>
      <c r="B30">
        <v>589</v>
      </c>
      <c r="C30">
        <v>2609</v>
      </c>
      <c r="D30">
        <v>2711</v>
      </c>
    </row>
    <row r="31" spans="1:4" x14ac:dyDescent="0.2">
      <c r="A31" s="1" t="s">
        <v>39</v>
      </c>
      <c r="B31">
        <v>397</v>
      </c>
      <c r="C31">
        <v>2806</v>
      </c>
      <c r="D31">
        <v>2819</v>
      </c>
    </row>
    <row r="32" spans="1:4" x14ac:dyDescent="0.2">
      <c r="A32" s="1" t="s">
        <v>40</v>
      </c>
      <c r="B32">
        <v>506</v>
      </c>
      <c r="C32">
        <v>3192</v>
      </c>
      <c r="D32">
        <v>3455</v>
      </c>
    </row>
    <row r="33" spans="1:4" x14ac:dyDescent="0.2">
      <c r="A33" s="1" t="s">
        <v>41</v>
      </c>
      <c r="B33">
        <v>630</v>
      </c>
      <c r="C33">
        <v>2735</v>
      </c>
      <c r="D33">
        <v>3152</v>
      </c>
    </row>
    <row r="34" spans="1:4" x14ac:dyDescent="0.2">
      <c r="A34" s="1" t="s">
        <v>42</v>
      </c>
      <c r="B34">
        <v>694</v>
      </c>
      <c r="C34">
        <v>3053</v>
      </c>
      <c r="D34">
        <v>3357</v>
      </c>
    </row>
    <row r="35" spans="1:4" x14ac:dyDescent="0.2">
      <c r="A35" s="1" t="s">
        <v>43</v>
      </c>
      <c r="B35">
        <v>743</v>
      </c>
      <c r="C35">
        <v>2471</v>
      </c>
      <c r="D35">
        <v>3162</v>
      </c>
    </row>
    <row r="36" spans="1:4" x14ac:dyDescent="0.2">
      <c r="A36" s="1" t="s">
        <v>44</v>
      </c>
      <c r="B36">
        <v>881</v>
      </c>
      <c r="C36">
        <v>3144</v>
      </c>
      <c r="D36">
        <v>3955</v>
      </c>
    </row>
    <row r="37" spans="1:4" x14ac:dyDescent="0.2">
      <c r="A37" s="1" t="s">
        <v>45</v>
      </c>
      <c r="B37">
        <v>726</v>
      </c>
      <c r="C37">
        <v>3866</v>
      </c>
      <c r="D37">
        <v>5103</v>
      </c>
    </row>
    <row r="38" spans="1:4" x14ac:dyDescent="0.2">
      <c r="A38" s="1" t="s">
        <v>46</v>
      </c>
      <c r="B38">
        <v>647</v>
      </c>
      <c r="C38">
        <v>3890</v>
      </c>
      <c r="D38">
        <v>5078</v>
      </c>
    </row>
    <row r="39" spans="1:4" x14ac:dyDescent="0.2">
      <c r="A39" s="1" t="s">
        <v>47</v>
      </c>
      <c r="B39">
        <v>813</v>
      </c>
      <c r="C39">
        <v>3283</v>
      </c>
      <c r="D39">
        <v>4177</v>
      </c>
    </row>
    <row r="40" spans="1:4" x14ac:dyDescent="0.2">
      <c r="A40" s="1" t="s">
        <v>48</v>
      </c>
      <c r="B40">
        <v>590</v>
      </c>
      <c r="C40">
        <v>3299</v>
      </c>
      <c r="D40">
        <v>4139</v>
      </c>
    </row>
    <row r="41" spans="1:4" x14ac:dyDescent="0.2">
      <c r="A41" s="1" t="s">
        <v>49</v>
      </c>
      <c r="B41">
        <v>489</v>
      </c>
      <c r="C41">
        <v>2960</v>
      </c>
      <c r="D41">
        <v>3341</v>
      </c>
    </row>
    <row r="42" spans="1:4" x14ac:dyDescent="0.2">
      <c r="A42" s="1" t="s">
        <v>50</v>
      </c>
      <c r="B42">
        <v>703</v>
      </c>
      <c r="C42">
        <v>2810</v>
      </c>
      <c r="D42">
        <v>3051</v>
      </c>
    </row>
    <row r="43" spans="1:4" x14ac:dyDescent="0.2">
      <c r="A43" s="1" t="s">
        <v>51</v>
      </c>
      <c r="B43">
        <v>325</v>
      </c>
      <c r="C43">
        <v>2818</v>
      </c>
      <c r="D43">
        <v>3013</v>
      </c>
    </row>
    <row r="44" spans="1:4" x14ac:dyDescent="0.2">
      <c r="A44" s="1" t="s">
        <v>52</v>
      </c>
      <c r="B44">
        <v>233</v>
      </c>
      <c r="C44">
        <v>3173</v>
      </c>
      <c r="D44">
        <v>3210</v>
      </c>
    </row>
    <row r="45" spans="1:4" x14ac:dyDescent="0.2">
      <c r="A45" s="1" t="s">
        <v>53</v>
      </c>
      <c r="B45">
        <v>310</v>
      </c>
      <c r="C45">
        <v>2958</v>
      </c>
      <c r="D45">
        <v>3029</v>
      </c>
    </row>
    <row r="46" spans="1:4" x14ac:dyDescent="0.2">
      <c r="A46" s="1" t="s">
        <v>54</v>
      </c>
      <c r="B46">
        <v>314</v>
      </c>
      <c r="C46">
        <v>3213</v>
      </c>
      <c r="D46">
        <v>3236</v>
      </c>
    </row>
    <row r="47" spans="1:4" x14ac:dyDescent="0.2">
      <c r="A47" s="1" t="s">
        <v>55</v>
      </c>
      <c r="B47">
        <v>397</v>
      </c>
      <c r="C47">
        <v>3148</v>
      </c>
      <c r="D47">
        <v>3519</v>
      </c>
    </row>
    <row r="48" spans="1:4" x14ac:dyDescent="0.2">
      <c r="A48" s="1" t="s">
        <v>56</v>
      </c>
      <c r="B48">
        <v>316</v>
      </c>
      <c r="C48">
        <v>3619</v>
      </c>
      <c r="D48">
        <v>4302</v>
      </c>
    </row>
    <row r="49" spans="1:4" x14ac:dyDescent="0.2">
      <c r="A49" s="1" t="s">
        <v>57</v>
      </c>
      <c r="B49">
        <v>945</v>
      </c>
      <c r="C49">
        <v>4017</v>
      </c>
      <c r="D49">
        <v>5545</v>
      </c>
    </row>
    <row r="50" spans="1:4" x14ac:dyDescent="0.2">
      <c r="A50" s="1" t="s">
        <v>58</v>
      </c>
      <c r="B50">
        <v>961</v>
      </c>
      <c r="C50">
        <v>3831</v>
      </c>
      <c r="D50">
        <v>5127</v>
      </c>
    </row>
    <row r="51" spans="1:4" x14ac:dyDescent="0.2">
      <c r="A51" s="1" t="s">
        <v>59</v>
      </c>
      <c r="B51">
        <v>731</v>
      </c>
      <c r="C51">
        <v>3488</v>
      </c>
      <c r="D51">
        <v>4564</v>
      </c>
    </row>
    <row r="52" spans="1:4" x14ac:dyDescent="0.2">
      <c r="A52" s="1" t="s">
        <v>60</v>
      </c>
      <c r="B52">
        <v>617</v>
      </c>
      <c r="C52">
        <v>3919</v>
      </c>
      <c r="D52">
        <v>4533</v>
      </c>
    </row>
    <row r="53" spans="1:4" x14ac:dyDescent="0.2">
      <c r="A53" s="1" t="s">
        <v>61</v>
      </c>
      <c r="B53">
        <v>561</v>
      </c>
      <c r="C53">
        <v>3554</v>
      </c>
      <c r="D53">
        <v>3681</v>
      </c>
    </row>
    <row r="54" spans="1:4" x14ac:dyDescent="0.2">
      <c r="A54" s="1" t="s">
        <v>62</v>
      </c>
      <c r="B54">
        <v>478</v>
      </c>
      <c r="C54">
        <v>3405</v>
      </c>
      <c r="D54">
        <v>3468</v>
      </c>
    </row>
    <row r="55" spans="1:4" x14ac:dyDescent="0.2">
      <c r="A55" s="1" t="s">
        <v>63</v>
      </c>
      <c r="B55">
        <v>321</v>
      </c>
      <c r="C55">
        <v>2980</v>
      </c>
      <c r="D55">
        <v>3134</v>
      </c>
    </row>
    <row r="56" spans="1:4" x14ac:dyDescent="0.2">
      <c r="A56" s="1" t="s">
        <v>64</v>
      </c>
      <c r="B56">
        <v>331</v>
      </c>
      <c r="C56">
        <v>3359</v>
      </c>
      <c r="D56">
        <v>3546</v>
      </c>
    </row>
    <row r="57" spans="1:4" x14ac:dyDescent="0.2">
      <c r="A57" s="1" t="s">
        <v>65</v>
      </c>
      <c r="B57">
        <v>414</v>
      </c>
      <c r="C57">
        <v>3414</v>
      </c>
      <c r="D57">
        <v>3559</v>
      </c>
    </row>
    <row r="58" spans="1:4" x14ac:dyDescent="0.2">
      <c r="A58" s="1" t="s">
        <v>66</v>
      </c>
      <c r="B58">
        <v>495</v>
      </c>
      <c r="C58">
        <v>3399</v>
      </c>
      <c r="D58">
        <v>3586</v>
      </c>
    </row>
    <row r="59" spans="1:4" x14ac:dyDescent="0.2">
      <c r="A59" s="1" t="s">
        <v>67</v>
      </c>
      <c r="B59">
        <v>317</v>
      </c>
      <c r="C59">
        <v>3125</v>
      </c>
      <c r="D59">
        <v>3389</v>
      </c>
    </row>
    <row r="60" spans="1:4" x14ac:dyDescent="0.2">
      <c r="A60" s="1" t="s">
        <v>68</v>
      </c>
      <c r="B60">
        <v>1052</v>
      </c>
      <c r="C60">
        <v>3506</v>
      </c>
      <c r="D60">
        <v>4931</v>
      </c>
    </row>
    <row r="61" spans="1:4" x14ac:dyDescent="0.2">
      <c r="A61" s="1" t="s">
        <v>69</v>
      </c>
      <c r="B61">
        <v>1002</v>
      </c>
      <c r="C61">
        <v>4002</v>
      </c>
      <c r="D61">
        <v>5311</v>
      </c>
    </row>
    <row r="62" spans="1:4" x14ac:dyDescent="0.2">
      <c r="A62" s="1" t="s">
        <v>70</v>
      </c>
      <c r="B62">
        <v>922</v>
      </c>
      <c r="C62">
        <v>4076</v>
      </c>
      <c r="D62">
        <v>5450</v>
      </c>
    </row>
    <row r="63" spans="1:4" x14ac:dyDescent="0.2">
      <c r="A63" s="1" t="s">
        <v>71</v>
      </c>
      <c r="B63">
        <v>950</v>
      </c>
      <c r="C63">
        <v>3683</v>
      </c>
      <c r="D63">
        <v>5118</v>
      </c>
    </row>
    <row r="64" spans="1:4" x14ac:dyDescent="0.2">
      <c r="A64" s="1" t="s">
        <v>72</v>
      </c>
      <c r="B64">
        <v>707</v>
      </c>
      <c r="C64">
        <v>3571</v>
      </c>
      <c r="D64">
        <v>4467</v>
      </c>
    </row>
    <row r="65" spans="1:4" x14ac:dyDescent="0.2">
      <c r="A65" s="1" t="s">
        <v>73</v>
      </c>
      <c r="B65">
        <v>637</v>
      </c>
      <c r="C65">
        <v>2936</v>
      </c>
      <c r="D65">
        <v>3797</v>
      </c>
    </row>
    <row r="66" spans="1:4" x14ac:dyDescent="0.2">
      <c r="A66" s="1" t="s">
        <v>74</v>
      </c>
      <c r="B66">
        <v>480</v>
      </c>
      <c r="C66">
        <v>2853</v>
      </c>
      <c r="D66">
        <v>3026</v>
      </c>
    </row>
    <row r="67" spans="1:4" x14ac:dyDescent="0.2">
      <c r="A67" s="1" t="s">
        <v>75</v>
      </c>
      <c r="B67">
        <v>387</v>
      </c>
      <c r="C67">
        <v>2814</v>
      </c>
      <c r="D67">
        <v>2931</v>
      </c>
    </row>
    <row r="68" spans="1:4" x14ac:dyDescent="0.2">
      <c r="A68" s="1" t="s">
        <v>76</v>
      </c>
      <c r="B68">
        <v>577</v>
      </c>
      <c r="C68">
        <v>2748</v>
      </c>
      <c r="D68">
        <v>2903</v>
      </c>
    </row>
    <row r="69" spans="1:4" x14ac:dyDescent="0.2">
      <c r="A69" s="1" t="s">
        <v>77</v>
      </c>
      <c r="B69">
        <v>236</v>
      </c>
      <c r="C69">
        <v>3506</v>
      </c>
      <c r="D69">
        <v>3411</v>
      </c>
    </row>
    <row r="70" spans="1:4" x14ac:dyDescent="0.2">
      <c r="A70" s="1" t="s">
        <v>78</v>
      </c>
      <c r="B70">
        <v>559</v>
      </c>
      <c r="C70">
        <v>3126</v>
      </c>
      <c r="D70">
        <v>3185</v>
      </c>
    </row>
    <row r="71" spans="1:4" x14ac:dyDescent="0.2">
      <c r="A71" s="1" t="s">
        <v>79</v>
      </c>
      <c r="B71">
        <v>223</v>
      </c>
      <c r="C71">
        <v>3523</v>
      </c>
      <c r="D71">
        <v>3419</v>
      </c>
    </row>
    <row r="72" spans="1:4" x14ac:dyDescent="0.2">
      <c r="A72" s="1" t="s">
        <v>80</v>
      </c>
      <c r="B72">
        <v>916</v>
      </c>
      <c r="C72">
        <v>3656</v>
      </c>
      <c r="D72">
        <v>4283</v>
      </c>
    </row>
    <row r="73" spans="1:4" x14ac:dyDescent="0.2">
      <c r="A73" s="1" t="s">
        <v>81</v>
      </c>
      <c r="B73">
        <v>1055</v>
      </c>
      <c r="C73">
        <v>4286</v>
      </c>
      <c r="D73">
        <v>5839</v>
      </c>
    </row>
    <row r="74" spans="1:4" x14ac:dyDescent="0.2">
      <c r="A74" s="1" t="s">
        <v>82</v>
      </c>
      <c r="B74">
        <v>1160</v>
      </c>
      <c r="C74">
        <v>4233</v>
      </c>
      <c r="D74">
        <v>5796</v>
      </c>
    </row>
    <row r="75" spans="1:4" x14ac:dyDescent="0.2">
      <c r="A75" s="1" t="s">
        <v>83</v>
      </c>
      <c r="B75">
        <v>911</v>
      </c>
      <c r="C75">
        <v>3053</v>
      </c>
      <c r="D75">
        <v>4416</v>
      </c>
    </row>
    <row r="76" spans="1:4" x14ac:dyDescent="0.2">
      <c r="A76" s="1" t="s">
        <v>84</v>
      </c>
      <c r="B76">
        <v>855</v>
      </c>
      <c r="C76">
        <v>2958</v>
      </c>
      <c r="D76">
        <v>4170</v>
      </c>
    </row>
    <row r="77" spans="1:4" x14ac:dyDescent="0.2">
      <c r="A77" s="1" t="s">
        <v>85</v>
      </c>
      <c r="B77">
        <v>467</v>
      </c>
      <c r="C77">
        <v>3086</v>
      </c>
      <c r="D77">
        <v>3207</v>
      </c>
    </row>
    <row r="78" spans="1:4" x14ac:dyDescent="0.2">
      <c r="A78" s="1" t="s">
        <v>86</v>
      </c>
      <c r="B78">
        <v>325</v>
      </c>
      <c r="C78">
        <v>2890</v>
      </c>
      <c r="D78">
        <v>2880</v>
      </c>
    </row>
    <row r="79" spans="1:4" x14ac:dyDescent="0.2">
      <c r="A79" s="1" t="s">
        <v>87</v>
      </c>
      <c r="B79">
        <v>430</v>
      </c>
      <c r="C79">
        <v>2743</v>
      </c>
      <c r="D79">
        <v>2830</v>
      </c>
    </row>
    <row r="80" spans="1:4" x14ac:dyDescent="0.2">
      <c r="A80" s="1" t="s">
        <v>88</v>
      </c>
      <c r="B80">
        <v>479</v>
      </c>
      <c r="C80">
        <v>2741</v>
      </c>
      <c r="D80">
        <v>2875</v>
      </c>
    </row>
    <row r="81" spans="1:4" x14ac:dyDescent="0.2">
      <c r="A81" s="1" t="s">
        <v>89</v>
      </c>
      <c r="B81">
        <v>477</v>
      </c>
      <c r="C81">
        <v>3150</v>
      </c>
      <c r="D81">
        <v>3486</v>
      </c>
    </row>
    <row r="82" spans="1:4" x14ac:dyDescent="0.2">
      <c r="A82" s="1" t="s">
        <v>90</v>
      </c>
      <c r="B82">
        <v>462</v>
      </c>
      <c r="C82">
        <v>2545</v>
      </c>
      <c r="D82">
        <v>2433</v>
      </c>
    </row>
    <row r="83" spans="1:4" x14ac:dyDescent="0.2">
      <c r="A83" s="1" t="s">
        <v>91</v>
      </c>
      <c r="B83">
        <v>232</v>
      </c>
      <c r="C83">
        <v>3224</v>
      </c>
      <c r="D83">
        <v>3379</v>
      </c>
    </row>
    <row r="84" spans="1:4" x14ac:dyDescent="0.2">
      <c r="A84" s="1" t="s">
        <v>92</v>
      </c>
      <c r="B84">
        <v>531</v>
      </c>
      <c r="C84">
        <v>3824</v>
      </c>
      <c r="D84">
        <v>4881</v>
      </c>
    </row>
    <row r="85" spans="1:4" x14ac:dyDescent="0.2">
      <c r="A85" s="1" t="s">
        <v>93</v>
      </c>
      <c r="B85">
        <v>1297</v>
      </c>
      <c r="C85">
        <v>4279</v>
      </c>
      <c r="D85">
        <v>6118</v>
      </c>
    </row>
    <row r="86" spans="1:4" x14ac:dyDescent="0.2">
      <c r="A86" s="1" t="s">
        <v>94</v>
      </c>
      <c r="B86">
        <v>1705</v>
      </c>
      <c r="C86">
        <v>4210</v>
      </c>
      <c r="D86">
        <v>6375</v>
      </c>
    </row>
    <row r="87" spans="1:4" x14ac:dyDescent="0.2">
      <c r="A87" s="1" t="s">
        <v>95</v>
      </c>
      <c r="B87">
        <v>1497</v>
      </c>
      <c r="C87">
        <v>3756</v>
      </c>
      <c r="D87">
        <v>5512</v>
      </c>
    </row>
    <row r="88" spans="1:4" x14ac:dyDescent="0.2">
      <c r="A88" s="1" t="s">
        <v>96</v>
      </c>
      <c r="B88">
        <v>1043</v>
      </c>
      <c r="C88">
        <v>3986</v>
      </c>
      <c r="D88">
        <v>5003</v>
      </c>
    </row>
    <row r="89" spans="1:4" x14ac:dyDescent="0.2">
      <c r="A89" s="1" t="s">
        <v>97</v>
      </c>
      <c r="B89">
        <v>429</v>
      </c>
      <c r="C89">
        <v>3822</v>
      </c>
      <c r="D89">
        <v>4176</v>
      </c>
    </row>
    <row r="90" spans="1:4" x14ac:dyDescent="0.2">
      <c r="A90" s="1" t="s">
        <v>98</v>
      </c>
      <c r="B90">
        <v>462</v>
      </c>
      <c r="C90">
        <v>3266</v>
      </c>
      <c r="D90">
        <v>3143</v>
      </c>
    </row>
    <row r="91" spans="1:4" x14ac:dyDescent="0.2">
      <c r="A91" s="1" t="s">
        <v>99</v>
      </c>
      <c r="B91">
        <v>383</v>
      </c>
      <c r="C91">
        <v>3227</v>
      </c>
      <c r="D91">
        <v>3074</v>
      </c>
    </row>
    <row r="92" spans="1:4" x14ac:dyDescent="0.2">
      <c r="A92" s="1" t="s">
        <v>100</v>
      </c>
      <c r="B92">
        <v>396</v>
      </c>
      <c r="C92">
        <v>3740</v>
      </c>
      <c r="D92">
        <v>3938</v>
      </c>
    </row>
    <row r="93" spans="1:4" x14ac:dyDescent="0.2">
      <c r="A93" s="1" t="s">
        <v>101</v>
      </c>
      <c r="B93">
        <v>527</v>
      </c>
      <c r="C93">
        <v>3489</v>
      </c>
      <c r="D93">
        <v>3564</v>
      </c>
    </row>
    <row r="94" spans="1:4" x14ac:dyDescent="0.2">
      <c r="A94" s="1" t="s">
        <v>102</v>
      </c>
      <c r="B94">
        <v>448</v>
      </c>
      <c r="C94">
        <v>3233</v>
      </c>
      <c r="D94">
        <v>3458</v>
      </c>
    </row>
    <row r="95" spans="1:4" x14ac:dyDescent="0.2">
      <c r="A95" s="1" t="s">
        <v>103</v>
      </c>
      <c r="B95">
        <v>496</v>
      </c>
      <c r="C95">
        <v>3642</v>
      </c>
      <c r="D95">
        <v>3818</v>
      </c>
    </row>
    <row r="96" spans="1:4" x14ac:dyDescent="0.2">
      <c r="A96" s="1" t="s">
        <v>104</v>
      </c>
      <c r="B96">
        <v>1405</v>
      </c>
      <c r="C96">
        <v>3989</v>
      </c>
      <c r="D96">
        <v>5908</v>
      </c>
    </row>
    <row r="97" spans="1:4" x14ac:dyDescent="0.2">
      <c r="A97" s="1" t="s">
        <v>105</v>
      </c>
      <c r="B97">
        <v>1977</v>
      </c>
      <c r="C97">
        <v>3993</v>
      </c>
      <c r="D97">
        <v>5629</v>
      </c>
    </row>
    <row r="98" spans="1:4" x14ac:dyDescent="0.2">
      <c r="A98" s="1" t="s">
        <v>106</v>
      </c>
      <c r="B98">
        <v>1960</v>
      </c>
      <c r="C98">
        <v>4256</v>
      </c>
      <c r="D98">
        <v>6499</v>
      </c>
    </row>
    <row r="99" spans="1:4" x14ac:dyDescent="0.2">
      <c r="A99" s="1" t="s">
        <v>107</v>
      </c>
      <c r="B99">
        <v>1660</v>
      </c>
      <c r="C99">
        <v>3744</v>
      </c>
      <c r="D99">
        <v>5307</v>
      </c>
    </row>
    <row r="100" spans="1:4" x14ac:dyDescent="0.2">
      <c r="A100" s="1" t="s">
        <v>108</v>
      </c>
      <c r="B100">
        <v>947</v>
      </c>
      <c r="C100">
        <v>3779</v>
      </c>
      <c r="D100">
        <v>4584</v>
      </c>
    </row>
    <row r="101" spans="1:4" x14ac:dyDescent="0.2">
      <c r="A101" s="1" t="s">
        <v>109</v>
      </c>
      <c r="B101">
        <v>609</v>
      </c>
      <c r="C101">
        <v>3061</v>
      </c>
      <c r="D101">
        <v>3508</v>
      </c>
    </row>
    <row r="102" spans="1:4" x14ac:dyDescent="0.2">
      <c r="A102" s="1" t="s">
        <v>110</v>
      </c>
      <c r="B102">
        <v>555</v>
      </c>
      <c r="C102">
        <v>2454</v>
      </c>
      <c r="D102">
        <v>3248</v>
      </c>
    </row>
    <row r="103" spans="1:4" x14ac:dyDescent="0.2">
      <c r="A103" s="1" t="s">
        <v>111</v>
      </c>
      <c r="B103">
        <v>512</v>
      </c>
      <c r="C103">
        <v>2411</v>
      </c>
      <c r="D103">
        <v>2447</v>
      </c>
    </row>
    <row r="104" spans="1:4" x14ac:dyDescent="0.2">
      <c r="A104" s="1" t="s">
        <v>112</v>
      </c>
      <c r="B104">
        <v>456</v>
      </c>
      <c r="C104">
        <v>3178</v>
      </c>
      <c r="D104">
        <v>3662</v>
      </c>
    </row>
    <row r="105" spans="1:4" x14ac:dyDescent="0.2">
      <c r="A105" s="1" t="s">
        <v>113</v>
      </c>
      <c r="B105">
        <v>447</v>
      </c>
      <c r="C105">
        <v>2588</v>
      </c>
      <c r="D105">
        <v>2947</v>
      </c>
    </row>
    <row r="106" spans="1:4" x14ac:dyDescent="0.2">
      <c r="A106" s="1" t="s">
        <v>114</v>
      </c>
      <c r="B106">
        <v>321</v>
      </c>
      <c r="C106">
        <v>2961</v>
      </c>
      <c r="D106">
        <v>3271</v>
      </c>
    </row>
    <row r="107" spans="1:4" x14ac:dyDescent="0.2">
      <c r="A107" s="1" t="s">
        <v>115</v>
      </c>
      <c r="B107">
        <v>701</v>
      </c>
      <c r="C107">
        <v>3007</v>
      </c>
      <c r="D107">
        <v>3677</v>
      </c>
    </row>
    <row r="108" spans="1:4" x14ac:dyDescent="0.2">
      <c r="A108" s="1" t="s">
        <v>116</v>
      </c>
      <c r="B108">
        <v>714</v>
      </c>
      <c r="C108">
        <v>3633</v>
      </c>
      <c r="D108">
        <v>4208</v>
      </c>
    </row>
    <row r="109" spans="1:4" x14ac:dyDescent="0.2">
      <c r="A109" s="1" t="s">
        <v>117</v>
      </c>
      <c r="B109">
        <v>2100</v>
      </c>
      <c r="C109">
        <v>3953</v>
      </c>
      <c r="D109">
        <v>6184</v>
      </c>
    </row>
    <row r="110" spans="1:4" x14ac:dyDescent="0.2">
      <c r="A110" s="1" t="s">
        <v>118</v>
      </c>
      <c r="B110">
        <v>2341</v>
      </c>
      <c r="C110">
        <v>3467</v>
      </c>
      <c r="D110">
        <v>6188</v>
      </c>
    </row>
    <row r="111" spans="1:4" x14ac:dyDescent="0.2">
      <c r="A111" s="1" t="s">
        <v>119</v>
      </c>
      <c r="B111">
        <v>1694</v>
      </c>
      <c r="C111">
        <v>2583</v>
      </c>
      <c r="D111">
        <v>4854</v>
      </c>
    </row>
    <row r="112" spans="1:4" x14ac:dyDescent="0.2">
      <c r="A112" s="1" t="s">
        <v>120</v>
      </c>
      <c r="B112">
        <v>1292</v>
      </c>
      <c r="C112">
        <v>3004</v>
      </c>
      <c r="D112">
        <v>4830</v>
      </c>
    </row>
    <row r="113" spans="1:4" x14ac:dyDescent="0.2">
      <c r="A113" s="1" t="s">
        <v>121</v>
      </c>
      <c r="B113">
        <v>688</v>
      </c>
      <c r="C113">
        <v>2863</v>
      </c>
      <c r="D113">
        <v>3710</v>
      </c>
    </row>
    <row r="114" spans="1:4" x14ac:dyDescent="0.2">
      <c r="A114" s="1" t="s">
        <v>122</v>
      </c>
      <c r="B114">
        <v>473</v>
      </c>
      <c r="C114">
        <v>2208</v>
      </c>
      <c r="D114">
        <v>2543</v>
      </c>
    </row>
    <row r="115" spans="1:4" x14ac:dyDescent="0.2">
      <c r="A115" s="1" t="s">
        <v>123</v>
      </c>
      <c r="B115">
        <v>648</v>
      </c>
      <c r="C115">
        <v>2029</v>
      </c>
      <c r="D115">
        <v>2151</v>
      </c>
    </row>
    <row r="116" spans="1:4" x14ac:dyDescent="0.2">
      <c r="A116" s="1" t="s">
        <v>124</v>
      </c>
      <c r="B116">
        <v>573</v>
      </c>
      <c r="C116">
        <v>2684</v>
      </c>
      <c r="D116">
        <v>2999</v>
      </c>
    </row>
    <row r="117" spans="1:4" x14ac:dyDescent="0.2">
      <c r="A117" s="1" t="s">
        <v>125</v>
      </c>
      <c r="B117">
        <v>802</v>
      </c>
      <c r="C117">
        <v>2347</v>
      </c>
      <c r="D117">
        <v>2612</v>
      </c>
    </row>
    <row r="118" spans="1:4" x14ac:dyDescent="0.2">
      <c r="A118" s="1" t="s">
        <v>126</v>
      </c>
      <c r="B118">
        <v>570</v>
      </c>
      <c r="C118">
        <v>2469</v>
      </c>
      <c r="D118">
        <v>2584</v>
      </c>
    </row>
    <row r="119" spans="1:4" x14ac:dyDescent="0.2">
      <c r="A119" s="1" t="s">
        <v>127</v>
      </c>
      <c r="B119">
        <v>776</v>
      </c>
      <c r="C119">
        <v>2383</v>
      </c>
      <c r="D119">
        <v>2898</v>
      </c>
    </row>
    <row r="120" spans="1:4" x14ac:dyDescent="0.2">
      <c r="A120" s="1" t="s">
        <v>128</v>
      </c>
      <c r="B120">
        <v>1087</v>
      </c>
      <c r="C120">
        <v>2814</v>
      </c>
      <c r="D120">
        <v>3918</v>
      </c>
    </row>
    <row r="121" spans="1:4" x14ac:dyDescent="0.2">
      <c r="A121" s="1" t="s">
        <v>129</v>
      </c>
      <c r="B121">
        <v>1752</v>
      </c>
      <c r="C121">
        <v>3665</v>
      </c>
      <c r="D121">
        <v>5708</v>
      </c>
    </row>
    <row r="122" spans="1:4" x14ac:dyDescent="0.2">
      <c r="A122" s="1" t="s">
        <v>130</v>
      </c>
      <c r="B122">
        <v>2130</v>
      </c>
      <c r="C122">
        <v>3859</v>
      </c>
      <c r="D122">
        <v>6787</v>
      </c>
    </row>
    <row r="123" spans="1:4" x14ac:dyDescent="0.2">
      <c r="A123" s="1" t="s">
        <v>131</v>
      </c>
      <c r="B123">
        <v>2522</v>
      </c>
      <c r="C123">
        <v>2739</v>
      </c>
      <c r="D123">
        <v>5606</v>
      </c>
    </row>
    <row r="124" spans="1:4" x14ac:dyDescent="0.2">
      <c r="A124" s="1" t="s">
        <v>132</v>
      </c>
      <c r="B124">
        <v>2069</v>
      </c>
      <c r="C124">
        <v>1872</v>
      </c>
      <c r="D124">
        <v>4266</v>
      </c>
    </row>
    <row r="125" spans="1:4" x14ac:dyDescent="0.2">
      <c r="A125" s="1" t="s">
        <v>133</v>
      </c>
      <c r="B125">
        <v>1247</v>
      </c>
      <c r="C125">
        <v>1387</v>
      </c>
      <c r="D125">
        <v>2833</v>
      </c>
    </row>
    <row r="126" spans="1:4" x14ac:dyDescent="0.2">
      <c r="A126" s="1" t="s">
        <v>134</v>
      </c>
      <c r="B126">
        <v>1446</v>
      </c>
      <c r="C126">
        <v>1222</v>
      </c>
      <c r="D126">
        <v>1967</v>
      </c>
    </row>
    <row r="127" spans="1:4" x14ac:dyDescent="0.2">
      <c r="A127" s="1" t="s">
        <v>135</v>
      </c>
      <c r="B127">
        <v>917</v>
      </c>
      <c r="C127">
        <v>1074</v>
      </c>
      <c r="D127">
        <v>2498</v>
      </c>
    </row>
    <row r="128" spans="1:4" x14ac:dyDescent="0.2">
      <c r="A128" s="1" t="s">
        <v>136</v>
      </c>
      <c r="B128">
        <v>508</v>
      </c>
      <c r="C128">
        <v>2601</v>
      </c>
      <c r="D128">
        <v>2804</v>
      </c>
    </row>
    <row r="129" spans="1:4" x14ac:dyDescent="0.2">
      <c r="A129" s="1" t="s">
        <v>137</v>
      </c>
      <c r="B129">
        <v>592</v>
      </c>
      <c r="C129">
        <v>2763</v>
      </c>
      <c r="D129">
        <v>2833</v>
      </c>
    </row>
    <row r="130" spans="1:4" x14ac:dyDescent="0.2">
      <c r="A130" s="1" t="s">
        <v>138</v>
      </c>
      <c r="B130">
        <v>610</v>
      </c>
      <c r="C130">
        <v>3113</v>
      </c>
      <c r="D130">
        <v>3311</v>
      </c>
    </row>
    <row r="131" spans="1:4" x14ac:dyDescent="0.2">
      <c r="A131" s="1" t="s">
        <v>139</v>
      </c>
      <c r="B131">
        <v>795</v>
      </c>
      <c r="C131">
        <v>3246</v>
      </c>
      <c r="D131">
        <v>3572</v>
      </c>
    </row>
    <row r="132" spans="1:4" x14ac:dyDescent="0.2">
      <c r="A132" s="1" t="s">
        <v>140</v>
      </c>
      <c r="B132">
        <v>862</v>
      </c>
      <c r="C132">
        <v>4291</v>
      </c>
      <c r="D132">
        <v>5414</v>
      </c>
    </row>
    <row r="133" spans="1:4" x14ac:dyDescent="0.2">
      <c r="A133" s="1" t="s">
        <v>141</v>
      </c>
      <c r="B133">
        <v>1391</v>
      </c>
      <c r="C133">
        <v>4869</v>
      </c>
      <c r="D133">
        <v>6341</v>
      </c>
    </row>
    <row r="134" spans="1:4" x14ac:dyDescent="0.2">
      <c r="A134" s="1" t="s">
        <v>142</v>
      </c>
      <c r="B134">
        <v>1585</v>
      </c>
      <c r="C134">
        <v>4508</v>
      </c>
      <c r="D134">
        <v>6619</v>
      </c>
    </row>
    <row r="135" spans="1:4" x14ac:dyDescent="0.2">
      <c r="A135" s="1" t="s">
        <v>143</v>
      </c>
      <c r="B135">
        <v>1852</v>
      </c>
      <c r="C135">
        <v>4151</v>
      </c>
      <c r="D135">
        <v>5717</v>
      </c>
    </row>
    <row r="136" spans="1:4" x14ac:dyDescent="0.2">
      <c r="A136" s="1" t="s">
        <v>144</v>
      </c>
      <c r="B136">
        <v>1321</v>
      </c>
      <c r="C136">
        <v>4507</v>
      </c>
      <c r="D136">
        <v>6642</v>
      </c>
    </row>
    <row r="137" spans="1:4" x14ac:dyDescent="0.2">
      <c r="A137" s="1" t="s">
        <v>145</v>
      </c>
      <c r="B137">
        <v>578</v>
      </c>
      <c r="C137">
        <v>4147</v>
      </c>
      <c r="D137">
        <v>4494</v>
      </c>
    </row>
    <row r="138" spans="1:4" x14ac:dyDescent="0.2">
      <c r="A138" s="1" t="s">
        <v>146</v>
      </c>
      <c r="B138">
        <v>449</v>
      </c>
      <c r="C138">
        <v>3150</v>
      </c>
      <c r="D138">
        <v>3260</v>
      </c>
    </row>
    <row r="139" spans="1:4" x14ac:dyDescent="0.2">
      <c r="A139" s="1" t="s">
        <v>147</v>
      </c>
      <c r="B139">
        <v>278</v>
      </c>
      <c r="C139">
        <v>3785</v>
      </c>
      <c r="D139">
        <v>3811</v>
      </c>
    </row>
    <row r="140" spans="1:4" x14ac:dyDescent="0.2">
      <c r="A140" s="1" t="s">
        <v>148</v>
      </c>
      <c r="B140">
        <v>568</v>
      </c>
      <c r="C140">
        <v>3479</v>
      </c>
      <c r="D140">
        <v>3841</v>
      </c>
    </row>
    <row r="141" spans="1:4" x14ac:dyDescent="0.2">
      <c r="A141" s="1" t="s">
        <v>149</v>
      </c>
      <c r="B141">
        <v>652</v>
      </c>
      <c r="C141">
        <v>3519</v>
      </c>
      <c r="D141">
        <v>4303</v>
      </c>
    </row>
    <row r="142" spans="1:4" x14ac:dyDescent="0.2">
      <c r="A142" s="1" t="s">
        <v>150</v>
      </c>
      <c r="B142">
        <v>653</v>
      </c>
      <c r="C142">
        <v>3629</v>
      </c>
      <c r="D142">
        <v>4121</v>
      </c>
    </row>
    <row r="143" spans="1:4" x14ac:dyDescent="0.2">
      <c r="A143" s="1" t="s">
        <v>151</v>
      </c>
      <c r="B143">
        <v>1635</v>
      </c>
      <c r="C143">
        <v>3023</v>
      </c>
      <c r="D143">
        <v>4755</v>
      </c>
    </row>
    <row r="144" spans="1:4" x14ac:dyDescent="0.2">
      <c r="A144" s="1" t="s">
        <v>152</v>
      </c>
      <c r="B144">
        <v>2028</v>
      </c>
      <c r="C144">
        <v>3021</v>
      </c>
      <c r="D144">
        <v>5398</v>
      </c>
    </row>
    <row r="145" spans="1:4" x14ac:dyDescent="0.2">
      <c r="A145" s="1" t="s">
        <v>153</v>
      </c>
      <c r="B145">
        <v>2515</v>
      </c>
      <c r="C145">
        <v>3669</v>
      </c>
      <c r="D145">
        <v>6692</v>
      </c>
    </row>
    <row r="146" spans="1:4" x14ac:dyDescent="0.2">
      <c r="A146" s="1" t="s">
        <v>154</v>
      </c>
      <c r="B146">
        <v>2641</v>
      </c>
      <c r="C146">
        <v>4064</v>
      </c>
      <c r="D146">
        <v>7137</v>
      </c>
    </row>
    <row r="147" spans="1:4" x14ac:dyDescent="0.2">
      <c r="A147" s="1" t="s">
        <v>155</v>
      </c>
      <c r="B147">
        <v>2658</v>
      </c>
      <c r="C147">
        <v>3615</v>
      </c>
      <c r="D147">
        <v>6138</v>
      </c>
    </row>
    <row r="148" spans="1:4" x14ac:dyDescent="0.2">
      <c r="A148" s="1" t="s">
        <v>156</v>
      </c>
      <c r="B148">
        <v>1970</v>
      </c>
      <c r="C148">
        <v>4245</v>
      </c>
      <c r="D148">
        <v>6951</v>
      </c>
    </row>
    <row r="149" spans="1:4" x14ac:dyDescent="0.2">
      <c r="A149" s="1" t="s">
        <v>157</v>
      </c>
      <c r="B149">
        <v>614</v>
      </c>
      <c r="C149">
        <v>3454</v>
      </c>
      <c r="D149">
        <v>3698</v>
      </c>
    </row>
    <row r="150" spans="1:4" x14ac:dyDescent="0.2">
      <c r="A150" s="1" t="s">
        <v>158</v>
      </c>
      <c r="B150">
        <v>747</v>
      </c>
      <c r="C150">
        <v>2982</v>
      </c>
      <c r="D150">
        <v>3055</v>
      </c>
    </row>
    <row r="151" spans="1:4" x14ac:dyDescent="0.2">
      <c r="A151" s="1" t="s">
        <v>159</v>
      </c>
      <c r="B151">
        <v>562</v>
      </c>
      <c r="C151">
        <v>3274</v>
      </c>
      <c r="D151">
        <v>2946</v>
      </c>
    </row>
    <row r="152" spans="1:4" x14ac:dyDescent="0.2">
      <c r="A152" s="1" t="s">
        <v>160</v>
      </c>
      <c r="B152">
        <v>383</v>
      </c>
      <c r="C152">
        <v>3029</v>
      </c>
      <c r="D152">
        <v>2767</v>
      </c>
    </row>
    <row r="153" spans="1:4" x14ac:dyDescent="0.2">
      <c r="A153" s="1" t="s">
        <v>161</v>
      </c>
      <c r="B153">
        <v>296</v>
      </c>
      <c r="C153">
        <v>3557</v>
      </c>
      <c r="D153">
        <v>3507</v>
      </c>
    </row>
    <row r="154" spans="1:4" x14ac:dyDescent="0.2">
      <c r="A154" s="1" t="s">
        <v>162</v>
      </c>
      <c r="B154">
        <v>297</v>
      </c>
      <c r="C154">
        <v>3105</v>
      </c>
      <c r="D154">
        <v>3130</v>
      </c>
    </row>
    <row r="155" spans="1:4" x14ac:dyDescent="0.2">
      <c r="A155" s="1" t="s">
        <v>163</v>
      </c>
      <c r="B155">
        <v>857</v>
      </c>
      <c r="C155">
        <v>2381</v>
      </c>
      <c r="D155">
        <v>3269</v>
      </c>
    </row>
    <row r="156" spans="1:4" x14ac:dyDescent="0.2">
      <c r="A156" s="1" t="s">
        <v>164</v>
      </c>
      <c r="B156">
        <v>1770</v>
      </c>
      <c r="C156">
        <v>2353</v>
      </c>
      <c r="D156">
        <v>2674</v>
      </c>
    </row>
    <row r="157" spans="1:4" x14ac:dyDescent="0.2">
      <c r="A157" s="1" t="s">
        <v>165</v>
      </c>
      <c r="B157">
        <v>2376</v>
      </c>
      <c r="C157">
        <v>3433</v>
      </c>
      <c r="D157">
        <v>5768</v>
      </c>
    </row>
    <row r="158" spans="1:4" x14ac:dyDescent="0.2">
      <c r="A158" s="1" t="s">
        <v>166</v>
      </c>
      <c r="B158">
        <v>2831</v>
      </c>
      <c r="C158">
        <v>3217</v>
      </c>
      <c r="D158">
        <v>6670</v>
      </c>
    </row>
    <row r="159" spans="1:4" x14ac:dyDescent="0.2">
      <c r="A159" s="1" t="s">
        <v>167</v>
      </c>
      <c r="B159">
        <v>2864</v>
      </c>
      <c r="C159">
        <v>3148</v>
      </c>
      <c r="D159">
        <v>6313</v>
      </c>
    </row>
    <row r="160" spans="1:4" x14ac:dyDescent="0.2">
      <c r="A160" s="1" t="s">
        <v>168</v>
      </c>
      <c r="B160">
        <v>1488</v>
      </c>
      <c r="C160">
        <v>3070</v>
      </c>
      <c r="D160">
        <v>4827</v>
      </c>
    </row>
    <row r="161" spans="1:4" x14ac:dyDescent="0.2">
      <c r="A161" s="1" t="s">
        <v>169</v>
      </c>
      <c r="B161">
        <v>698</v>
      </c>
      <c r="C161">
        <v>3284</v>
      </c>
      <c r="D161">
        <v>3852</v>
      </c>
    </row>
    <row r="162" spans="1:4" x14ac:dyDescent="0.2">
      <c r="A162" s="1" t="s">
        <v>170</v>
      </c>
      <c r="B162">
        <v>860</v>
      </c>
      <c r="C162">
        <v>2832</v>
      </c>
      <c r="D162">
        <v>3387</v>
      </c>
    </row>
    <row r="163" spans="1:4" x14ac:dyDescent="0.2">
      <c r="A163" s="1" t="s">
        <v>171</v>
      </c>
      <c r="B163">
        <v>462</v>
      </c>
      <c r="C163">
        <v>1870</v>
      </c>
      <c r="D163">
        <v>2120</v>
      </c>
    </row>
    <row r="164" spans="1:4" x14ac:dyDescent="0.2">
      <c r="A164" s="1" t="s">
        <v>172</v>
      </c>
      <c r="B164">
        <v>483</v>
      </c>
      <c r="C164">
        <v>2548</v>
      </c>
      <c r="D164">
        <v>2911</v>
      </c>
    </row>
    <row r="165" spans="1:4" x14ac:dyDescent="0.2">
      <c r="A165" s="1" t="s">
        <v>173</v>
      </c>
      <c r="B165">
        <v>400</v>
      </c>
      <c r="C165">
        <v>3282</v>
      </c>
      <c r="D165">
        <v>3464</v>
      </c>
    </row>
    <row r="166" spans="1:4" x14ac:dyDescent="0.2">
      <c r="A166" s="1" t="s">
        <v>174</v>
      </c>
      <c r="B166">
        <v>501</v>
      </c>
      <c r="C166">
        <v>2795</v>
      </c>
      <c r="D166">
        <v>3016</v>
      </c>
    </row>
    <row r="167" spans="1:4" x14ac:dyDescent="0.2">
      <c r="A167" s="1" t="s">
        <v>175</v>
      </c>
      <c r="B167">
        <v>525</v>
      </c>
      <c r="C167">
        <v>2833</v>
      </c>
      <c r="D167">
        <v>3315</v>
      </c>
    </row>
    <row r="168" spans="1:4" x14ac:dyDescent="0.2">
      <c r="A168" s="1" t="s">
        <v>176</v>
      </c>
      <c r="B168">
        <v>862</v>
      </c>
      <c r="C168">
        <v>3572</v>
      </c>
      <c r="D168">
        <v>4445</v>
      </c>
    </row>
    <row r="169" spans="1:4" x14ac:dyDescent="0.2">
      <c r="A169" s="1" t="s">
        <v>177</v>
      </c>
      <c r="B169">
        <v>642</v>
      </c>
      <c r="C169">
        <v>3768</v>
      </c>
      <c r="D169">
        <v>4321</v>
      </c>
    </row>
    <row r="170" spans="1:4" x14ac:dyDescent="0.2">
      <c r="A170" s="1" t="s">
        <v>178</v>
      </c>
      <c r="B170">
        <v>2089</v>
      </c>
      <c r="C170">
        <v>4431</v>
      </c>
      <c r="D170">
        <v>6706</v>
      </c>
    </row>
    <row r="171" spans="1:4" x14ac:dyDescent="0.2">
      <c r="A171" s="1" t="s">
        <v>179</v>
      </c>
      <c r="B171">
        <v>1662</v>
      </c>
      <c r="C171">
        <v>3676</v>
      </c>
      <c r="D171">
        <v>5193</v>
      </c>
    </row>
    <row r="172" spans="1:4" x14ac:dyDescent="0.2">
      <c r="A172" s="1" t="s">
        <v>180</v>
      </c>
      <c r="B172">
        <v>1242</v>
      </c>
      <c r="C172">
        <v>3075</v>
      </c>
      <c r="D172">
        <v>5620</v>
      </c>
    </row>
    <row r="173" spans="1:4" x14ac:dyDescent="0.2">
      <c r="A173" s="1" t="s">
        <v>181</v>
      </c>
      <c r="B173">
        <v>437</v>
      </c>
      <c r="C173">
        <v>1958</v>
      </c>
      <c r="D173">
        <v>2710</v>
      </c>
    </row>
    <row r="174" spans="1:4" x14ac:dyDescent="0.2">
      <c r="A174" s="1" t="s">
        <v>182</v>
      </c>
      <c r="B174">
        <v>546</v>
      </c>
      <c r="C174">
        <v>2336</v>
      </c>
      <c r="D174">
        <v>3123</v>
      </c>
    </row>
    <row r="175" spans="1:4" x14ac:dyDescent="0.2">
      <c r="A175" s="1" t="s">
        <v>183</v>
      </c>
      <c r="B175">
        <v>364</v>
      </c>
      <c r="C175">
        <v>1951</v>
      </c>
      <c r="D175">
        <v>2518</v>
      </c>
    </row>
    <row r="176" spans="1:4" x14ac:dyDescent="0.2">
      <c r="A176" s="1" t="s">
        <v>184</v>
      </c>
      <c r="B176">
        <v>469</v>
      </c>
      <c r="C176">
        <v>3106</v>
      </c>
      <c r="D176">
        <v>3576</v>
      </c>
    </row>
    <row r="177" spans="1:4" x14ac:dyDescent="0.2">
      <c r="A177" s="1" t="s">
        <v>185</v>
      </c>
      <c r="B177">
        <v>385</v>
      </c>
      <c r="C177">
        <v>3508</v>
      </c>
      <c r="D177">
        <v>3074</v>
      </c>
    </row>
    <row r="178" spans="1:4" x14ac:dyDescent="0.2">
      <c r="A178" s="1" t="s">
        <v>186</v>
      </c>
      <c r="B178">
        <v>385</v>
      </c>
      <c r="C178">
        <v>2993</v>
      </c>
      <c r="D178">
        <v>2921</v>
      </c>
    </row>
    <row r="179" spans="1:4" x14ac:dyDescent="0.2">
      <c r="A179" s="1" t="s">
        <v>187</v>
      </c>
      <c r="B179">
        <v>366</v>
      </c>
      <c r="C179">
        <v>3586</v>
      </c>
      <c r="D179">
        <v>3699</v>
      </c>
    </row>
    <row r="180" spans="1:4" x14ac:dyDescent="0.2">
      <c r="A180" s="1" t="s">
        <v>188</v>
      </c>
      <c r="B180">
        <v>1254</v>
      </c>
      <c r="C180">
        <v>4553</v>
      </c>
      <c r="D180">
        <v>5992</v>
      </c>
    </row>
    <row r="181" spans="1:4" x14ac:dyDescent="0.2">
      <c r="A181" s="1" t="s">
        <v>189</v>
      </c>
      <c r="B181">
        <v>2939</v>
      </c>
      <c r="C181">
        <v>4425</v>
      </c>
      <c r="D181">
        <v>7652</v>
      </c>
    </row>
    <row r="182" spans="1:4" x14ac:dyDescent="0.2">
      <c r="A182" s="1" t="s">
        <v>190</v>
      </c>
      <c r="B182">
        <v>2656</v>
      </c>
      <c r="C182">
        <v>3763</v>
      </c>
      <c r="D182">
        <v>7326</v>
      </c>
    </row>
    <row r="183" spans="1:4" x14ac:dyDescent="0.2">
      <c r="A183" s="1" t="s">
        <v>191</v>
      </c>
      <c r="B183">
        <v>3063</v>
      </c>
      <c r="C183">
        <v>3370</v>
      </c>
      <c r="D183">
        <v>7931</v>
      </c>
    </row>
    <row r="184" spans="1:4" x14ac:dyDescent="0.2">
      <c r="A184" s="1" t="s">
        <v>192</v>
      </c>
      <c r="B184">
        <v>2601</v>
      </c>
      <c r="C184">
        <v>3397</v>
      </c>
      <c r="D184">
        <v>5658</v>
      </c>
    </row>
    <row r="185" spans="1:4" x14ac:dyDescent="0.2">
      <c r="A185" s="1" t="s">
        <v>193</v>
      </c>
      <c r="B185">
        <v>405</v>
      </c>
      <c r="C185">
        <v>3656</v>
      </c>
      <c r="D185">
        <v>4684</v>
      </c>
    </row>
    <row r="186" spans="1:4" x14ac:dyDescent="0.2">
      <c r="A186" s="1" t="s">
        <v>194</v>
      </c>
      <c r="B186">
        <v>378</v>
      </c>
      <c r="C186">
        <v>3161</v>
      </c>
      <c r="D186">
        <v>3241</v>
      </c>
    </row>
    <row r="187" spans="1:4" x14ac:dyDescent="0.2">
      <c r="A187" s="1" t="s">
        <v>195</v>
      </c>
      <c r="B187">
        <v>378</v>
      </c>
      <c r="C187">
        <v>2791</v>
      </c>
      <c r="D187">
        <v>2553</v>
      </c>
    </row>
    <row r="188" spans="1:4" x14ac:dyDescent="0.2">
      <c r="A188" s="1" t="s">
        <v>196</v>
      </c>
      <c r="B188">
        <v>279</v>
      </c>
      <c r="C188">
        <v>3634</v>
      </c>
      <c r="D188">
        <v>3387</v>
      </c>
    </row>
    <row r="189" spans="1:4" x14ac:dyDescent="0.2">
      <c r="A189" s="1" t="s">
        <v>197</v>
      </c>
      <c r="B189">
        <v>299</v>
      </c>
      <c r="C189">
        <v>3723</v>
      </c>
      <c r="D189">
        <v>3481</v>
      </c>
    </row>
    <row r="190" spans="1:4" x14ac:dyDescent="0.2">
      <c r="A190" s="1" t="s">
        <v>198</v>
      </c>
      <c r="B190">
        <v>393</v>
      </c>
      <c r="C190">
        <v>3213</v>
      </c>
      <c r="D190">
        <v>3271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BA49-18D9-B240-A433-D8FE18F7D3C9}">
  <dimension ref="A1:R99"/>
  <sheetViews>
    <sheetView zoomScale="112" workbookViewId="0">
      <selection activeCell="R33" sqref="R33"/>
    </sheetView>
  </sheetViews>
  <sheetFormatPr baseColWidth="10" defaultRowHeight="15" x14ac:dyDescent="0.2"/>
  <sheetData>
    <row r="1" spans="1:16" x14ac:dyDescent="0.2">
      <c r="B1" s="1" t="s">
        <v>199</v>
      </c>
      <c r="C1" s="1" t="s">
        <v>200</v>
      </c>
      <c r="D1" s="1" t="s">
        <v>201</v>
      </c>
      <c r="E1" s="3" t="s">
        <v>202</v>
      </c>
      <c r="I1" t="s">
        <v>203</v>
      </c>
      <c r="J1" s="1" t="s">
        <v>199</v>
      </c>
      <c r="K1" s="3" t="s">
        <v>202</v>
      </c>
      <c r="O1" s="1" t="s">
        <v>204</v>
      </c>
      <c r="P1" s="3" t="s">
        <v>202</v>
      </c>
    </row>
    <row r="2" spans="1:16" x14ac:dyDescent="0.2">
      <c r="A2" s="1" t="s">
        <v>103</v>
      </c>
      <c r="B2">
        <v>496</v>
      </c>
      <c r="C2">
        <v>3642</v>
      </c>
      <c r="D2">
        <v>3818</v>
      </c>
      <c r="E2">
        <v>18.110714231218608</v>
      </c>
      <c r="I2" s="1" t="s">
        <v>103</v>
      </c>
      <c r="J2">
        <v>496</v>
      </c>
      <c r="K2">
        <v>18.110714231218608</v>
      </c>
      <c r="N2" s="1" t="s">
        <v>103</v>
      </c>
      <c r="O2" s="4">
        <f>B2/D2</f>
        <v>0.12991094814038764</v>
      </c>
      <c r="P2">
        <v>18.110714231218608</v>
      </c>
    </row>
    <row r="3" spans="1:16" x14ac:dyDescent="0.2">
      <c r="A3" s="1" t="s">
        <v>104</v>
      </c>
      <c r="B3">
        <v>1405</v>
      </c>
      <c r="C3">
        <v>3989</v>
      </c>
      <c r="D3">
        <v>5908</v>
      </c>
      <c r="E3">
        <v>19.524047669910249</v>
      </c>
      <c r="I3" s="1" t="s">
        <v>104</v>
      </c>
      <c r="J3">
        <v>1405</v>
      </c>
      <c r="K3">
        <v>19.524047669910249</v>
      </c>
      <c r="N3" s="1" t="s">
        <v>104</v>
      </c>
      <c r="O3" s="4">
        <f t="shared" ref="O3:O66" si="0">B3/D3</f>
        <v>0.23781313473256602</v>
      </c>
      <c r="P3">
        <v>19.524047669910249</v>
      </c>
    </row>
    <row r="4" spans="1:16" x14ac:dyDescent="0.2">
      <c r="A4" s="1" t="s">
        <v>105</v>
      </c>
      <c r="B4">
        <v>1977</v>
      </c>
      <c r="C4">
        <v>3993</v>
      </c>
      <c r="D4">
        <v>5629</v>
      </c>
      <c r="E4">
        <v>20.55075016021728</v>
      </c>
      <c r="I4" s="1" t="s">
        <v>105</v>
      </c>
      <c r="J4">
        <v>1977</v>
      </c>
      <c r="K4">
        <v>20.55075016021728</v>
      </c>
      <c r="N4" s="1" t="s">
        <v>105</v>
      </c>
      <c r="O4" s="4">
        <f t="shared" si="0"/>
        <v>0.3512169124178362</v>
      </c>
      <c r="P4">
        <v>20.55075016021728</v>
      </c>
    </row>
    <row r="5" spans="1:16" x14ac:dyDescent="0.2">
      <c r="A5" s="1" t="s">
        <v>106</v>
      </c>
      <c r="B5">
        <v>1960</v>
      </c>
      <c r="C5">
        <v>4256</v>
      </c>
      <c r="D5">
        <v>6499</v>
      </c>
      <c r="E5">
        <v>18.588333584013441</v>
      </c>
      <c r="I5" s="1" t="s">
        <v>106</v>
      </c>
      <c r="J5">
        <v>1960</v>
      </c>
      <c r="K5">
        <v>18.588333584013441</v>
      </c>
      <c r="N5" s="1" t="s">
        <v>106</v>
      </c>
      <c r="O5" s="4">
        <f t="shared" si="0"/>
        <v>0.3015848592091091</v>
      </c>
      <c r="P5">
        <v>18.588333584013441</v>
      </c>
    </row>
    <row r="6" spans="1:16" x14ac:dyDescent="0.2">
      <c r="A6" s="1" t="s">
        <v>107</v>
      </c>
      <c r="B6">
        <v>1660</v>
      </c>
      <c r="C6">
        <v>3744</v>
      </c>
      <c r="D6">
        <v>5307</v>
      </c>
      <c r="E6">
        <v>18.4734212975753</v>
      </c>
      <c r="I6" s="1" t="s">
        <v>107</v>
      </c>
      <c r="J6">
        <v>1660</v>
      </c>
      <c r="K6">
        <v>18.4734212975753</v>
      </c>
      <c r="N6" s="1" t="s">
        <v>107</v>
      </c>
      <c r="O6" s="4">
        <f t="shared" si="0"/>
        <v>0.31279442246090072</v>
      </c>
      <c r="P6">
        <v>18.4734212975753</v>
      </c>
    </row>
    <row r="7" spans="1:16" x14ac:dyDescent="0.2">
      <c r="A7" s="1" t="s">
        <v>108</v>
      </c>
      <c r="B7">
        <v>947</v>
      </c>
      <c r="C7">
        <v>3779</v>
      </c>
      <c r="D7">
        <v>4584</v>
      </c>
      <c r="E7">
        <v>18.510000047229589</v>
      </c>
      <c r="I7" s="1" t="s">
        <v>108</v>
      </c>
      <c r="J7">
        <v>947</v>
      </c>
      <c r="K7">
        <v>18.510000047229589</v>
      </c>
      <c r="N7" s="1" t="s">
        <v>108</v>
      </c>
      <c r="O7" s="4">
        <f t="shared" si="0"/>
        <v>0.20658813263525305</v>
      </c>
      <c r="P7">
        <v>18.510000047229589</v>
      </c>
    </row>
    <row r="8" spans="1:16" x14ac:dyDescent="0.2">
      <c r="A8" s="1" t="s">
        <v>109</v>
      </c>
      <c r="B8">
        <v>609</v>
      </c>
      <c r="C8">
        <v>3061</v>
      </c>
      <c r="D8">
        <v>3508</v>
      </c>
      <c r="E8">
        <v>19.239999771118161</v>
      </c>
      <c r="I8" s="1" t="s">
        <v>109</v>
      </c>
      <c r="J8">
        <v>609</v>
      </c>
      <c r="K8">
        <v>19.239999771118161</v>
      </c>
      <c r="N8" s="1" t="s">
        <v>109</v>
      </c>
      <c r="O8" s="4">
        <f t="shared" si="0"/>
        <v>0.17360319270239452</v>
      </c>
      <c r="P8">
        <v>19.239999771118161</v>
      </c>
    </row>
    <row r="9" spans="1:16" x14ac:dyDescent="0.2">
      <c r="A9" s="1" t="s">
        <v>110</v>
      </c>
      <c r="B9">
        <v>555</v>
      </c>
      <c r="C9">
        <v>2454</v>
      </c>
      <c r="D9">
        <v>3248</v>
      </c>
      <c r="E9">
        <v>21.562272765419699</v>
      </c>
      <c r="I9" s="1" t="s">
        <v>110</v>
      </c>
      <c r="J9">
        <v>555</v>
      </c>
      <c r="K9">
        <v>21.562272765419699</v>
      </c>
      <c r="N9" s="1" t="s">
        <v>110</v>
      </c>
      <c r="O9" s="4">
        <f t="shared" si="0"/>
        <v>0.17087438423645321</v>
      </c>
      <c r="P9">
        <v>21.562272765419699</v>
      </c>
    </row>
    <row r="10" spans="1:16" x14ac:dyDescent="0.2">
      <c r="A10" s="1" t="s">
        <v>111</v>
      </c>
      <c r="B10">
        <v>512</v>
      </c>
      <c r="C10">
        <v>2411</v>
      </c>
      <c r="D10">
        <v>2447</v>
      </c>
      <c r="E10">
        <v>21.747619083949498</v>
      </c>
      <c r="I10" s="1" t="s">
        <v>111</v>
      </c>
      <c r="J10">
        <v>512</v>
      </c>
      <c r="K10">
        <v>21.747619083949498</v>
      </c>
      <c r="N10" s="1" t="s">
        <v>111</v>
      </c>
      <c r="O10" s="4">
        <f t="shared" si="0"/>
        <v>0.20923579893747446</v>
      </c>
      <c r="P10">
        <v>21.747619083949498</v>
      </c>
    </row>
    <row r="11" spans="1:16" x14ac:dyDescent="0.2">
      <c r="A11" s="1" t="s">
        <v>112</v>
      </c>
      <c r="B11">
        <v>456</v>
      </c>
      <c r="C11">
        <v>3178</v>
      </c>
      <c r="D11">
        <v>3662</v>
      </c>
      <c r="E11">
        <v>22.195714133126391</v>
      </c>
      <c r="I11" s="1" t="s">
        <v>112</v>
      </c>
      <c r="J11">
        <v>456</v>
      </c>
      <c r="K11">
        <v>22.195714133126391</v>
      </c>
      <c r="N11" s="1" t="s">
        <v>112</v>
      </c>
      <c r="O11" s="4">
        <f t="shared" si="0"/>
        <v>0.1245221190606226</v>
      </c>
      <c r="P11">
        <v>22.195714133126391</v>
      </c>
    </row>
    <row r="12" spans="1:16" x14ac:dyDescent="0.2">
      <c r="A12" s="1" t="s">
        <v>113</v>
      </c>
      <c r="B12">
        <v>447</v>
      </c>
      <c r="C12">
        <v>2588</v>
      </c>
      <c r="D12">
        <v>2947</v>
      </c>
      <c r="E12">
        <v>23.893043600994609</v>
      </c>
      <c r="I12" s="1" t="s">
        <v>113</v>
      </c>
      <c r="J12">
        <v>447</v>
      </c>
      <c r="K12">
        <v>23.893043600994609</v>
      </c>
      <c r="N12" s="1" t="s">
        <v>113</v>
      </c>
      <c r="O12" s="4">
        <f t="shared" si="0"/>
        <v>0.1516796742449949</v>
      </c>
      <c r="P12">
        <v>23.893043600994609</v>
      </c>
    </row>
    <row r="13" spans="1:16" x14ac:dyDescent="0.2">
      <c r="A13" s="1" t="s">
        <v>114</v>
      </c>
      <c r="B13">
        <v>321</v>
      </c>
      <c r="C13">
        <v>2961</v>
      </c>
      <c r="D13">
        <v>3271</v>
      </c>
      <c r="E13">
        <v>27.951315930015159</v>
      </c>
      <c r="I13" s="1" t="s">
        <v>114</v>
      </c>
      <c r="J13">
        <v>321</v>
      </c>
      <c r="K13">
        <v>27.951315930015159</v>
      </c>
      <c r="N13" s="1" t="s">
        <v>114</v>
      </c>
      <c r="O13" s="4">
        <f t="shared" si="0"/>
        <v>9.8135126872516049E-2</v>
      </c>
      <c r="P13">
        <v>27.951315930015159</v>
      </c>
    </row>
    <row r="14" spans="1:16" x14ac:dyDescent="0.2">
      <c r="A14" s="1" t="s">
        <v>115</v>
      </c>
      <c r="B14">
        <v>701</v>
      </c>
      <c r="C14">
        <v>3007</v>
      </c>
      <c r="D14">
        <v>3677</v>
      </c>
      <c r="E14">
        <v>26.11326068380605</v>
      </c>
      <c r="I14" s="1" t="s">
        <v>115</v>
      </c>
      <c r="J14">
        <v>701</v>
      </c>
      <c r="K14">
        <v>26.11326068380605</v>
      </c>
      <c r="N14" s="1" t="s">
        <v>115</v>
      </c>
      <c r="O14" s="4">
        <f t="shared" si="0"/>
        <v>0.19064454718520532</v>
      </c>
      <c r="P14">
        <v>26.11326068380605</v>
      </c>
    </row>
    <row r="15" spans="1:16" x14ac:dyDescent="0.2">
      <c r="A15" s="1" t="s">
        <v>116</v>
      </c>
      <c r="B15">
        <v>714</v>
      </c>
      <c r="C15">
        <v>3633</v>
      </c>
      <c r="D15">
        <v>4208</v>
      </c>
      <c r="E15">
        <v>24.8261904943557</v>
      </c>
      <c r="I15" s="1" t="s">
        <v>116</v>
      </c>
      <c r="J15">
        <v>714</v>
      </c>
      <c r="K15">
        <v>24.8261904943557</v>
      </c>
      <c r="N15" s="1" t="s">
        <v>116</v>
      </c>
      <c r="O15" s="4">
        <f t="shared" si="0"/>
        <v>0.16967680608365018</v>
      </c>
      <c r="P15">
        <v>24.8261904943557</v>
      </c>
    </row>
    <row r="16" spans="1:16" x14ac:dyDescent="0.2">
      <c r="A16" s="1" t="s">
        <v>117</v>
      </c>
      <c r="B16">
        <v>2100</v>
      </c>
      <c r="C16">
        <v>3953</v>
      </c>
      <c r="D16">
        <v>6184</v>
      </c>
      <c r="E16">
        <v>23.90500008432489</v>
      </c>
      <c r="I16" s="1" t="s">
        <v>117</v>
      </c>
      <c r="J16">
        <v>2100</v>
      </c>
      <c r="K16">
        <v>23.90500008432489</v>
      </c>
      <c r="N16" s="1" t="s">
        <v>117</v>
      </c>
      <c r="O16" s="4">
        <f t="shared" si="0"/>
        <v>0.33958602846054331</v>
      </c>
      <c r="P16">
        <v>23.90500008432489</v>
      </c>
    </row>
    <row r="17" spans="1:18" x14ac:dyDescent="0.2">
      <c r="A17" s="1" t="s">
        <v>118</v>
      </c>
      <c r="B17">
        <v>2341</v>
      </c>
      <c r="C17">
        <v>3467</v>
      </c>
      <c r="D17">
        <v>6188</v>
      </c>
      <c r="E17">
        <v>21.692857015700572</v>
      </c>
      <c r="I17" s="1" t="s">
        <v>118</v>
      </c>
      <c r="J17">
        <v>2341</v>
      </c>
      <c r="K17">
        <v>21.692857015700572</v>
      </c>
      <c r="N17" s="1" t="s">
        <v>118</v>
      </c>
      <c r="O17" s="4">
        <f t="shared" si="0"/>
        <v>0.37831286360698124</v>
      </c>
      <c r="P17">
        <v>21.692857015700572</v>
      </c>
    </row>
    <row r="18" spans="1:18" x14ac:dyDescent="0.2">
      <c r="A18" s="1" t="s">
        <v>119</v>
      </c>
      <c r="B18">
        <v>1694</v>
      </c>
      <c r="C18">
        <v>2583</v>
      </c>
      <c r="D18">
        <v>4854</v>
      </c>
      <c r="E18">
        <v>18.085263101678141</v>
      </c>
      <c r="I18" s="1" t="s">
        <v>119</v>
      </c>
      <c r="J18">
        <v>1694</v>
      </c>
      <c r="K18">
        <v>18.085263101678141</v>
      </c>
      <c r="N18" s="1" t="s">
        <v>119</v>
      </c>
      <c r="O18" s="4">
        <f t="shared" si="0"/>
        <v>0.34899052327976926</v>
      </c>
      <c r="P18">
        <v>18.085263101678141</v>
      </c>
    </row>
    <row r="19" spans="1:18" x14ac:dyDescent="0.2">
      <c r="A19" s="1" t="s">
        <v>120</v>
      </c>
      <c r="B19">
        <v>1292</v>
      </c>
      <c r="C19">
        <v>3004</v>
      </c>
      <c r="D19">
        <v>4830</v>
      </c>
      <c r="E19">
        <v>15.62833331880115</v>
      </c>
      <c r="I19" s="1" t="s">
        <v>120</v>
      </c>
      <c r="J19">
        <v>1292</v>
      </c>
      <c r="K19">
        <v>15.62833331880115</v>
      </c>
      <c r="N19" s="1" t="s">
        <v>120</v>
      </c>
      <c r="O19" s="4">
        <f t="shared" si="0"/>
        <v>0.26749482401656316</v>
      </c>
      <c r="P19">
        <v>15.62833331880115</v>
      </c>
    </row>
    <row r="20" spans="1:18" x14ac:dyDescent="0.2">
      <c r="A20" s="1" t="s">
        <v>121</v>
      </c>
      <c r="B20">
        <v>688</v>
      </c>
      <c r="C20">
        <v>2863</v>
      </c>
      <c r="D20">
        <v>3710</v>
      </c>
      <c r="E20">
        <v>14.94047614506313</v>
      </c>
      <c r="I20" s="1" t="s">
        <v>121</v>
      </c>
      <c r="J20">
        <v>688</v>
      </c>
      <c r="K20">
        <v>14.94047614506313</v>
      </c>
      <c r="N20" s="1" t="s">
        <v>121</v>
      </c>
      <c r="O20" s="4">
        <f t="shared" si="0"/>
        <v>0.18544474393530996</v>
      </c>
      <c r="P20">
        <v>14.94047614506313</v>
      </c>
    </row>
    <row r="21" spans="1:18" x14ac:dyDescent="0.2">
      <c r="A21" s="1" t="s">
        <v>122</v>
      </c>
      <c r="B21">
        <v>473</v>
      </c>
      <c r="C21">
        <v>2208</v>
      </c>
      <c r="D21">
        <v>2543</v>
      </c>
      <c r="E21">
        <v>13.29159086400812</v>
      </c>
      <c r="I21" s="1" t="s">
        <v>122</v>
      </c>
      <c r="J21">
        <v>473</v>
      </c>
      <c r="K21">
        <v>13.29159086400812</v>
      </c>
      <c r="N21" s="1" t="s">
        <v>122</v>
      </c>
      <c r="O21" s="4">
        <f t="shared" si="0"/>
        <v>0.18600078647267007</v>
      </c>
      <c r="P21">
        <v>13.29159086400812</v>
      </c>
    </row>
    <row r="22" spans="1:18" x14ac:dyDescent="0.2">
      <c r="A22" s="1" t="s">
        <v>123</v>
      </c>
      <c r="B22">
        <v>648</v>
      </c>
      <c r="C22">
        <v>2029</v>
      </c>
      <c r="D22">
        <v>2151</v>
      </c>
      <c r="E22">
        <v>10.842249965667721</v>
      </c>
      <c r="I22" s="1" t="s">
        <v>123</v>
      </c>
      <c r="J22">
        <v>648</v>
      </c>
      <c r="K22">
        <v>10.842249965667721</v>
      </c>
      <c r="N22" s="1" t="s">
        <v>123</v>
      </c>
      <c r="O22" s="4">
        <f t="shared" si="0"/>
        <v>0.30125523012552302</v>
      </c>
      <c r="P22">
        <v>10.842249965667721</v>
      </c>
    </row>
    <row r="23" spans="1:18" x14ac:dyDescent="0.2">
      <c r="A23" s="1" t="s">
        <v>124</v>
      </c>
      <c r="B23">
        <v>573</v>
      </c>
      <c r="C23">
        <v>2684</v>
      </c>
      <c r="D23">
        <v>2999</v>
      </c>
      <c r="E23">
        <v>11.03227272900668</v>
      </c>
      <c r="I23" s="1" t="s">
        <v>124</v>
      </c>
      <c r="J23">
        <v>573</v>
      </c>
      <c r="K23">
        <v>11.03227272900668</v>
      </c>
      <c r="N23" s="1" t="s">
        <v>124</v>
      </c>
      <c r="O23" s="4">
        <f t="shared" si="0"/>
        <v>0.19106368789596531</v>
      </c>
      <c r="P23">
        <v>11.03227272900668</v>
      </c>
    </row>
    <row r="24" spans="1:18" x14ac:dyDescent="0.2">
      <c r="A24" s="1" t="s">
        <v>125</v>
      </c>
      <c r="B24">
        <v>802</v>
      </c>
      <c r="C24">
        <v>2347</v>
      </c>
      <c r="D24">
        <v>2612</v>
      </c>
      <c r="E24">
        <v>11.275454477830371</v>
      </c>
      <c r="I24" s="1" t="s">
        <v>125</v>
      </c>
      <c r="J24">
        <v>802</v>
      </c>
      <c r="K24">
        <v>11.275454477830371</v>
      </c>
      <c r="N24" s="1" t="s">
        <v>125</v>
      </c>
      <c r="O24" s="4">
        <f t="shared" si="0"/>
        <v>0.30704441041347624</v>
      </c>
      <c r="P24">
        <v>11.275454477830371</v>
      </c>
    </row>
    <row r="25" spans="1:18" x14ac:dyDescent="0.2">
      <c r="A25" s="1" t="s">
        <v>126</v>
      </c>
      <c r="B25">
        <v>570</v>
      </c>
      <c r="C25">
        <v>2469</v>
      </c>
      <c r="D25">
        <v>2584</v>
      </c>
      <c r="E25">
        <v>13.0949999332428</v>
      </c>
      <c r="I25" s="1" t="s">
        <v>126</v>
      </c>
      <c r="J25">
        <v>570</v>
      </c>
      <c r="K25">
        <v>13.0949999332428</v>
      </c>
      <c r="N25" s="1" t="s">
        <v>126</v>
      </c>
      <c r="O25" s="4">
        <f t="shared" si="0"/>
        <v>0.22058823529411764</v>
      </c>
      <c r="P25">
        <v>13.0949999332428</v>
      </c>
    </row>
    <row r="26" spans="1:18" x14ac:dyDescent="0.2">
      <c r="A26" s="1" t="s">
        <v>127</v>
      </c>
      <c r="B26">
        <v>776</v>
      </c>
      <c r="C26">
        <v>2383</v>
      </c>
      <c r="D26">
        <v>2898</v>
      </c>
      <c r="E26">
        <v>15.611739241558571</v>
      </c>
      <c r="I26" s="1" t="s">
        <v>127</v>
      </c>
      <c r="J26">
        <v>776</v>
      </c>
      <c r="K26">
        <v>15.611739241558571</v>
      </c>
      <c r="N26" s="1" t="s">
        <v>127</v>
      </c>
      <c r="O26" s="4">
        <f t="shared" si="0"/>
        <v>0.26777087646652864</v>
      </c>
      <c r="P26">
        <v>15.611739241558571</v>
      </c>
    </row>
    <row r="27" spans="1:18" x14ac:dyDescent="0.2">
      <c r="A27" s="1" t="s">
        <v>128</v>
      </c>
      <c r="B27">
        <v>1087</v>
      </c>
      <c r="C27">
        <v>2814</v>
      </c>
      <c r="D27">
        <v>3918</v>
      </c>
      <c r="E27">
        <v>15.909500026702879</v>
      </c>
      <c r="I27" s="1" t="s">
        <v>128</v>
      </c>
      <c r="J27">
        <v>1087</v>
      </c>
      <c r="K27">
        <v>15.909500026702879</v>
      </c>
      <c r="N27" s="1" t="s">
        <v>128</v>
      </c>
      <c r="O27" s="4">
        <f t="shared" si="0"/>
        <v>0.27743746809596731</v>
      </c>
      <c r="P27">
        <v>15.909500026702879</v>
      </c>
    </row>
    <row r="28" spans="1:18" x14ac:dyDescent="0.2">
      <c r="A28" s="1" t="s">
        <v>129</v>
      </c>
      <c r="B28">
        <v>1752</v>
      </c>
      <c r="C28">
        <v>3665</v>
      </c>
      <c r="D28">
        <v>5708</v>
      </c>
      <c r="E28">
        <v>14.187619118463431</v>
      </c>
      <c r="I28" s="1" t="s">
        <v>129</v>
      </c>
      <c r="J28">
        <v>1752</v>
      </c>
      <c r="K28">
        <v>14.187619118463431</v>
      </c>
      <c r="N28" s="1" t="s">
        <v>129</v>
      </c>
      <c r="O28" s="4">
        <f t="shared" si="0"/>
        <v>0.30693763139453401</v>
      </c>
      <c r="P28">
        <v>14.187619118463431</v>
      </c>
    </row>
    <row r="29" spans="1:18" x14ac:dyDescent="0.2">
      <c r="A29" s="1" t="s">
        <v>130</v>
      </c>
      <c r="B29">
        <v>2130</v>
      </c>
      <c r="C29">
        <v>3859</v>
      </c>
      <c r="D29">
        <v>6787</v>
      </c>
      <c r="E29">
        <v>11.193095207214361</v>
      </c>
      <c r="I29" s="1" t="s">
        <v>130</v>
      </c>
      <c r="J29">
        <v>2130</v>
      </c>
      <c r="K29">
        <v>11.193095207214361</v>
      </c>
      <c r="N29" s="1" t="s">
        <v>130</v>
      </c>
      <c r="O29" s="4">
        <f t="shared" si="0"/>
        <v>0.31383527331663474</v>
      </c>
      <c r="P29">
        <v>11.193095207214361</v>
      </c>
    </row>
    <row r="30" spans="1:18" x14ac:dyDescent="0.2">
      <c r="A30" s="1" t="s">
        <v>131</v>
      </c>
      <c r="B30">
        <v>2522</v>
      </c>
      <c r="C30">
        <v>2739</v>
      </c>
      <c r="D30">
        <v>5606</v>
      </c>
      <c r="E30">
        <v>9.083684168363872</v>
      </c>
      <c r="I30" s="1" t="s">
        <v>131</v>
      </c>
      <c r="J30">
        <v>2522</v>
      </c>
      <c r="K30">
        <v>9.083684168363872</v>
      </c>
      <c r="N30" s="1" t="s">
        <v>131</v>
      </c>
      <c r="O30" s="4">
        <f t="shared" si="0"/>
        <v>0.44987513378523009</v>
      </c>
      <c r="P30">
        <v>9.083684168363872</v>
      </c>
    </row>
    <row r="31" spans="1:18" x14ac:dyDescent="0.2">
      <c r="A31" s="1" t="s">
        <v>132</v>
      </c>
      <c r="B31">
        <v>2069</v>
      </c>
      <c r="C31">
        <v>1872</v>
      </c>
      <c r="D31">
        <v>4266</v>
      </c>
      <c r="E31">
        <v>8.3850000121376738</v>
      </c>
      <c r="I31" s="1" t="s">
        <v>132</v>
      </c>
      <c r="J31">
        <v>2069</v>
      </c>
      <c r="K31">
        <v>8.3850000121376738</v>
      </c>
      <c r="N31" s="1" t="s">
        <v>132</v>
      </c>
      <c r="O31" s="4">
        <f t="shared" si="0"/>
        <v>0.48499765588373184</v>
      </c>
      <c r="P31">
        <v>8.3850000121376738</v>
      </c>
    </row>
    <row r="32" spans="1:18" x14ac:dyDescent="0.2">
      <c r="A32" s="1" t="s">
        <v>133</v>
      </c>
      <c r="B32">
        <v>1247</v>
      </c>
      <c r="C32">
        <v>1387</v>
      </c>
      <c r="D32">
        <v>2833</v>
      </c>
      <c r="E32">
        <v>6.6571428435189386</v>
      </c>
      <c r="I32" s="1" t="s">
        <v>133</v>
      </c>
      <c r="J32">
        <v>1247</v>
      </c>
      <c r="K32">
        <v>6.6571428435189386</v>
      </c>
      <c r="N32" s="1" t="s">
        <v>133</v>
      </c>
      <c r="O32" s="4">
        <f t="shared" si="0"/>
        <v>0.44016943169784678</v>
      </c>
      <c r="P32">
        <v>6.6571428435189386</v>
      </c>
      <c r="R32">
        <f>15/450</f>
        <v>3.3333333333333333E-2</v>
      </c>
    </row>
    <row r="33" spans="1:16" x14ac:dyDescent="0.2">
      <c r="A33" s="1" t="s">
        <v>134</v>
      </c>
      <c r="B33">
        <v>1446</v>
      </c>
      <c r="C33">
        <v>1222</v>
      </c>
      <c r="D33">
        <v>1967</v>
      </c>
      <c r="E33">
        <v>4.9372499704360964</v>
      </c>
      <c r="I33" s="1" t="s">
        <v>134</v>
      </c>
      <c r="J33">
        <v>1446</v>
      </c>
      <c r="K33">
        <v>4.9372499704360964</v>
      </c>
      <c r="N33" s="1" t="s">
        <v>134</v>
      </c>
      <c r="O33" s="4">
        <f t="shared" si="0"/>
        <v>0.73512963904422979</v>
      </c>
      <c r="P33">
        <v>4.9372499704360964</v>
      </c>
    </row>
    <row r="34" spans="1:16" x14ac:dyDescent="0.2">
      <c r="A34" s="1" t="s">
        <v>135</v>
      </c>
      <c r="B34">
        <v>917</v>
      </c>
      <c r="C34">
        <v>1074</v>
      </c>
      <c r="D34">
        <v>2498</v>
      </c>
      <c r="E34">
        <v>5.3118181445381856</v>
      </c>
      <c r="I34" s="1" t="s">
        <v>135</v>
      </c>
      <c r="J34">
        <v>917</v>
      </c>
      <c r="K34">
        <v>5.3118181445381856</v>
      </c>
      <c r="N34" s="1" t="s">
        <v>135</v>
      </c>
      <c r="O34" s="4">
        <f t="shared" si="0"/>
        <v>0.36709367493995199</v>
      </c>
      <c r="P34">
        <v>5.3118181445381856</v>
      </c>
    </row>
    <row r="35" spans="1:16" x14ac:dyDescent="0.2">
      <c r="A35" s="1" t="s">
        <v>136</v>
      </c>
      <c r="B35">
        <v>508</v>
      </c>
      <c r="C35">
        <v>2601</v>
      </c>
      <c r="D35">
        <v>2804</v>
      </c>
      <c r="E35">
        <v>5.332045446742665</v>
      </c>
      <c r="I35" s="1" t="s">
        <v>136</v>
      </c>
      <c r="J35">
        <v>508</v>
      </c>
      <c r="K35">
        <v>5.332045446742665</v>
      </c>
      <c r="N35" s="1" t="s">
        <v>136</v>
      </c>
      <c r="O35" s="4">
        <f t="shared" si="0"/>
        <v>0.181169757489301</v>
      </c>
      <c r="P35">
        <v>5.332045446742665</v>
      </c>
    </row>
    <row r="36" spans="1:16" x14ac:dyDescent="0.2">
      <c r="A36" s="1" t="s">
        <v>137</v>
      </c>
      <c r="B36">
        <v>592</v>
      </c>
      <c r="C36">
        <v>2763</v>
      </c>
      <c r="D36">
        <v>2833</v>
      </c>
      <c r="E36">
        <v>8.2552380561828613</v>
      </c>
      <c r="I36" s="1" t="s">
        <v>137</v>
      </c>
      <c r="J36">
        <v>592</v>
      </c>
      <c r="K36">
        <v>8.2552380561828613</v>
      </c>
      <c r="N36" s="1" t="s">
        <v>137</v>
      </c>
      <c r="O36" s="4">
        <f t="shared" si="0"/>
        <v>0.20896576067772679</v>
      </c>
      <c r="P36">
        <v>8.2552380561828613</v>
      </c>
    </row>
    <row r="37" spans="1:16" x14ac:dyDescent="0.2">
      <c r="A37" s="1" t="s">
        <v>138</v>
      </c>
      <c r="B37">
        <v>610</v>
      </c>
      <c r="C37">
        <v>3113</v>
      </c>
      <c r="D37">
        <v>3311</v>
      </c>
      <c r="E37">
        <v>11.44357145400274</v>
      </c>
      <c r="I37" s="1" t="s">
        <v>138</v>
      </c>
      <c r="J37">
        <v>610</v>
      </c>
      <c r="K37">
        <v>11.44357145400274</v>
      </c>
      <c r="N37" s="1" t="s">
        <v>138</v>
      </c>
      <c r="O37" s="4">
        <f t="shared" si="0"/>
        <v>0.18423437028088191</v>
      </c>
      <c r="P37">
        <v>11.44357145400274</v>
      </c>
    </row>
    <row r="38" spans="1:16" x14ac:dyDescent="0.2">
      <c r="A38" s="1" t="s">
        <v>139</v>
      </c>
      <c r="B38">
        <v>795</v>
      </c>
      <c r="C38">
        <v>3246</v>
      </c>
      <c r="D38">
        <v>3572</v>
      </c>
      <c r="E38">
        <v>14.17522729526867</v>
      </c>
      <c r="I38" s="1" t="s">
        <v>139</v>
      </c>
      <c r="J38">
        <v>795</v>
      </c>
      <c r="K38">
        <v>14.17522729526867</v>
      </c>
      <c r="N38" s="1" t="s">
        <v>139</v>
      </c>
      <c r="O38" s="4">
        <f t="shared" si="0"/>
        <v>0.22256438969764838</v>
      </c>
      <c r="P38">
        <v>14.17522729526867</v>
      </c>
    </row>
    <row r="39" spans="1:16" x14ac:dyDescent="0.2">
      <c r="A39" s="1" t="s">
        <v>140</v>
      </c>
      <c r="B39">
        <v>862</v>
      </c>
      <c r="C39">
        <v>4291</v>
      </c>
      <c r="D39">
        <v>5414</v>
      </c>
      <c r="E39">
        <v>13.94175000190735</v>
      </c>
      <c r="I39" s="1" t="s">
        <v>140</v>
      </c>
      <c r="J39">
        <v>862</v>
      </c>
      <c r="K39">
        <v>13.94175000190735</v>
      </c>
      <c r="N39" s="1" t="s">
        <v>140</v>
      </c>
      <c r="O39" s="4">
        <f t="shared" si="0"/>
        <v>0.15921684521610638</v>
      </c>
      <c r="P39">
        <v>13.94175000190735</v>
      </c>
    </row>
    <row r="40" spans="1:16" x14ac:dyDescent="0.2">
      <c r="A40" s="1" t="s">
        <v>141</v>
      </c>
      <c r="B40">
        <v>1391</v>
      </c>
      <c r="C40">
        <v>4869</v>
      </c>
      <c r="D40">
        <v>6341</v>
      </c>
      <c r="E40">
        <v>16.423181663859971</v>
      </c>
      <c r="I40" s="1" t="s">
        <v>141</v>
      </c>
      <c r="J40">
        <v>1391</v>
      </c>
      <c r="K40">
        <v>16.423181663859971</v>
      </c>
      <c r="N40" s="1" t="s">
        <v>141</v>
      </c>
      <c r="O40" s="4">
        <f t="shared" si="0"/>
        <v>0.21936603059454346</v>
      </c>
      <c r="P40">
        <v>16.423181663859971</v>
      </c>
    </row>
    <row r="41" spans="1:16" x14ac:dyDescent="0.2">
      <c r="A41" s="1" t="s">
        <v>142</v>
      </c>
      <c r="B41">
        <v>1585</v>
      </c>
      <c r="C41">
        <v>4508</v>
      </c>
      <c r="D41">
        <v>6619</v>
      </c>
      <c r="E41">
        <v>20.44157911601819</v>
      </c>
      <c r="I41" s="1" t="s">
        <v>142</v>
      </c>
      <c r="J41">
        <v>1585</v>
      </c>
      <c r="K41">
        <v>20.44157911601819</v>
      </c>
      <c r="N41" s="1" t="s">
        <v>142</v>
      </c>
      <c r="O41" s="4">
        <f t="shared" si="0"/>
        <v>0.23946215440398852</v>
      </c>
      <c r="P41">
        <v>20.44157911601819</v>
      </c>
    </row>
    <row r="42" spans="1:16" x14ac:dyDescent="0.2">
      <c r="A42" s="1" t="s">
        <v>143</v>
      </c>
      <c r="B42">
        <v>1852</v>
      </c>
      <c r="C42">
        <v>4151</v>
      </c>
      <c r="D42">
        <v>5717</v>
      </c>
      <c r="E42">
        <v>17.415000012046409</v>
      </c>
      <c r="I42" s="1" t="s">
        <v>143</v>
      </c>
      <c r="J42">
        <v>1852</v>
      </c>
      <c r="K42">
        <v>17.415000012046409</v>
      </c>
      <c r="N42" s="1" t="s">
        <v>143</v>
      </c>
      <c r="O42" s="4">
        <f t="shared" si="0"/>
        <v>0.32394612559034458</v>
      </c>
      <c r="P42">
        <v>17.415000012046409</v>
      </c>
    </row>
    <row r="43" spans="1:16" x14ac:dyDescent="0.2">
      <c r="A43" s="1" t="s">
        <v>144</v>
      </c>
      <c r="B43">
        <v>1321</v>
      </c>
      <c r="C43">
        <v>4507</v>
      </c>
      <c r="D43">
        <v>6642</v>
      </c>
      <c r="E43">
        <v>17.563912972160011</v>
      </c>
      <c r="I43" s="1" t="s">
        <v>144</v>
      </c>
      <c r="J43">
        <v>1321</v>
      </c>
      <c r="K43">
        <v>17.563912972160011</v>
      </c>
      <c r="N43" s="1" t="s">
        <v>144</v>
      </c>
      <c r="O43" s="4">
        <f t="shared" si="0"/>
        <v>0.19888587774766636</v>
      </c>
      <c r="P43">
        <v>17.563912972160011</v>
      </c>
    </row>
    <row r="44" spans="1:16" x14ac:dyDescent="0.2">
      <c r="A44" s="1" t="s">
        <v>145</v>
      </c>
      <c r="B44">
        <v>578</v>
      </c>
      <c r="C44">
        <v>4147</v>
      </c>
      <c r="D44">
        <v>4494</v>
      </c>
      <c r="E44">
        <v>20.39285741533552</v>
      </c>
      <c r="I44" s="1" t="s">
        <v>145</v>
      </c>
      <c r="J44">
        <v>578</v>
      </c>
      <c r="K44">
        <v>20.39285741533552</v>
      </c>
      <c r="N44" s="1" t="s">
        <v>145</v>
      </c>
      <c r="O44" s="4">
        <f t="shared" si="0"/>
        <v>0.12861593235425012</v>
      </c>
      <c r="P44">
        <v>20.39285741533552</v>
      </c>
    </row>
    <row r="45" spans="1:16" x14ac:dyDescent="0.2">
      <c r="A45" s="1" t="s">
        <v>146</v>
      </c>
      <c r="B45">
        <v>449</v>
      </c>
      <c r="C45">
        <v>3150</v>
      </c>
      <c r="D45">
        <v>3260</v>
      </c>
      <c r="E45">
        <v>25.01800003051758</v>
      </c>
      <c r="I45" s="1" t="s">
        <v>146</v>
      </c>
      <c r="J45">
        <v>449</v>
      </c>
      <c r="K45">
        <v>25.01800003051758</v>
      </c>
      <c r="N45" s="1" t="s">
        <v>146</v>
      </c>
      <c r="O45" s="4">
        <f t="shared" si="0"/>
        <v>0.13773006134969326</v>
      </c>
      <c r="P45">
        <v>25.01800003051758</v>
      </c>
    </row>
    <row r="46" spans="1:16" x14ac:dyDescent="0.2">
      <c r="A46" s="1" t="s">
        <v>147</v>
      </c>
      <c r="B46">
        <v>278</v>
      </c>
      <c r="C46">
        <v>3785</v>
      </c>
      <c r="D46">
        <v>3811</v>
      </c>
      <c r="E46">
        <v>29.168272712013941</v>
      </c>
      <c r="I46" s="1" t="s">
        <v>147</v>
      </c>
      <c r="J46">
        <v>278</v>
      </c>
      <c r="K46">
        <v>29.168272712013941</v>
      </c>
      <c r="N46" s="1" t="s">
        <v>147</v>
      </c>
      <c r="O46" s="4">
        <f t="shared" si="0"/>
        <v>7.2946733140907896E-2</v>
      </c>
      <c r="P46">
        <v>29.168272712013941</v>
      </c>
    </row>
    <row r="47" spans="1:16" x14ac:dyDescent="0.2">
      <c r="A47" s="1" t="s">
        <v>148</v>
      </c>
      <c r="B47">
        <v>568</v>
      </c>
      <c r="C47">
        <v>3479</v>
      </c>
      <c r="D47">
        <v>3841</v>
      </c>
      <c r="E47">
        <v>36.019524165562217</v>
      </c>
      <c r="I47" s="1" t="s">
        <v>148</v>
      </c>
      <c r="J47">
        <v>568</v>
      </c>
      <c r="K47">
        <v>36.019524165562217</v>
      </c>
      <c r="N47" s="1" t="s">
        <v>148</v>
      </c>
      <c r="O47" s="4">
        <f t="shared" si="0"/>
        <v>0.14787815673001822</v>
      </c>
      <c r="P47">
        <v>36.019524165562217</v>
      </c>
    </row>
    <row r="48" spans="1:16" x14ac:dyDescent="0.2">
      <c r="A48" s="1" t="s">
        <v>149</v>
      </c>
      <c r="B48">
        <v>652</v>
      </c>
      <c r="C48">
        <v>3519</v>
      </c>
      <c r="D48">
        <v>4303</v>
      </c>
      <c r="E48">
        <v>44.713590448552907</v>
      </c>
      <c r="I48" s="1" t="s">
        <v>149</v>
      </c>
      <c r="J48">
        <v>652</v>
      </c>
      <c r="K48">
        <v>44.713590448552907</v>
      </c>
      <c r="N48" s="1" t="s">
        <v>149</v>
      </c>
      <c r="O48" s="4">
        <f t="shared" si="0"/>
        <v>0.15152219381826632</v>
      </c>
      <c r="P48">
        <v>44.713590448552907</v>
      </c>
    </row>
    <row r="49" spans="1:16" x14ac:dyDescent="0.2">
      <c r="A49" s="1" t="s">
        <v>150</v>
      </c>
      <c r="B49">
        <v>653</v>
      </c>
      <c r="C49">
        <v>3629</v>
      </c>
      <c r="D49">
        <v>4121</v>
      </c>
      <c r="E49">
        <v>66.839047749837235</v>
      </c>
      <c r="I49" s="1" t="s">
        <v>150</v>
      </c>
      <c r="J49">
        <v>653</v>
      </c>
      <c r="K49">
        <v>66.839047749837235</v>
      </c>
      <c r="N49" s="1" t="s">
        <v>150</v>
      </c>
      <c r="O49" s="4">
        <f t="shared" si="0"/>
        <v>0.15845668527056539</v>
      </c>
      <c r="P49">
        <v>66.839047749837235</v>
      </c>
    </row>
    <row r="50" spans="1:16" x14ac:dyDescent="0.2">
      <c r="A50" s="1" t="s">
        <v>151</v>
      </c>
      <c r="B50">
        <v>1635</v>
      </c>
      <c r="C50">
        <v>3023</v>
      </c>
      <c r="D50">
        <v>4755</v>
      </c>
      <c r="E50">
        <v>91.333141871861045</v>
      </c>
      <c r="I50" s="1" t="s">
        <v>151</v>
      </c>
      <c r="J50">
        <v>1635</v>
      </c>
      <c r="K50">
        <v>91.333141871861045</v>
      </c>
      <c r="N50" s="1" t="s">
        <v>151</v>
      </c>
      <c r="O50" s="4">
        <f t="shared" si="0"/>
        <v>0.34384858044164041</v>
      </c>
      <c r="P50">
        <v>91.333141871861045</v>
      </c>
    </row>
    <row r="51" spans="1:16" x14ac:dyDescent="0.2">
      <c r="A51" s="1" t="s">
        <v>152</v>
      </c>
      <c r="B51">
        <v>2028</v>
      </c>
      <c r="C51">
        <v>3021</v>
      </c>
      <c r="D51">
        <v>5398</v>
      </c>
      <c r="E51">
        <v>82.057619730631515</v>
      </c>
      <c r="I51" s="1" t="s">
        <v>152</v>
      </c>
      <c r="J51">
        <v>2028</v>
      </c>
      <c r="K51">
        <v>82.057619730631515</v>
      </c>
      <c r="N51" s="1" t="s">
        <v>152</v>
      </c>
      <c r="O51" s="4">
        <f t="shared" si="0"/>
        <v>0.37569470174138569</v>
      </c>
      <c r="P51">
        <v>82.057619730631515</v>
      </c>
    </row>
    <row r="52" spans="1:16" x14ac:dyDescent="0.2">
      <c r="A52" s="1" t="s">
        <v>153</v>
      </c>
      <c r="B52">
        <v>2515</v>
      </c>
      <c r="C52">
        <v>3669</v>
      </c>
      <c r="D52">
        <v>6692</v>
      </c>
      <c r="E52">
        <v>114.99272606589579</v>
      </c>
      <c r="I52" s="1" t="s">
        <v>153</v>
      </c>
      <c r="J52">
        <v>2515</v>
      </c>
      <c r="K52">
        <v>114.99272606589579</v>
      </c>
      <c r="N52" s="1" t="s">
        <v>153</v>
      </c>
      <c r="O52" s="4">
        <f t="shared" si="0"/>
        <v>0.37582187686790197</v>
      </c>
      <c r="P52">
        <v>114.99272606589579</v>
      </c>
    </row>
    <row r="53" spans="1:16" x14ac:dyDescent="0.2">
      <c r="A53" s="1" t="s">
        <v>154</v>
      </c>
      <c r="B53">
        <v>2641</v>
      </c>
      <c r="C53">
        <v>4064</v>
      </c>
      <c r="D53">
        <v>7137</v>
      </c>
      <c r="E53">
        <v>85.593600082397458</v>
      </c>
      <c r="I53" s="1" t="s">
        <v>154</v>
      </c>
      <c r="J53">
        <v>2641</v>
      </c>
      <c r="K53">
        <v>85.593600082397458</v>
      </c>
      <c r="N53" s="1" t="s">
        <v>154</v>
      </c>
      <c r="O53" s="4">
        <f t="shared" si="0"/>
        <v>0.3700434356172061</v>
      </c>
      <c r="P53">
        <v>85.593600082397458</v>
      </c>
    </row>
    <row r="54" spans="1:16" x14ac:dyDescent="0.2">
      <c r="A54" s="1" t="s">
        <v>155</v>
      </c>
      <c r="B54">
        <v>2658</v>
      </c>
      <c r="C54">
        <v>3615</v>
      </c>
      <c r="D54">
        <v>6138</v>
      </c>
      <c r="E54">
        <v>82.403052480597239</v>
      </c>
      <c r="I54" s="1" t="s">
        <v>155</v>
      </c>
      <c r="J54">
        <v>2658</v>
      </c>
      <c r="K54">
        <v>82.403052480597239</v>
      </c>
      <c r="N54" s="1" t="s">
        <v>155</v>
      </c>
      <c r="O54" s="4">
        <f t="shared" si="0"/>
        <v>0.43304007820136853</v>
      </c>
      <c r="P54">
        <v>82.403052480597239</v>
      </c>
    </row>
    <row r="55" spans="1:16" x14ac:dyDescent="0.2">
      <c r="A55" s="1" t="s">
        <v>156</v>
      </c>
      <c r="B55">
        <v>1970</v>
      </c>
      <c r="C55">
        <v>4245</v>
      </c>
      <c r="D55">
        <v>6951</v>
      </c>
      <c r="E55">
        <v>131.27382693083391</v>
      </c>
      <c r="I55" s="1" t="s">
        <v>156</v>
      </c>
      <c r="J55">
        <v>1970</v>
      </c>
      <c r="K55">
        <v>131.27382693083391</v>
      </c>
      <c r="N55" s="1" t="s">
        <v>156</v>
      </c>
      <c r="O55" s="4">
        <f t="shared" si="0"/>
        <v>0.28341245863904474</v>
      </c>
      <c r="P55">
        <v>131.27382693083391</v>
      </c>
    </row>
    <row r="56" spans="1:16" x14ac:dyDescent="0.2">
      <c r="A56" s="1" t="s">
        <v>157</v>
      </c>
      <c r="B56">
        <v>614</v>
      </c>
      <c r="C56">
        <v>3454</v>
      </c>
      <c r="D56">
        <v>3698</v>
      </c>
      <c r="E56">
        <v>101.5196506500244</v>
      </c>
      <c r="I56" s="1" t="s">
        <v>157</v>
      </c>
      <c r="J56">
        <v>614</v>
      </c>
      <c r="K56">
        <v>101.5196506500244</v>
      </c>
      <c r="N56" s="1" t="s">
        <v>157</v>
      </c>
      <c r="O56" s="4">
        <f t="shared" si="0"/>
        <v>0.16603569497025419</v>
      </c>
      <c r="P56">
        <v>101.5196506500244</v>
      </c>
    </row>
    <row r="57" spans="1:16" x14ac:dyDescent="0.2">
      <c r="A57" s="1" t="s">
        <v>158</v>
      </c>
      <c r="B57">
        <v>747</v>
      </c>
      <c r="C57">
        <v>2982</v>
      </c>
      <c r="D57">
        <v>3055</v>
      </c>
      <c r="E57">
        <v>94.377048674083895</v>
      </c>
      <c r="I57" s="1" t="s">
        <v>158</v>
      </c>
      <c r="J57">
        <v>747</v>
      </c>
      <c r="K57">
        <v>94.377048674083895</v>
      </c>
      <c r="N57" s="1" t="s">
        <v>158</v>
      </c>
      <c r="O57" s="4">
        <f t="shared" si="0"/>
        <v>0.24451718494271685</v>
      </c>
      <c r="P57">
        <v>94.377048674083895</v>
      </c>
    </row>
    <row r="58" spans="1:16" x14ac:dyDescent="0.2">
      <c r="A58" s="1" t="s">
        <v>159</v>
      </c>
      <c r="B58">
        <v>562</v>
      </c>
      <c r="C58">
        <v>3274</v>
      </c>
      <c r="D58">
        <v>2946</v>
      </c>
      <c r="E58">
        <v>107.7004757835751</v>
      </c>
      <c r="I58" s="1" t="s">
        <v>159</v>
      </c>
      <c r="J58">
        <v>562</v>
      </c>
      <c r="K58">
        <v>107.7004757835751</v>
      </c>
      <c r="N58" s="1" t="s">
        <v>159</v>
      </c>
      <c r="O58" s="4">
        <f t="shared" si="0"/>
        <v>0.19076714188730481</v>
      </c>
      <c r="P58">
        <v>107.7004757835751</v>
      </c>
    </row>
    <row r="59" spans="1:16" x14ac:dyDescent="0.2">
      <c r="A59" s="1" t="s">
        <v>160</v>
      </c>
      <c r="B59">
        <v>383</v>
      </c>
      <c r="C59">
        <v>3029</v>
      </c>
      <c r="D59">
        <v>2767</v>
      </c>
      <c r="E59">
        <v>172.4152992248535</v>
      </c>
      <c r="I59" s="1" t="s">
        <v>160</v>
      </c>
      <c r="J59">
        <v>383</v>
      </c>
      <c r="K59">
        <v>172.4152992248535</v>
      </c>
      <c r="N59" s="1" t="s">
        <v>160</v>
      </c>
      <c r="O59" s="4">
        <f t="shared" si="0"/>
        <v>0.13841705818576075</v>
      </c>
      <c r="P59">
        <v>172.4152992248535</v>
      </c>
    </row>
    <row r="60" spans="1:16" x14ac:dyDescent="0.2">
      <c r="A60" s="1" t="s">
        <v>161</v>
      </c>
      <c r="B60">
        <v>296</v>
      </c>
      <c r="C60">
        <v>3557</v>
      </c>
      <c r="D60">
        <v>3507</v>
      </c>
      <c r="E60">
        <v>235.95530567998469</v>
      </c>
      <c r="I60" s="1" t="s">
        <v>161</v>
      </c>
      <c r="J60">
        <v>296</v>
      </c>
      <c r="K60">
        <v>235.95530567998469</v>
      </c>
      <c r="N60" s="1" t="s">
        <v>161</v>
      </c>
      <c r="O60" s="4">
        <f t="shared" si="0"/>
        <v>8.4402623324779019E-2</v>
      </c>
      <c r="P60">
        <v>235.95530567998469</v>
      </c>
    </row>
    <row r="61" spans="1:16" x14ac:dyDescent="0.2">
      <c r="A61" s="1" t="s">
        <v>162</v>
      </c>
      <c r="B61">
        <v>297</v>
      </c>
      <c r="C61">
        <v>3105</v>
      </c>
      <c r="D61">
        <v>3130</v>
      </c>
      <c r="E61">
        <v>201.47780863444009</v>
      </c>
      <c r="I61" s="1" t="s">
        <v>162</v>
      </c>
      <c r="J61">
        <v>297</v>
      </c>
      <c r="K61">
        <v>201.47780863444009</v>
      </c>
      <c r="N61" s="1" t="s">
        <v>162</v>
      </c>
      <c r="O61" s="4">
        <f t="shared" si="0"/>
        <v>9.4888178913738019E-2</v>
      </c>
      <c r="P61">
        <v>201.47780863444009</v>
      </c>
    </row>
    <row r="62" spans="1:16" x14ac:dyDescent="0.2">
      <c r="A62" s="1" t="s">
        <v>163</v>
      </c>
      <c r="B62">
        <v>857</v>
      </c>
      <c r="C62">
        <v>2381</v>
      </c>
      <c r="D62">
        <v>3269</v>
      </c>
      <c r="E62">
        <v>135.47933342343279</v>
      </c>
      <c r="I62" s="1" t="s">
        <v>163</v>
      </c>
      <c r="J62">
        <v>857</v>
      </c>
      <c r="K62">
        <v>135.47933342343279</v>
      </c>
      <c r="N62" s="1" t="s">
        <v>163</v>
      </c>
      <c r="O62" s="4">
        <f t="shared" si="0"/>
        <v>0.26215968185989597</v>
      </c>
      <c r="P62">
        <v>135.47933342343279</v>
      </c>
    </row>
    <row r="63" spans="1:16" x14ac:dyDescent="0.2">
      <c r="A63" s="1" t="s">
        <v>164</v>
      </c>
      <c r="B63">
        <v>1770</v>
      </c>
      <c r="C63">
        <v>2353</v>
      </c>
      <c r="D63">
        <v>2674</v>
      </c>
      <c r="E63">
        <v>119.3362379528227</v>
      </c>
      <c r="I63" s="1" t="s">
        <v>164</v>
      </c>
      <c r="J63">
        <v>1770</v>
      </c>
      <c r="K63">
        <v>119.3362379528227</v>
      </c>
      <c r="N63" s="1" t="s">
        <v>164</v>
      </c>
      <c r="O63" s="4">
        <f t="shared" si="0"/>
        <v>0.66192969334330587</v>
      </c>
      <c r="P63">
        <v>119.3362379528227</v>
      </c>
    </row>
    <row r="64" spans="1:16" x14ac:dyDescent="0.2">
      <c r="A64" s="1" t="s">
        <v>165</v>
      </c>
      <c r="B64">
        <v>2376</v>
      </c>
      <c r="C64">
        <v>3433</v>
      </c>
      <c r="D64">
        <v>5768</v>
      </c>
      <c r="E64">
        <v>116.1687149774461</v>
      </c>
      <c r="I64" s="1" t="s">
        <v>165</v>
      </c>
      <c r="J64">
        <v>2376</v>
      </c>
      <c r="K64">
        <v>116.1687149774461</v>
      </c>
      <c r="N64" s="1" t="s">
        <v>165</v>
      </c>
      <c r="O64" s="4">
        <f t="shared" si="0"/>
        <v>0.41192787794729541</v>
      </c>
      <c r="P64">
        <v>116.1687149774461</v>
      </c>
    </row>
    <row r="65" spans="1:16" x14ac:dyDescent="0.2">
      <c r="A65" s="1" t="s">
        <v>166</v>
      </c>
      <c r="B65">
        <v>2831</v>
      </c>
      <c r="C65">
        <v>3217</v>
      </c>
      <c r="D65">
        <v>6670</v>
      </c>
      <c r="E65">
        <v>63.684649848937987</v>
      </c>
      <c r="I65" s="1" t="s">
        <v>166</v>
      </c>
      <c r="J65">
        <v>2831</v>
      </c>
      <c r="K65">
        <v>63.684649848937987</v>
      </c>
      <c r="N65" s="1" t="s">
        <v>166</v>
      </c>
      <c r="O65" s="4">
        <f t="shared" si="0"/>
        <v>0.4244377811094453</v>
      </c>
      <c r="P65">
        <v>63.684649848937987</v>
      </c>
    </row>
    <row r="66" spans="1:16" x14ac:dyDescent="0.2">
      <c r="A66" s="1" t="s">
        <v>167</v>
      </c>
      <c r="B66">
        <v>2864</v>
      </c>
      <c r="C66">
        <v>3148</v>
      </c>
      <c r="D66">
        <v>6313</v>
      </c>
      <c r="E66">
        <v>52.793158280222038</v>
      </c>
      <c r="I66" s="1" t="s">
        <v>167</v>
      </c>
      <c r="J66">
        <v>2864</v>
      </c>
      <c r="K66">
        <v>52.793158280222038</v>
      </c>
      <c r="N66" s="1" t="s">
        <v>167</v>
      </c>
      <c r="O66" s="4">
        <f t="shared" si="0"/>
        <v>0.45366703627435451</v>
      </c>
      <c r="P66">
        <v>52.793158280222038</v>
      </c>
    </row>
    <row r="67" spans="1:16" x14ac:dyDescent="0.2">
      <c r="A67" s="1" t="s">
        <v>168</v>
      </c>
      <c r="B67">
        <v>1488</v>
      </c>
      <c r="C67">
        <v>3070</v>
      </c>
      <c r="D67">
        <v>4827</v>
      </c>
      <c r="E67">
        <v>44.025304213814117</v>
      </c>
      <c r="I67" s="1" t="s">
        <v>168</v>
      </c>
      <c r="J67">
        <v>1488</v>
      </c>
      <c r="K67">
        <v>44.025304213814117</v>
      </c>
      <c r="N67" s="1" t="s">
        <v>168</v>
      </c>
      <c r="O67" s="4">
        <f t="shared" ref="O67:O97" si="1">B67/D67</f>
        <v>0.30826600372902424</v>
      </c>
      <c r="P67">
        <v>44.025304213814117</v>
      </c>
    </row>
    <row r="68" spans="1:16" x14ac:dyDescent="0.2">
      <c r="A68" s="1" t="s">
        <v>169</v>
      </c>
      <c r="B68">
        <v>698</v>
      </c>
      <c r="C68">
        <v>3284</v>
      </c>
      <c r="D68">
        <v>3852</v>
      </c>
      <c r="E68">
        <v>42.070315712376647</v>
      </c>
      <c r="I68" s="1" t="s">
        <v>169</v>
      </c>
      <c r="J68">
        <v>698</v>
      </c>
      <c r="K68">
        <v>42.070315712376647</v>
      </c>
      <c r="N68" s="1" t="s">
        <v>169</v>
      </c>
      <c r="O68" s="4">
        <f t="shared" si="1"/>
        <v>0.18120456905503635</v>
      </c>
      <c r="P68">
        <v>42.070315712376647</v>
      </c>
    </row>
    <row r="69" spans="1:16" x14ac:dyDescent="0.2">
      <c r="A69" s="1" t="s">
        <v>170</v>
      </c>
      <c r="B69">
        <v>860</v>
      </c>
      <c r="C69">
        <v>2832</v>
      </c>
      <c r="D69">
        <v>3387</v>
      </c>
      <c r="E69">
        <v>32.051181793212891</v>
      </c>
      <c r="I69" s="1" t="s">
        <v>170</v>
      </c>
      <c r="J69">
        <v>860</v>
      </c>
      <c r="K69">
        <v>32.051181793212891</v>
      </c>
      <c r="N69" s="1" t="s">
        <v>170</v>
      </c>
      <c r="O69" s="4">
        <f t="shared" si="1"/>
        <v>0.25391201653380574</v>
      </c>
      <c r="P69">
        <v>32.051181793212891</v>
      </c>
    </row>
    <row r="70" spans="1:16" x14ac:dyDescent="0.2">
      <c r="A70" s="1" t="s">
        <v>171</v>
      </c>
      <c r="B70">
        <v>462</v>
      </c>
      <c r="C70">
        <v>1870</v>
      </c>
      <c r="D70">
        <v>2120</v>
      </c>
      <c r="E70">
        <v>32.47385715302967</v>
      </c>
      <c r="I70" s="1" t="s">
        <v>171</v>
      </c>
      <c r="J70">
        <v>462</v>
      </c>
      <c r="K70">
        <v>32.47385715302967</v>
      </c>
      <c r="N70" s="1" t="s">
        <v>171</v>
      </c>
      <c r="O70" s="4">
        <f t="shared" si="1"/>
        <v>0.2179245283018868</v>
      </c>
      <c r="P70">
        <v>32.47385715302967</v>
      </c>
    </row>
    <row r="71" spans="1:16" x14ac:dyDescent="0.2">
      <c r="A71" s="1" t="s">
        <v>172</v>
      </c>
      <c r="B71">
        <v>483</v>
      </c>
      <c r="C71">
        <v>2548</v>
      </c>
      <c r="D71">
        <v>2911</v>
      </c>
      <c r="E71">
        <v>29.15274991989136</v>
      </c>
      <c r="I71" s="1" t="s">
        <v>172</v>
      </c>
      <c r="J71">
        <v>483</v>
      </c>
      <c r="K71">
        <v>29.15274991989136</v>
      </c>
      <c r="N71" s="1" t="s">
        <v>172</v>
      </c>
      <c r="O71" s="4">
        <f t="shared" si="1"/>
        <v>0.16592236344898662</v>
      </c>
      <c r="P71">
        <v>29.15274991989136</v>
      </c>
    </row>
    <row r="72" spans="1:16" x14ac:dyDescent="0.2">
      <c r="A72" s="1" t="s">
        <v>173</v>
      </c>
      <c r="B72">
        <v>400</v>
      </c>
      <c r="C72">
        <v>3282</v>
      </c>
      <c r="D72">
        <v>3464</v>
      </c>
      <c r="E72">
        <v>35.000434875488281</v>
      </c>
      <c r="I72" s="1" t="s">
        <v>173</v>
      </c>
      <c r="J72">
        <v>400</v>
      </c>
      <c r="K72">
        <v>35.000434875488281</v>
      </c>
      <c r="N72" s="1" t="s">
        <v>173</v>
      </c>
      <c r="O72" s="4">
        <f t="shared" si="1"/>
        <v>0.11547344110854503</v>
      </c>
      <c r="P72">
        <v>35.000434875488281</v>
      </c>
    </row>
    <row r="73" spans="1:16" x14ac:dyDescent="0.2">
      <c r="A73" s="1" t="s">
        <v>174</v>
      </c>
      <c r="B73">
        <v>501</v>
      </c>
      <c r="C73">
        <v>2795</v>
      </c>
      <c r="D73">
        <v>3016</v>
      </c>
      <c r="E73">
        <v>37.043300437927243</v>
      </c>
      <c r="I73" s="1" t="s">
        <v>174</v>
      </c>
      <c r="J73">
        <v>501</v>
      </c>
      <c r="K73">
        <v>37.043300437927243</v>
      </c>
      <c r="N73" s="1" t="s">
        <v>174</v>
      </c>
      <c r="O73" s="4">
        <f t="shared" si="1"/>
        <v>0.16611405835543766</v>
      </c>
      <c r="P73">
        <v>37.043300437927243</v>
      </c>
    </row>
    <row r="74" spans="1:16" x14ac:dyDescent="0.2">
      <c r="A74" s="1" t="s">
        <v>175</v>
      </c>
      <c r="B74">
        <v>525</v>
      </c>
      <c r="C74">
        <v>2833</v>
      </c>
      <c r="D74">
        <v>3315</v>
      </c>
      <c r="E74">
        <v>47.068136388605289</v>
      </c>
      <c r="I74" s="1" t="s">
        <v>175</v>
      </c>
      <c r="J74">
        <v>525</v>
      </c>
      <c r="K74">
        <v>47.068136388605289</v>
      </c>
      <c r="N74" s="1" t="s">
        <v>175</v>
      </c>
      <c r="O74" s="4">
        <f t="shared" si="1"/>
        <v>0.15837104072398189</v>
      </c>
      <c r="P74">
        <v>47.068136388605289</v>
      </c>
    </row>
    <row r="75" spans="1:16" x14ac:dyDescent="0.2">
      <c r="A75" s="1" t="s">
        <v>176</v>
      </c>
      <c r="B75">
        <v>862</v>
      </c>
      <c r="C75">
        <v>3572</v>
      </c>
      <c r="D75">
        <v>4445</v>
      </c>
      <c r="E75">
        <v>45.735636451027609</v>
      </c>
      <c r="I75" s="1" t="s">
        <v>176</v>
      </c>
      <c r="J75">
        <v>862</v>
      </c>
      <c r="K75">
        <v>45.735636451027609</v>
      </c>
      <c r="N75" s="1" t="s">
        <v>176</v>
      </c>
      <c r="O75" s="4">
        <f t="shared" si="1"/>
        <v>0.19392575928008998</v>
      </c>
      <c r="P75">
        <v>45.735636451027609</v>
      </c>
    </row>
    <row r="76" spans="1:16" x14ac:dyDescent="0.2">
      <c r="A76" s="1" t="s">
        <v>177</v>
      </c>
      <c r="B76">
        <v>642</v>
      </c>
      <c r="C76">
        <v>3768</v>
      </c>
      <c r="D76">
        <v>4321</v>
      </c>
      <c r="E76">
        <v>35.9706995010376</v>
      </c>
      <c r="I76" s="1" t="s">
        <v>177</v>
      </c>
      <c r="J76">
        <v>642</v>
      </c>
      <c r="K76">
        <v>35.9706995010376</v>
      </c>
      <c r="N76" s="1" t="s">
        <v>177</v>
      </c>
      <c r="O76" s="4">
        <f t="shared" si="1"/>
        <v>0.14857671835223327</v>
      </c>
      <c r="P76">
        <v>35.9706995010376</v>
      </c>
    </row>
    <row r="77" spans="1:16" x14ac:dyDescent="0.2">
      <c r="A77" s="1" t="s">
        <v>178</v>
      </c>
      <c r="B77">
        <v>2089</v>
      </c>
      <c r="C77">
        <v>4431</v>
      </c>
      <c r="D77">
        <v>6706</v>
      </c>
      <c r="E77">
        <v>29.907999946957538</v>
      </c>
      <c r="I77" s="1" t="s">
        <v>178</v>
      </c>
      <c r="J77">
        <v>2089</v>
      </c>
      <c r="K77">
        <v>29.907999946957538</v>
      </c>
      <c r="N77" s="1" t="s">
        <v>178</v>
      </c>
      <c r="O77" s="4">
        <f t="shared" si="1"/>
        <v>0.31151207873546077</v>
      </c>
      <c r="P77">
        <v>29.907999946957538</v>
      </c>
    </row>
    <row r="78" spans="1:16" x14ac:dyDescent="0.2">
      <c r="A78" s="1" t="s">
        <v>179</v>
      </c>
      <c r="B78">
        <v>1662</v>
      </c>
      <c r="C78">
        <v>3676</v>
      </c>
      <c r="D78">
        <v>5193</v>
      </c>
      <c r="E78">
        <v>25.866250133514409</v>
      </c>
      <c r="I78" s="1" t="s">
        <v>179</v>
      </c>
      <c r="J78">
        <v>1662</v>
      </c>
      <c r="K78">
        <v>25.866250133514409</v>
      </c>
      <c r="N78" s="1" t="s">
        <v>179</v>
      </c>
      <c r="O78" s="4">
        <f t="shared" si="1"/>
        <v>0.32004621606008088</v>
      </c>
      <c r="P78">
        <v>25.866250133514409</v>
      </c>
    </row>
    <row r="79" spans="1:16" x14ac:dyDescent="0.2">
      <c r="A79" s="1" t="s">
        <v>180</v>
      </c>
      <c r="B79">
        <v>1242</v>
      </c>
      <c r="C79">
        <v>3075</v>
      </c>
      <c r="D79">
        <v>5620</v>
      </c>
      <c r="E79">
        <v>26.852850055694581</v>
      </c>
      <c r="I79" s="1" t="s">
        <v>180</v>
      </c>
      <c r="J79">
        <v>1242</v>
      </c>
      <c r="K79">
        <v>26.852850055694581</v>
      </c>
      <c r="N79" s="1" t="s">
        <v>180</v>
      </c>
      <c r="O79" s="4">
        <f t="shared" si="1"/>
        <v>0.22099644128113879</v>
      </c>
      <c r="P79">
        <v>26.852850055694581</v>
      </c>
    </row>
    <row r="80" spans="1:16" x14ac:dyDescent="0.2">
      <c r="A80" s="1" t="s">
        <v>181</v>
      </c>
      <c r="B80">
        <v>437</v>
      </c>
      <c r="C80">
        <v>1958</v>
      </c>
      <c r="D80">
        <v>2710</v>
      </c>
      <c r="E80">
        <v>28.961809339977449</v>
      </c>
      <c r="I80" s="1" t="s">
        <v>181</v>
      </c>
      <c r="J80">
        <v>437</v>
      </c>
      <c r="K80">
        <v>28.961809339977449</v>
      </c>
      <c r="N80" s="1" t="s">
        <v>181</v>
      </c>
      <c r="O80" s="4">
        <f t="shared" si="1"/>
        <v>0.16125461254612547</v>
      </c>
      <c r="P80">
        <v>28.961809339977449</v>
      </c>
    </row>
    <row r="81" spans="1:16" x14ac:dyDescent="0.2">
      <c r="A81" s="1" t="s">
        <v>182</v>
      </c>
      <c r="B81">
        <v>546</v>
      </c>
      <c r="C81">
        <v>2336</v>
      </c>
      <c r="D81">
        <v>3123</v>
      </c>
      <c r="E81">
        <v>31.812363711270422</v>
      </c>
      <c r="I81" s="1" t="s">
        <v>182</v>
      </c>
      <c r="J81">
        <v>546</v>
      </c>
      <c r="K81">
        <v>31.812363711270422</v>
      </c>
      <c r="N81" s="1" t="s">
        <v>182</v>
      </c>
      <c r="O81" s="4">
        <f t="shared" si="1"/>
        <v>0.17483189241114314</v>
      </c>
      <c r="P81">
        <v>31.812363711270422</v>
      </c>
    </row>
    <row r="82" spans="1:16" x14ac:dyDescent="0.2">
      <c r="A82" s="1" t="s">
        <v>183</v>
      </c>
      <c r="B82">
        <v>364</v>
      </c>
      <c r="C82">
        <v>1951</v>
      </c>
      <c r="D82">
        <v>2518</v>
      </c>
      <c r="E82">
        <v>34.4207370155736</v>
      </c>
      <c r="I82" s="1" t="s">
        <v>183</v>
      </c>
      <c r="J82">
        <v>364</v>
      </c>
      <c r="K82">
        <v>34.4207370155736</v>
      </c>
      <c r="N82" s="1" t="s">
        <v>183</v>
      </c>
      <c r="O82" s="4">
        <f t="shared" si="1"/>
        <v>0.14455917394757745</v>
      </c>
      <c r="P82">
        <v>34.4207370155736</v>
      </c>
    </row>
    <row r="83" spans="1:16" x14ac:dyDescent="0.2">
      <c r="A83" s="1" t="s">
        <v>184</v>
      </c>
      <c r="B83">
        <v>469</v>
      </c>
      <c r="C83">
        <v>3106</v>
      </c>
      <c r="D83">
        <v>3576</v>
      </c>
      <c r="E83">
        <v>32.523045453158289</v>
      </c>
      <c r="I83" s="1" t="s">
        <v>184</v>
      </c>
      <c r="J83">
        <v>469</v>
      </c>
      <c r="K83">
        <v>32.523045453158289</v>
      </c>
      <c r="N83" s="1" t="s">
        <v>184</v>
      </c>
      <c r="O83" s="4">
        <f t="shared" si="1"/>
        <v>0.13115212527964207</v>
      </c>
      <c r="P83">
        <v>32.523045453158289</v>
      </c>
    </row>
    <row r="84" spans="1:16" x14ac:dyDescent="0.2">
      <c r="A84" s="1" t="s">
        <v>185</v>
      </c>
      <c r="B84">
        <v>385</v>
      </c>
      <c r="C84">
        <v>3508</v>
      </c>
      <c r="D84">
        <v>3074</v>
      </c>
      <c r="E84">
        <v>38.347045725042172</v>
      </c>
      <c r="I84" s="1" t="s">
        <v>185</v>
      </c>
      <c r="J84">
        <v>385</v>
      </c>
      <c r="K84">
        <v>38.347045725042172</v>
      </c>
      <c r="N84" s="1" t="s">
        <v>185</v>
      </c>
      <c r="O84" s="4">
        <f t="shared" si="1"/>
        <v>0.12524398178269355</v>
      </c>
      <c r="P84">
        <v>38.347045725042172</v>
      </c>
    </row>
    <row r="85" spans="1:16" x14ac:dyDescent="0.2">
      <c r="A85" s="1" t="s">
        <v>186</v>
      </c>
      <c r="B85">
        <v>385</v>
      </c>
      <c r="C85">
        <v>2993</v>
      </c>
      <c r="D85">
        <v>2921</v>
      </c>
      <c r="E85">
        <v>36.082599830627437</v>
      </c>
      <c r="I85" s="1" t="s">
        <v>186</v>
      </c>
      <c r="J85">
        <v>385</v>
      </c>
      <c r="K85">
        <v>36.082599830627437</v>
      </c>
      <c r="N85" s="1" t="s">
        <v>186</v>
      </c>
      <c r="O85" s="4">
        <f t="shared" si="1"/>
        <v>0.13180417665183156</v>
      </c>
      <c r="P85">
        <v>36.082599830627437</v>
      </c>
    </row>
    <row r="86" spans="1:16" x14ac:dyDescent="0.2">
      <c r="A86" s="1" t="s">
        <v>187</v>
      </c>
      <c r="B86">
        <v>366</v>
      </c>
      <c r="C86">
        <v>3586</v>
      </c>
      <c r="D86">
        <v>3699</v>
      </c>
      <c r="E86">
        <v>40.423434547756031</v>
      </c>
      <c r="I86" s="1" t="s">
        <v>187</v>
      </c>
      <c r="J86">
        <v>366</v>
      </c>
      <c r="K86">
        <v>40.423434547756031</v>
      </c>
      <c r="N86" s="1" t="s">
        <v>187</v>
      </c>
      <c r="O86" s="4">
        <f t="shared" si="1"/>
        <v>9.8945660989456605E-2</v>
      </c>
      <c r="P86">
        <v>40.423434547756031</v>
      </c>
    </row>
    <row r="87" spans="1:16" x14ac:dyDescent="0.2">
      <c r="A87" s="1" t="s">
        <v>188</v>
      </c>
      <c r="B87">
        <v>1254</v>
      </c>
      <c r="C87">
        <v>4553</v>
      </c>
      <c r="D87">
        <v>5992</v>
      </c>
      <c r="E87">
        <v>44.633600425720218</v>
      </c>
      <c r="I87" s="1" t="s">
        <v>188</v>
      </c>
      <c r="J87">
        <v>1254</v>
      </c>
      <c r="K87">
        <v>44.633600425720218</v>
      </c>
      <c r="N87" s="1" t="s">
        <v>188</v>
      </c>
      <c r="O87" s="4">
        <f t="shared" si="1"/>
        <v>0.20927903871829107</v>
      </c>
      <c r="P87">
        <v>44.633600425720218</v>
      </c>
    </row>
    <row r="88" spans="1:16" x14ac:dyDescent="0.2">
      <c r="A88" s="1" t="s">
        <v>189</v>
      </c>
      <c r="B88">
        <v>2939</v>
      </c>
      <c r="C88">
        <v>4425</v>
      </c>
      <c r="D88">
        <v>7652</v>
      </c>
      <c r="E88">
        <v>45.153618585495721</v>
      </c>
      <c r="I88" s="1" t="s">
        <v>189</v>
      </c>
      <c r="J88">
        <v>2939</v>
      </c>
      <c r="K88">
        <v>45.153618585495721</v>
      </c>
      <c r="N88" s="1" t="s">
        <v>189</v>
      </c>
      <c r="O88" s="4">
        <f t="shared" si="1"/>
        <v>0.38408259278619966</v>
      </c>
      <c r="P88">
        <v>45.153618585495721</v>
      </c>
    </row>
    <row r="89" spans="1:16" x14ac:dyDescent="0.2">
      <c r="A89" s="1" t="s">
        <v>190</v>
      </c>
      <c r="B89">
        <v>2656</v>
      </c>
      <c r="C89">
        <v>3763</v>
      </c>
      <c r="D89">
        <v>7326</v>
      </c>
      <c r="E89">
        <v>48.350666591099333</v>
      </c>
      <c r="I89" s="1" t="s">
        <v>190</v>
      </c>
      <c r="J89">
        <v>2656</v>
      </c>
      <c r="K89">
        <v>48.350666591099333</v>
      </c>
      <c r="N89" s="1" t="s">
        <v>190</v>
      </c>
      <c r="O89" s="4">
        <f t="shared" si="1"/>
        <v>0.36254436254436256</v>
      </c>
      <c r="P89">
        <v>48.350666591099333</v>
      </c>
    </row>
    <row r="90" spans="1:16" x14ac:dyDescent="0.2">
      <c r="A90" s="1" t="s">
        <v>191</v>
      </c>
      <c r="B90">
        <v>3063</v>
      </c>
      <c r="C90">
        <v>3370</v>
      </c>
      <c r="D90">
        <v>7931</v>
      </c>
      <c r="E90">
        <v>50.380420885587988</v>
      </c>
      <c r="I90" s="1" t="s">
        <v>191</v>
      </c>
      <c r="J90">
        <v>3063</v>
      </c>
      <c r="K90">
        <v>50.380420885587988</v>
      </c>
      <c r="N90" s="1" t="s">
        <v>191</v>
      </c>
      <c r="O90" s="4">
        <f t="shared" si="1"/>
        <v>0.38620602698272599</v>
      </c>
      <c r="P90">
        <v>50.380420885587988</v>
      </c>
    </row>
    <row r="91" spans="1:16" x14ac:dyDescent="0.2">
      <c r="A91" s="1" t="s">
        <v>192</v>
      </c>
      <c r="B91">
        <v>2601</v>
      </c>
      <c r="C91">
        <v>3397</v>
      </c>
      <c r="D91">
        <v>5658</v>
      </c>
      <c r="E91">
        <v>41.781190781366263</v>
      </c>
      <c r="I91" s="1" t="s">
        <v>192</v>
      </c>
      <c r="J91">
        <v>2601</v>
      </c>
      <c r="K91">
        <v>41.781190781366263</v>
      </c>
      <c r="N91" s="1" t="s">
        <v>192</v>
      </c>
      <c r="O91" s="4">
        <f t="shared" si="1"/>
        <v>0.45970307529162246</v>
      </c>
      <c r="P91">
        <v>41.781190781366263</v>
      </c>
    </row>
    <row r="92" spans="1:16" x14ac:dyDescent="0.2">
      <c r="A92" s="1" t="s">
        <v>193</v>
      </c>
      <c r="B92">
        <v>405</v>
      </c>
      <c r="C92">
        <v>3656</v>
      </c>
      <c r="D92">
        <v>4684</v>
      </c>
      <c r="E92">
        <v>35.213476544334767</v>
      </c>
      <c r="I92" s="1" t="s">
        <v>193</v>
      </c>
      <c r="J92">
        <v>405</v>
      </c>
      <c r="K92">
        <v>35.213476544334767</v>
      </c>
      <c r="N92" s="1" t="s">
        <v>193</v>
      </c>
      <c r="O92" s="4">
        <f t="shared" si="1"/>
        <v>8.6464560204953037E-2</v>
      </c>
      <c r="P92">
        <v>35.213476544334767</v>
      </c>
    </row>
    <row r="93" spans="1:16" x14ac:dyDescent="0.2">
      <c r="A93" s="1" t="s">
        <v>194</v>
      </c>
      <c r="B93">
        <v>378</v>
      </c>
      <c r="C93">
        <v>3161</v>
      </c>
      <c r="D93">
        <v>3241</v>
      </c>
      <c r="E93">
        <v>35.177713848295667</v>
      </c>
      <c r="I93" s="1" t="s">
        <v>194</v>
      </c>
      <c r="J93">
        <v>378</v>
      </c>
      <c r="K93">
        <v>35.177713848295667</v>
      </c>
      <c r="N93" s="1" t="s">
        <v>194</v>
      </c>
      <c r="O93" s="4">
        <f t="shared" si="1"/>
        <v>0.11663066954643629</v>
      </c>
      <c r="P93">
        <v>35.177713848295667</v>
      </c>
    </row>
    <row r="94" spans="1:16" x14ac:dyDescent="0.2">
      <c r="A94" s="1" t="s">
        <v>195</v>
      </c>
      <c r="B94">
        <v>378</v>
      </c>
      <c r="C94">
        <v>2791</v>
      </c>
      <c r="D94">
        <v>2553</v>
      </c>
      <c r="E94">
        <v>36.388399887084958</v>
      </c>
      <c r="I94" s="1" t="s">
        <v>195</v>
      </c>
      <c r="J94">
        <v>378</v>
      </c>
      <c r="K94">
        <v>36.388399887084958</v>
      </c>
      <c r="N94" s="1" t="s">
        <v>195</v>
      </c>
      <c r="O94" s="4">
        <f t="shared" si="1"/>
        <v>0.14806110458284372</v>
      </c>
      <c r="P94">
        <v>36.388399887084958</v>
      </c>
    </row>
    <row r="95" spans="1:16" x14ac:dyDescent="0.2">
      <c r="A95" s="1" t="s">
        <v>196</v>
      </c>
      <c r="B95">
        <v>279</v>
      </c>
      <c r="C95">
        <v>3634</v>
      </c>
      <c r="D95">
        <v>3387</v>
      </c>
      <c r="E95">
        <v>33.937173760455593</v>
      </c>
      <c r="I95" s="1" t="s">
        <v>196</v>
      </c>
      <c r="J95">
        <v>279</v>
      </c>
      <c r="K95">
        <v>33.937173760455593</v>
      </c>
      <c r="N95" s="1" t="s">
        <v>196</v>
      </c>
      <c r="O95" s="4">
        <f t="shared" si="1"/>
        <v>8.2373782108060234E-2</v>
      </c>
      <c r="P95">
        <v>33.937173760455593</v>
      </c>
    </row>
    <row r="96" spans="1:16" x14ac:dyDescent="0.2">
      <c r="A96" s="1" t="s">
        <v>197</v>
      </c>
      <c r="B96">
        <v>299</v>
      </c>
      <c r="C96">
        <v>3723</v>
      </c>
      <c r="D96">
        <v>3481</v>
      </c>
      <c r="E96">
        <v>32.695904413859047</v>
      </c>
      <c r="I96" s="1" t="s">
        <v>197</v>
      </c>
      <c r="J96">
        <v>299</v>
      </c>
      <c r="K96">
        <v>32.695904413859047</v>
      </c>
      <c r="N96" s="1" t="s">
        <v>197</v>
      </c>
      <c r="O96" s="4">
        <f t="shared" si="1"/>
        <v>8.5894857799482902E-2</v>
      </c>
      <c r="P96">
        <v>32.695904413859047</v>
      </c>
    </row>
    <row r="97" spans="1:16" x14ac:dyDescent="0.2">
      <c r="A97" s="1" t="s">
        <v>198</v>
      </c>
      <c r="B97">
        <v>393</v>
      </c>
      <c r="C97">
        <v>3213</v>
      </c>
      <c r="D97">
        <v>3271</v>
      </c>
      <c r="E97">
        <v>32.340333121163503</v>
      </c>
      <c r="I97" s="1" t="s">
        <v>198</v>
      </c>
      <c r="J97">
        <v>393</v>
      </c>
      <c r="K97">
        <v>32.340333121163503</v>
      </c>
      <c r="N97" s="1" t="s">
        <v>198</v>
      </c>
      <c r="O97" s="4">
        <f t="shared" si="1"/>
        <v>0.12014674411494956</v>
      </c>
      <c r="P97">
        <v>32.340333121163503</v>
      </c>
    </row>
    <row r="98" spans="1:16" x14ac:dyDescent="0.2">
      <c r="E98">
        <v>31.92299967226775</v>
      </c>
      <c r="K98">
        <v>31.92299967226775</v>
      </c>
      <c r="P98">
        <v>31.92299967226775</v>
      </c>
    </row>
    <row r="99" spans="1:16" x14ac:dyDescent="0.2">
      <c r="E99">
        <v>31.176874876022339</v>
      </c>
      <c r="K99">
        <v>31.176874876022339</v>
      </c>
      <c r="P99">
        <v>31.176874876022339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12CB-E1FA-7744-BECB-D8F127551BA0}">
  <dimension ref="A1:K72"/>
  <sheetViews>
    <sheetView tabSelected="1" topLeftCell="A5" zoomScale="170" zoomScaleNormal="170" workbookViewId="0">
      <selection activeCell="H25" sqref="H25"/>
    </sheetView>
  </sheetViews>
  <sheetFormatPr baseColWidth="10" defaultRowHeight="15" x14ac:dyDescent="0.2"/>
  <sheetData>
    <row r="1" spans="1:3" x14ac:dyDescent="0.2">
      <c r="A1" t="s">
        <v>203</v>
      </c>
      <c r="B1" s="1" t="s">
        <v>199</v>
      </c>
      <c r="C1" s="3" t="s">
        <v>202</v>
      </c>
    </row>
    <row r="2" spans="1:3" x14ac:dyDescent="0.2">
      <c r="A2" s="1" t="s">
        <v>103</v>
      </c>
      <c r="B2">
        <v>496</v>
      </c>
      <c r="C2">
        <v>18.110714231218608</v>
      </c>
    </row>
    <row r="3" spans="1:3" x14ac:dyDescent="0.2">
      <c r="A3" s="1" t="s">
        <v>104</v>
      </c>
      <c r="B3">
        <v>1405</v>
      </c>
      <c r="C3">
        <v>19.524047669910249</v>
      </c>
    </row>
    <row r="4" spans="1:3" x14ac:dyDescent="0.2">
      <c r="A4" s="1" t="s">
        <v>105</v>
      </c>
      <c r="B4">
        <v>1977</v>
      </c>
      <c r="C4">
        <v>20.55075016021728</v>
      </c>
    </row>
    <row r="5" spans="1:3" x14ac:dyDescent="0.2">
      <c r="A5" s="1" t="s">
        <v>106</v>
      </c>
      <c r="B5">
        <v>1960</v>
      </c>
      <c r="C5">
        <v>18.588333584013441</v>
      </c>
    </row>
    <row r="6" spans="1:3" x14ac:dyDescent="0.2">
      <c r="A6" s="1" t="s">
        <v>107</v>
      </c>
      <c r="B6">
        <v>1660</v>
      </c>
      <c r="C6">
        <v>18.4734212975753</v>
      </c>
    </row>
    <row r="7" spans="1:3" x14ac:dyDescent="0.2">
      <c r="A7" s="1" t="s">
        <v>108</v>
      </c>
      <c r="B7">
        <v>947</v>
      </c>
      <c r="C7">
        <v>18.510000047229589</v>
      </c>
    </row>
    <row r="8" spans="1:3" x14ac:dyDescent="0.2">
      <c r="A8" s="1" t="s">
        <v>109</v>
      </c>
      <c r="B8">
        <v>609</v>
      </c>
      <c r="C8">
        <v>19.239999771118161</v>
      </c>
    </row>
    <row r="9" spans="1:3" x14ac:dyDescent="0.2">
      <c r="A9" s="1" t="s">
        <v>110</v>
      </c>
      <c r="B9">
        <v>555</v>
      </c>
      <c r="C9">
        <v>21.562272765419699</v>
      </c>
    </row>
    <row r="10" spans="1:3" x14ac:dyDescent="0.2">
      <c r="A10" s="1" t="s">
        <v>111</v>
      </c>
      <c r="B10">
        <v>512</v>
      </c>
      <c r="C10">
        <v>21.747619083949498</v>
      </c>
    </row>
    <row r="11" spans="1:3" x14ac:dyDescent="0.2">
      <c r="A11" s="1" t="s">
        <v>112</v>
      </c>
      <c r="B11">
        <v>456</v>
      </c>
      <c r="C11">
        <v>22.195714133126391</v>
      </c>
    </row>
    <row r="12" spans="1:3" x14ac:dyDescent="0.2">
      <c r="A12" s="1" t="s">
        <v>113</v>
      </c>
      <c r="B12">
        <v>447</v>
      </c>
      <c r="C12">
        <v>23.893043600994609</v>
      </c>
    </row>
    <row r="13" spans="1:3" x14ac:dyDescent="0.2">
      <c r="A13" s="1" t="s">
        <v>114</v>
      </c>
      <c r="B13">
        <v>321</v>
      </c>
      <c r="C13">
        <v>27.951315930015159</v>
      </c>
    </row>
    <row r="14" spans="1:3" x14ac:dyDescent="0.2">
      <c r="A14" s="1" t="s">
        <v>115</v>
      </c>
      <c r="B14">
        <v>701</v>
      </c>
      <c r="C14">
        <v>26.11326068380605</v>
      </c>
    </row>
    <row r="15" spans="1:3" x14ac:dyDescent="0.2">
      <c r="A15" s="1" t="s">
        <v>116</v>
      </c>
      <c r="B15">
        <v>714</v>
      </c>
      <c r="C15">
        <v>24.8261904943557</v>
      </c>
    </row>
    <row r="16" spans="1:3" x14ac:dyDescent="0.2">
      <c r="A16" s="1" t="s">
        <v>117</v>
      </c>
      <c r="B16">
        <v>2100</v>
      </c>
      <c r="C16">
        <v>23.90500008432489</v>
      </c>
    </row>
    <row r="17" spans="1:11" x14ac:dyDescent="0.2">
      <c r="A17" s="1" t="s">
        <v>118</v>
      </c>
      <c r="B17">
        <v>2341</v>
      </c>
      <c r="C17">
        <v>21.692857015700572</v>
      </c>
    </row>
    <row r="18" spans="1:11" x14ac:dyDescent="0.2">
      <c r="A18" s="1" t="s">
        <v>119</v>
      </c>
      <c r="B18">
        <v>1694</v>
      </c>
      <c r="C18">
        <v>18.085263101678141</v>
      </c>
      <c r="K18" s="1" t="s">
        <v>149</v>
      </c>
    </row>
    <row r="19" spans="1:11" x14ac:dyDescent="0.2">
      <c r="A19" s="1" t="s">
        <v>120</v>
      </c>
      <c r="B19">
        <v>1292</v>
      </c>
      <c r="C19">
        <v>15.62833331880115</v>
      </c>
      <c r="K19" s="1" t="s">
        <v>168</v>
      </c>
    </row>
    <row r="20" spans="1:11" x14ac:dyDescent="0.2">
      <c r="A20" s="1" t="s">
        <v>121</v>
      </c>
      <c r="B20">
        <v>688</v>
      </c>
      <c r="C20">
        <v>14.94047614506313</v>
      </c>
    </row>
    <row r="21" spans="1:11" x14ac:dyDescent="0.2">
      <c r="A21" s="1" t="s">
        <v>122</v>
      </c>
      <c r="B21">
        <v>473</v>
      </c>
      <c r="C21">
        <v>13.29159086400812</v>
      </c>
    </row>
    <row r="22" spans="1:11" x14ac:dyDescent="0.2">
      <c r="A22" s="1" t="s">
        <v>123</v>
      </c>
      <c r="B22">
        <v>648</v>
      </c>
      <c r="C22">
        <v>10.842249965667721</v>
      </c>
    </row>
    <row r="23" spans="1:11" x14ac:dyDescent="0.2">
      <c r="A23" s="1" t="s">
        <v>124</v>
      </c>
      <c r="B23">
        <v>573</v>
      </c>
      <c r="C23">
        <v>11.03227272900668</v>
      </c>
    </row>
    <row r="24" spans="1:11" x14ac:dyDescent="0.2">
      <c r="A24" s="1" t="s">
        <v>125</v>
      </c>
      <c r="B24">
        <v>802</v>
      </c>
      <c r="C24">
        <v>11.275454477830371</v>
      </c>
      <c r="H24">
        <f>500/12</f>
        <v>41.666666666666664</v>
      </c>
    </row>
    <row r="25" spans="1:11" x14ac:dyDescent="0.2">
      <c r="A25" s="1" t="s">
        <v>126</v>
      </c>
      <c r="B25">
        <v>570</v>
      </c>
      <c r="C25">
        <v>13.0949999332428</v>
      </c>
    </row>
    <row r="26" spans="1:11" x14ac:dyDescent="0.2">
      <c r="A26" s="1" t="s">
        <v>127</v>
      </c>
      <c r="B26">
        <v>776</v>
      </c>
      <c r="C26">
        <v>15.611739241558571</v>
      </c>
    </row>
    <row r="27" spans="1:11" x14ac:dyDescent="0.2">
      <c r="A27" s="1" t="s">
        <v>128</v>
      </c>
      <c r="B27">
        <v>1087</v>
      </c>
      <c r="C27">
        <v>15.909500026702879</v>
      </c>
    </row>
    <row r="28" spans="1:11" x14ac:dyDescent="0.2">
      <c r="A28" s="1" t="s">
        <v>129</v>
      </c>
      <c r="B28">
        <v>1752</v>
      </c>
      <c r="C28">
        <v>14.187619118463431</v>
      </c>
    </row>
    <row r="29" spans="1:11" x14ac:dyDescent="0.2">
      <c r="A29" s="1" t="s">
        <v>130</v>
      </c>
      <c r="B29">
        <v>2130</v>
      </c>
      <c r="C29">
        <v>11.193095207214361</v>
      </c>
    </row>
    <row r="30" spans="1:11" x14ac:dyDescent="0.2">
      <c r="A30" s="1" t="s">
        <v>131</v>
      </c>
      <c r="B30">
        <v>2522</v>
      </c>
      <c r="C30">
        <v>9.083684168363872</v>
      </c>
    </row>
    <row r="31" spans="1:11" x14ac:dyDescent="0.2">
      <c r="A31" s="1" t="s">
        <v>132</v>
      </c>
      <c r="B31">
        <v>2069</v>
      </c>
      <c r="C31">
        <v>8.3850000121376738</v>
      </c>
    </row>
    <row r="32" spans="1:11" x14ac:dyDescent="0.2">
      <c r="A32" s="1" t="s">
        <v>133</v>
      </c>
      <c r="B32">
        <v>1247</v>
      </c>
      <c r="C32">
        <v>6.6571428435189386</v>
      </c>
    </row>
    <row r="33" spans="1:3" x14ac:dyDescent="0.2">
      <c r="A33" s="1" t="s">
        <v>134</v>
      </c>
      <c r="B33">
        <v>1446</v>
      </c>
      <c r="C33">
        <v>4.9372499704360964</v>
      </c>
    </row>
    <row r="34" spans="1:3" x14ac:dyDescent="0.2">
      <c r="A34" s="1" t="s">
        <v>135</v>
      </c>
      <c r="B34">
        <v>917</v>
      </c>
      <c r="C34">
        <v>5.3118181445381856</v>
      </c>
    </row>
    <row r="35" spans="1:3" x14ac:dyDescent="0.2">
      <c r="A35" s="1" t="s">
        <v>136</v>
      </c>
      <c r="B35">
        <v>508</v>
      </c>
      <c r="C35">
        <v>5.332045446742665</v>
      </c>
    </row>
    <row r="36" spans="1:3" x14ac:dyDescent="0.2">
      <c r="A36" s="1" t="s">
        <v>137</v>
      </c>
      <c r="B36">
        <v>592</v>
      </c>
      <c r="C36">
        <v>8.2552380561828613</v>
      </c>
    </row>
    <row r="37" spans="1:3" x14ac:dyDescent="0.2">
      <c r="A37" s="1" t="s">
        <v>138</v>
      </c>
      <c r="B37">
        <v>610</v>
      </c>
      <c r="C37">
        <v>11.44357145400274</v>
      </c>
    </row>
    <row r="38" spans="1:3" x14ac:dyDescent="0.2">
      <c r="A38" s="1" t="s">
        <v>139</v>
      </c>
      <c r="B38">
        <v>795</v>
      </c>
      <c r="C38">
        <v>14.17522729526867</v>
      </c>
    </row>
    <row r="39" spans="1:3" x14ac:dyDescent="0.2">
      <c r="A39" s="1" t="s">
        <v>140</v>
      </c>
      <c r="B39">
        <v>862</v>
      </c>
      <c r="C39">
        <v>13.94175000190735</v>
      </c>
    </row>
    <row r="40" spans="1:3" x14ac:dyDescent="0.2">
      <c r="A40" s="1" t="s">
        <v>141</v>
      </c>
      <c r="B40">
        <v>1391</v>
      </c>
      <c r="C40">
        <v>16.423181663859971</v>
      </c>
    </row>
    <row r="41" spans="1:3" x14ac:dyDescent="0.2">
      <c r="A41" s="1" t="s">
        <v>142</v>
      </c>
      <c r="B41">
        <v>1585</v>
      </c>
      <c r="C41">
        <v>20.44157911601819</v>
      </c>
    </row>
    <row r="42" spans="1:3" x14ac:dyDescent="0.2">
      <c r="A42" s="1" t="s">
        <v>143</v>
      </c>
      <c r="B42">
        <v>1852</v>
      </c>
      <c r="C42">
        <v>17.415000012046409</v>
      </c>
    </row>
    <row r="43" spans="1:3" x14ac:dyDescent="0.2">
      <c r="A43" s="1" t="s">
        <v>144</v>
      </c>
      <c r="B43">
        <v>1321</v>
      </c>
      <c r="C43">
        <v>17.563912972160011</v>
      </c>
    </row>
    <row r="44" spans="1:3" x14ac:dyDescent="0.2">
      <c r="A44" s="1" t="s">
        <v>145</v>
      </c>
      <c r="B44">
        <v>578</v>
      </c>
      <c r="C44">
        <v>20.39285741533552</v>
      </c>
    </row>
    <row r="45" spans="1:3" x14ac:dyDescent="0.2">
      <c r="A45" s="1" t="s">
        <v>146</v>
      </c>
      <c r="B45">
        <v>449</v>
      </c>
      <c r="C45">
        <v>25.01800003051758</v>
      </c>
    </row>
    <row r="46" spans="1:3" x14ac:dyDescent="0.2">
      <c r="A46" s="1" t="s">
        <v>147</v>
      </c>
      <c r="B46">
        <v>278</v>
      </c>
      <c r="C46">
        <v>29.168272712013941</v>
      </c>
    </row>
    <row r="47" spans="1:3" x14ac:dyDescent="0.2">
      <c r="A47" s="1" t="s">
        <v>148</v>
      </c>
      <c r="B47">
        <v>568</v>
      </c>
      <c r="C47">
        <v>36.019524165562217</v>
      </c>
    </row>
    <row r="48" spans="1:3" x14ac:dyDescent="0.2">
      <c r="A48" s="1" t="s">
        <v>169</v>
      </c>
      <c r="B48">
        <v>698</v>
      </c>
      <c r="C48">
        <v>42.070315712376647</v>
      </c>
    </row>
    <row r="49" spans="1:3" x14ac:dyDescent="0.2">
      <c r="A49" s="1" t="s">
        <v>170</v>
      </c>
      <c r="B49">
        <v>860</v>
      </c>
      <c r="C49">
        <v>32.051181793212891</v>
      </c>
    </row>
    <row r="50" spans="1:3" x14ac:dyDescent="0.2">
      <c r="A50" s="1" t="s">
        <v>171</v>
      </c>
      <c r="B50">
        <v>462</v>
      </c>
      <c r="C50">
        <v>32.47385715302967</v>
      </c>
    </row>
    <row r="51" spans="1:3" x14ac:dyDescent="0.2">
      <c r="A51" s="1" t="s">
        <v>172</v>
      </c>
      <c r="B51">
        <v>483</v>
      </c>
      <c r="C51">
        <v>29.15274991989136</v>
      </c>
    </row>
    <row r="52" spans="1:3" x14ac:dyDescent="0.2">
      <c r="A52" s="1" t="s">
        <v>173</v>
      </c>
      <c r="B52">
        <v>400</v>
      </c>
      <c r="C52">
        <v>35.000434875488281</v>
      </c>
    </row>
    <row r="53" spans="1:3" x14ac:dyDescent="0.2">
      <c r="A53" s="1" t="s">
        <v>174</v>
      </c>
      <c r="B53">
        <v>501</v>
      </c>
      <c r="C53">
        <v>37.043300437927243</v>
      </c>
    </row>
    <row r="54" spans="1:3" x14ac:dyDescent="0.2">
      <c r="A54" s="1" t="s">
        <v>177</v>
      </c>
      <c r="B54">
        <v>642</v>
      </c>
      <c r="C54">
        <v>35.9706995010376</v>
      </c>
    </row>
    <row r="55" spans="1:3" x14ac:dyDescent="0.2">
      <c r="A55" s="1" t="s">
        <v>178</v>
      </c>
      <c r="B55">
        <v>2089</v>
      </c>
      <c r="C55">
        <v>29.907999946957538</v>
      </c>
    </row>
    <row r="56" spans="1:3" x14ac:dyDescent="0.2">
      <c r="A56" s="1" t="s">
        <v>179</v>
      </c>
      <c r="B56">
        <v>1662</v>
      </c>
      <c r="C56">
        <v>25.866250133514409</v>
      </c>
    </row>
    <row r="57" spans="1:3" x14ac:dyDescent="0.2">
      <c r="A57" s="1" t="s">
        <v>180</v>
      </c>
      <c r="B57">
        <v>1242</v>
      </c>
      <c r="C57">
        <v>26.852850055694581</v>
      </c>
    </row>
    <row r="58" spans="1:3" x14ac:dyDescent="0.2">
      <c r="A58" s="1" t="s">
        <v>181</v>
      </c>
      <c r="B58">
        <v>437</v>
      </c>
      <c r="C58">
        <v>28.961809339977449</v>
      </c>
    </row>
    <row r="59" spans="1:3" x14ac:dyDescent="0.2">
      <c r="A59" s="1" t="s">
        <v>182</v>
      </c>
      <c r="B59">
        <v>546</v>
      </c>
      <c r="C59">
        <v>31.812363711270422</v>
      </c>
    </row>
    <row r="60" spans="1:3" x14ac:dyDescent="0.2">
      <c r="A60" s="1" t="s">
        <v>183</v>
      </c>
      <c r="B60">
        <v>364</v>
      </c>
      <c r="C60">
        <v>34.4207370155736</v>
      </c>
    </row>
    <row r="61" spans="1:3" x14ac:dyDescent="0.2">
      <c r="A61" s="1" t="s">
        <v>184</v>
      </c>
      <c r="B61">
        <v>469</v>
      </c>
      <c r="C61">
        <v>32.523045453158289</v>
      </c>
    </row>
    <row r="62" spans="1:3" x14ac:dyDescent="0.2">
      <c r="A62" s="1" t="s">
        <v>185</v>
      </c>
      <c r="B62">
        <v>385</v>
      </c>
      <c r="C62">
        <v>38.347045725042172</v>
      </c>
    </row>
    <row r="63" spans="1:3" x14ac:dyDescent="0.2">
      <c r="A63" s="1" t="s">
        <v>186</v>
      </c>
      <c r="B63">
        <v>385</v>
      </c>
      <c r="C63">
        <v>36.082599830627437</v>
      </c>
    </row>
    <row r="64" spans="1:3" x14ac:dyDescent="0.2">
      <c r="A64" s="1" t="s">
        <v>187</v>
      </c>
      <c r="B64">
        <v>366</v>
      </c>
      <c r="C64">
        <v>40.423434547756031</v>
      </c>
    </row>
    <row r="65" spans="1:3" x14ac:dyDescent="0.2">
      <c r="A65" s="1" t="s">
        <v>193</v>
      </c>
      <c r="B65">
        <v>405</v>
      </c>
      <c r="C65">
        <v>35.213476544334767</v>
      </c>
    </row>
    <row r="66" spans="1:3" x14ac:dyDescent="0.2">
      <c r="A66" s="1" t="s">
        <v>194</v>
      </c>
      <c r="B66">
        <v>378</v>
      </c>
      <c r="C66">
        <v>35.177713848295667</v>
      </c>
    </row>
    <row r="67" spans="1:3" x14ac:dyDescent="0.2">
      <c r="A67" s="1" t="s">
        <v>195</v>
      </c>
      <c r="B67">
        <v>378</v>
      </c>
      <c r="C67">
        <v>36.388399887084958</v>
      </c>
    </row>
    <row r="68" spans="1:3" x14ac:dyDescent="0.2">
      <c r="A68" s="1" t="s">
        <v>196</v>
      </c>
      <c r="B68">
        <v>279</v>
      </c>
      <c r="C68">
        <v>33.937173760455593</v>
      </c>
    </row>
    <row r="69" spans="1:3" x14ac:dyDescent="0.2">
      <c r="A69" s="1" t="s">
        <v>197</v>
      </c>
      <c r="B69">
        <v>299</v>
      </c>
      <c r="C69">
        <v>32.695904413859047</v>
      </c>
    </row>
    <row r="70" spans="1:3" x14ac:dyDescent="0.2">
      <c r="A70" s="1" t="s">
        <v>198</v>
      </c>
      <c r="B70">
        <v>393</v>
      </c>
      <c r="C70">
        <v>32.340333121163503</v>
      </c>
    </row>
    <row r="71" spans="1:3" x14ac:dyDescent="0.2">
      <c r="C71">
        <v>31.92299967226775</v>
      </c>
    </row>
    <row r="72" spans="1:3" x14ac:dyDescent="0.2">
      <c r="C72">
        <v>31.176874876022339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72F8-765B-3F4B-B2B7-DEE0B5358151}">
  <dimension ref="A1:C79"/>
  <sheetViews>
    <sheetView topLeftCell="A34" zoomScale="253" zoomScaleNormal="253" workbookViewId="0">
      <selection activeCell="A48" sqref="A48:A49"/>
    </sheetView>
  </sheetViews>
  <sheetFormatPr baseColWidth="10" defaultRowHeight="15" x14ac:dyDescent="0.2"/>
  <sheetData>
    <row r="1" spans="1:3" x14ac:dyDescent="0.2">
      <c r="B1" s="1" t="s">
        <v>199</v>
      </c>
      <c r="C1" s="3" t="s">
        <v>202</v>
      </c>
    </row>
    <row r="2" spans="1:3" x14ac:dyDescent="0.2">
      <c r="A2" s="1" t="s">
        <v>103</v>
      </c>
      <c r="B2" s="4">
        <v>0.12991094814038764</v>
      </c>
      <c r="C2">
        <v>18.110714231218608</v>
      </c>
    </row>
    <row r="3" spans="1:3" x14ac:dyDescent="0.2">
      <c r="A3" s="1" t="s">
        <v>104</v>
      </c>
      <c r="B3" s="4">
        <v>0.23781313473256602</v>
      </c>
      <c r="C3">
        <v>19.524047669910249</v>
      </c>
    </row>
    <row r="4" spans="1:3" x14ac:dyDescent="0.2">
      <c r="A4" s="1" t="s">
        <v>105</v>
      </c>
      <c r="B4" s="4">
        <v>0.3512169124178362</v>
      </c>
      <c r="C4">
        <v>20.55075016021728</v>
      </c>
    </row>
    <row r="5" spans="1:3" x14ac:dyDescent="0.2">
      <c r="A5" s="1" t="s">
        <v>106</v>
      </c>
      <c r="B5" s="4">
        <v>0.3015848592091091</v>
      </c>
      <c r="C5">
        <v>18.588333584013441</v>
      </c>
    </row>
    <row r="6" spans="1:3" x14ac:dyDescent="0.2">
      <c r="A6" s="1" t="s">
        <v>107</v>
      </c>
      <c r="B6" s="4">
        <v>0.31279442246090072</v>
      </c>
      <c r="C6">
        <v>18.4734212975753</v>
      </c>
    </row>
    <row r="7" spans="1:3" x14ac:dyDescent="0.2">
      <c r="A7" s="1" t="s">
        <v>108</v>
      </c>
      <c r="B7" s="4">
        <v>0.20658813263525305</v>
      </c>
      <c r="C7">
        <v>18.510000047229589</v>
      </c>
    </row>
    <row r="8" spans="1:3" x14ac:dyDescent="0.2">
      <c r="A8" s="1" t="s">
        <v>109</v>
      </c>
      <c r="B8" s="4">
        <v>0.17360319270239452</v>
      </c>
      <c r="C8">
        <v>19.239999771118161</v>
      </c>
    </row>
    <row r="9" spans="1:3" x14ac:dyDescent="0.2">
      <c r="A9" s="1" t="s">
        <v>110</v>
      </c>
      <c r="B9" s="4">
        <v>0.17087438423645321</v>
      </c>
      <c r="C9">
        <v>21.562272765419699</v>
      </c>
    </row>
    <row r="10" spans="1:3" x14ac:dyDescent="0.2">
      <c r="A10" s="1" t="s">
        <v>111</v>
      </c>
      <c r="B10" s="4">
        <v>0.20923579893747446</v>
      </c>
      <c r="C10">
        <v>21.747619083949498</v>
      </c>
    </row>
    <row r="11" spans="1:3" x14ac:dyDescent="0.2">
      <c r="A11" s="1" t="s">
        <v>112</v>
      </c>
      <c r="B11" s="4">
        <v>0.1245221190606226</v>
      </c>
      <c r="C11">
        <v>22.195714133126391</v>
      </c>
    </row>
    <row r="12" spans="1:3" x14ac:dyDescent="0.2">
      <c r="A12" s="1" t="s">
        <v>113</v>
      </c>
      <c r="B12" s="4">
        <v>0.1516796742449949</v>
      </c>
      <c r="C12">
        <v>23.893043600994609</v>
      </c>
    </row>
    <row r="13" spans="1:3" x14ac:dyDescent="0.2">
      <c r="A13" s="1" t="s">
        <v>114</v>
      </c>
      <c r="B13" s="4">
        <v>9.8135126872516049E-2</v>
      </c>
      <c r="C13">
        <v>27.951315930015159</v>
      </c>
    </row>
    <row r="14" spans="1:3" x14ac:dyDescent="0.2">
      <c r="A14" s="1" t="s">
        <v>115</v>
      </c>
      <c r="B14" s="4">
        <v>0.19064454718520532</v>
      </c>
      <c r="C14">
        <v>26.11326068380605</v>
      </c>
    </row>
    <row r="15" spans="1:3" x14ac:dyDescent="0.2">
      <c r="A15" s="1" t="s">
        <v>116</v>
      </c>
      <c r="B15" s="4">
        <v>0.16967680608365018</v>
      </c>
      <c r="C15">
        <v>24.8261904943557</v>
      </c>
    </row>
    <row r="16" spans="1:3" x14ac:dyDescent="0.2">
      <c r="A16" s="1" t="s">
        <v>117</v>
      </c>
      <c r="B16" s="4">
        <v>0.33958602846054331</v>
      </c>
      <c r="C16">
        <v>23.90500008432489</v>
      </c>
    </row>
    <row r="17" spans="1:3" x14ac:dyDescent="0.2">
      <c r="A17" s="1" t="s">
        <v>118</v>
      </c>
      <c r="B17" s="4">
        <v>0.37831286360698124</v>
      </c>
      <c r="C17">
        <v>21.692857015700572</v>
      </c>
    </row>
    <row r="18" spans="1:3" x14ac:dyDescent="0.2">
      <c r="A18" s="1" t="s">
        <v>119</v>
      </c>
      <c r="B18" s="4">
        <v>0.34899052327976926</v>
      </c>
      <c r="C18">
        <v>18.085263101678141</v>
      </c>
    </row>
    <row r="19" spans="1:3" x14ac:dyDescent="0.2">
      <c r="A19" s="1" t="s">
        <v>120</v>
      </c>
      <c r="B19" s="4">
        <v>0.26749482401656316</v>
      </c>
      <c r="C19">
        <v>15.62833331880115</v>
      </c>
    </row>
    <row r="20" spans="1:3" x14ac:dyDescent="0.2">
      <c r="A20" s="1" t="s">
        <v>121</v>
      </c>
      <c r="B20" s="4">
        <v>0.18544474393530996</v>
      </c>
      <c r="C20">
        <v>14.94047614506313</v>
      </c>
    </row>
    <row r="21" spans="1:3" x14ac:dyDescent="0.2">
      <c r="A21" s="1" t="s">
        <v>122</v>
      </c>
      <c r="B21" s="4">
        <v>0.18600078647267007</v>
      </c>
      <c r="C21">
        <v>13.29159086400812</v>
      </c>
    </row>
    <row r="22" spans="1:3" x14ac:dyDescent="0.2">
      <c r="A22" s="1" t="s">
        <v>123</v>
      </c>
      <c r="B22" s="4">
        <v>0.30125523012552302</v>
      </c>
      <c r="C22">
        <v>10.842249965667721</v>
      </c>
    </row>
    <row r="23" spans="1:3" x14ac:dyDescent="0.2">
      <c r="A23" s="1" t="s">
        <v>124</v>
      </c>
      <c r="B23" s="4">
        <v>0.19106368789596531</v>
      </c>
      <c r="C23">
        <v>11.03227272900668</v>
      </c>
    </row>
    <row r="24" spans="1:3" x14ac:dyDescent="0.2">
      <c r="A24" s="1" t="s">
        <v>125</v>
      </c>
      <c r="B24" s="4">
        <v>0.30704441041347624</v>
      </c>
      <c r="C24">
        <v>11.275454477830371</v>
      </c>
    </row>
    <row r="25" spans="1:3" x14ac:dyDescent="0.2">
      <c r="A25" s="1" t="s">
        <v>126</v>
      </c>
      <c r="B25" s="4">
        <v>0.22058823529411764</v>
      </c>
      <c r="C25">
        <v>13.0949999332428</v>
      </c>
    </row>
    <row r="26" spans="1:3" x14ac:dyDescent="0.2">
      <c r="A26" s="1" t="s">
        <v>127</v>
      </c>
      <c r="B26" s="4">
        <v>0.26777087646652864</v>
      </c>
      <c r="C26">
        <v>15.611739241558571</v>
      </c>
    </row>
    <row r="27" spans="1:3" x14ac:dyDescent="0.2">
      <c r="A27" s="1" t="s">
        <v>128</v>
      </c>
      <c r="B27" s="4">
        <v>0.27743746809596731</v>
      </c>
      <c r="C27">
        <v>15.909500026702879</v>
      </c>
    </row>
    <row r="28" spans="1:3" x14ac:dyDescent="0.2">
      <c r="A28" s="1" t="s">
        <v>129</v>
      </c>
      <c r="B28" s="4">
        <v>0.30693763139453401</v>
      </c>
      <c r="C28">
        <v>14.187619118463431</v>
      </c>
    </row>
    <row r="29" spans="1:3" x14ac:dyDescent="0.2">
      <c r="A29" s="1" t="s">
        <v>130</v>
      </c>
      <c r="B29" s="4">
        <v>0.31383527331663474</v>
      </c>
      <c r="C29">
        <v>11.193095207214361</v>
      </c>
    </row>
    <row r="30" spans="1:3" x14ac:dyDescent="0.2">
      <c r="A30" s="1" t="s">
        <v>131</v>
      </c>
      <c r="B30" s="4">
        <v>0.44987513378523009</v>
      </c>
      <c r="C30">
        <v>9.083684168363872</v>
      </c>
    </row>
    <row r="31" spans="1:3" x14ac:dyDescent="0.2">
      <c r="A31" s="1" t="s">
        <v>132</v>
      </c>
      <c r="B31" s="4">
        <v>0.48499765588373184</v>
      </c>
      <c r="C31">
        <v>8.3850000121376738</v>
      </c>
    </row>
    <row r="32" spans="1:3" x14ac:dyDescent="0.2">
      <c r="A32" s="1" t="s">
        <v>133</v>
      </c>
      <c r="B32" s="4">
        <v>0.44016943169784678</v>
      </c>
      <c r="C32">
        <v>6.6571428435189386</v>
      </c>
    </row>
    <row r="33" spans="1:3" x14ac:dyDescent="0.2">
      <c r="A33" s="1" t="s">
        <v>134</v>
      </c>
      <c r="B33" s="4">
        <v>0.73512963904422979</v>
      </c>
      <c r="C33">
        <v>4.9372499704360964</v>
      </c>
    </row>
    <row r="34" spans="1:3" x14ac:dyDescent="0.2">
      <c r="A34" s="1" t="s">
        <v>135</v>
      </c>
      <c r="B34" s="4">
        <v>0.36709367493995199</v>
      </c>
      <c r="C34">
        <v>5.3118181445381856</v>
      </c>
    </row>
    <row r="35" spans="1:3" x14ac:dyDescent="0.2">
      <c r="A35" s="1" t="s">
        <v>136</v>
      </c>
      <c r="B35" s="4">
        <v>0.181169757489301</v>
      </c>
      <c r="C35">
        <v>5.332045446742665</v>
      </c>
    </row>
    <row r="36" spans="1:3" x14ac:dyDescent="0.2">
      <c r="A36" s="1" t="s">
        <v>137</v>
      </c>
      <c r="B36" s="4">
        <v>0.20896576067772679</v>
      </c>
      <c r="C36">
        <v>8.2552380561828613</v>
      </c>
    </row>
    <row r="37" spans="1:3" x14ac:dyDescent="0.2">
      <c r="A37" s="1" t="s">
        <v>138</v>
      </c>
      <c r="B37" s="4">
        <v>0.18423437028088191</v>
      </c>
      <c r="C37">
        <v>11.44357145400274</v>
      </c>
    </row>
    <row r="38" spans="1:3" x14ac:dyDescent="0.2">
      <c r="A38" s="1" t="s">
        <v>139</v>
      </c>
      <c r="B38" s="4">
        <v>0.22256438969764838</v>
      </c>
      <c r="C38">
        <v>14.17522729526867</v>
      </c>
    </row>
    <row r="39" spans="1:3" x14ac:dyDescent="0.2">
      <c r="A39" s="1" t="s">
        <v>140</v>
      </c>
      <c r="B39" s="4">
        <v>0.15921684521610638</v>
      </c>
      <c r="C39">
        <v>13.94175000190735</v>
      </c>
    </row>
    <row r="40" spans="1:3" x14ac:dyDescent="0.2">
      <c r="A40" s="1" t="s">
        <v>141</v>
      </c>
      <c r="B40" s="4">
        <v>0.21936603059454346</v>
      </c>
      <c r="C40">
        <v>16.423181663859971</v>
      </c>
    </row>
    <row r="41" spans="1:3" x14ac:dyDescent="0.2">
      <c r="A41" s="1" t="s">
        <v>142</v>
      </c>
      <c r="B41" s="4">
        <v>0.23946215440398852</v>
      </c>
      <c r="C41">
        <v>20.44157911601819</v>
      </c>
    </row>
    <row r="42" spans="1:3" x14ac:dyDescent="0.2">
      <c r="A42" s="1" t="s">
        <v>143</v>
      </c>
      <c r="B42" s="4">
        <v>0.32394612559034458</v>
      </c>
      <c r="C42">
        <v>17.415000012046409</v>
      </c>
    </row>
    <row r="43" spans="1:3" x14ac:dyDescent="0.2">
      <c r="A43" s="1" t="s">
        <v>144</v>
      </c>
      <c r="B43" s="4">
        <v>0.19888587774766636</v>
      </c>
      <c r="C43">
        <v>17.563912972160011</v>
      </c>
    </row>
    <row r="44" spans="1:3" x14ac:dyDescent="0.2">
      <c r="A44" s="1" t="s">
        <v>145</v>
      </c>
      <c r="B44" s="4">
        <v>0.12861593235425012</v>
      </c>
      <c r="C44">
        <v>20.39285741533552</v>
      </c>
    </row>
    <row r="45" spans="1:3" x14ac:dyDescent="0.2">
      <c r="A45" s="1" t="s">
        <v>146</v>
      </c>
      <c r="B45" s="4">
        <v>0.13773006134969326</v>
      </c>
      <c r="C45">
        <v>25.01800003051758</v>
      </c>
    </row>
    <row r="46" spans="1:3" x14ac:dyDescent="0.2">
      <c r="A46" s="1" t="s">
        <v>147</v>
      </c>
      <c r="B46" s="4">
        <v>7.2946733140907896E-2</v>
      </c>
      <c r="C46">
        <v>29.168272712013941</v>
      </c>
    </row>
    <row r="47" spans="1:3" x14ac:dyDescent="0.2">
      <c r="A47" s="1" t="s">
        <v>148</v>
      </c>
      <c r="B47" s="4">
        <v>0.14787815673001822</v>
      </c>
      <c r="C47">
        <v>36.019524165562217</v>
      </c>
    </row>
    <row r="48" spans="1:3" x14ac:dyDescent="0.2">
      <c r="A48" s="1" t="s">
        <v>149</v>
      </c>
      <c r="B48" s="4">
        <v>0.15152219381826632</v>
      </c>
      <c r="C48">
        <v>44.713590448552907</v>
      </c>
    </row>
    <row r="49" spans="1:3" x14ac:dyDescent="0.2">
      <c r="A49" s="1" t="s">
        <v>168</v>
      </c>
      <c r="B49" s="4">
        <v>0.30826600372902424</v>
      </c>
      <c r="C49">
        <v>44.025304213814117</v>
      </c>
    </row>
    <row r="50" spans="1:3" x14ac:dyDescent="0.2">
      <c r="A50" s="1" t="s">
        <v>169</v>
      </c>
      <c r="B50" s="4">
        <v>0.18120456905503635</v>
      </c>
      <c r="C50">
        <v>42.070315712376647</v>
      </c>
    </row>
    <row r="51" spans="1:3" x14ac:dyDescent="0.2">
      <c r="A51" s="1" t="s">
        <v>170</v>
      </c>
      <c r="B51" s="4">
        <v>0.25391201653380574</v>
      </c>
      <c r="C51">
        <v>32.051181793212891</v>
      </c>
    </row>
    <row r="52" spans="1:3" x14ac:dyDescent="0.2">
      <c r="A52" s="1" t="s">
        <v>171</v>
      </c>
      <c r="B52" s="4">
        <v>0.2179245283018868</v>
      </c>
      <c r="C52">
        <v>32.47385715302967</v>
      </c>
    </row>
    <row r="53" spans="1:3" x14ac:dyDescent="0.2">
      <c r="A53" s="1" t="s">
        <v>172</v>
      </c>
      <c r="B53" s="4">
        <v>0.16592236344898662</v>
      </c>
      <c r="C53">
        <v>29.15274991989136</v>
      </c>
    </row>
    <row r="54" spans="1:3" x14ac:dyDescent="0.2">
      <c r="A54" s="1" t="s">
        <v>173</v>
      </c>
      <c r="B54" s="4">
        <v>0.11547344110854503</v>
      </c>
      <c r="C54">
        <v>35.000434875488281</v>
      </c>
    </row>
    <row r="55" spans="1:3" x14ac:dyDescent="0.2">
      <c r="A55" s="1" t="s">
        <v>174</v>
      </c>
      <c r="B55" s="4">
        <v>0.16611405835543766</v>
      </c>
      <c r="C55">
        <v>37.043300437927243</v>
      </c>
    </row>
    <row r="56" spans="1:3" x14ac:dyDescent="0.2">
      <c r="A56" s="1" t="s">
        <v>175</v>
      </c>
      <c r="B56" s="4">
        <v>0.15837104072398189</v>
      </c>
      <c r="C56">
        <v>47.068136388605289</v>
      </c>
    </row>
    <row r="57" spans="1:3" x14ac:dyDescent="0.2">
      <c r="A57" s="1" t="s">
        <v>176</v>
      </c>
      <c r="B57" s="4">
        <v>0.19392575928008998</v>
      </c>
      <c r="C57">
        <v>45.735636451027609</v>
      </c>
    </row>
    <row r="58" spans="1:3" x14ac:dyDescent="0.2">
      <c r="A58" s="1" t="s">
        <v>177</v>
      </c>
      <c r="B58" s="4">
        <v>0.14857671835223327</v>
      </c>
      <c r="C58">
        <v>35.9706995010376</v>
      </c>
    </row>
    <row r="59" spans="1:3" x14ac:dyDescent="0.2">
      <c r="A59" s="1" t="s">
        <v>178</v>
      </c>
      <c r="B59" s="4">
        <v>0.31151207873546077</v>
      </c>
      <c r="C59">
        <v>29.907999946957538</v>
      </c>
    </row>
    <row r="60" spans="1:3" x14ac:dyDescent="0.2">
      <c r="A60" s="1" t="s">
        <v>179</v>
      </c>
      <c r="B60" s="4">
        <v>0.32004621606008088</v>
      </c>
      <c r="C60">
        <v>25.866250133514409</v>
      </c>
    </row>
    <row r="61" spans="1:3" x14ac:dyDescent="0.2">
      <c r="A61" s="1" t="s">
        <v>180</v>
      </c>
      <c r="B61" s="4">
        <v>0.22099644128113879</v>
      </c>
      <c r="C61">
        <v>26.852850055694581</v>
      </c>
    </row>
    <row r="62" spans="1:3" x14ac:dyDescent="0.2">
      <c r="A62" s="1" t="s">
        <v>181</v>
      </c>
      <c r="B62" s="4">
        <v>0.16125461254612547</v>
      </c>
      <c r="C62">
        <v>28.961809339977449</v>
      </c>
    </row>
    <row r="63" spans="1:3" x14ac:dyDescent="0.2">
      <c r="A63" s="1" t="s">
        <v>182</v>
      </c>
      <c r="B63" s="4">
        <v>0.17483189241114314</v>
      </c>
      <c r="C63">
        <v>31.812363711270422</v>
      </c>
    </row>
    <row r="64" spans="1:3" x14ac:dyDescent="0.2">
      <c r="A64" s="1" t="s">
        <v>183</v>
      </c>
      <c r="B64" s="4">
        <v>0.14455917394757745</v>
      </c>
      <c r="C64">
        <v>34.4207370155736</v>
      </c>
    </row>
    <row r="65" spans="1:3" x14ac:dyDescent="0.2">
      <c r="A65" s="1" t="s">
        <v>184</v>
      </c>
      <c r="B65" s="4">
        <v>0.13115212527964207</v>
      </c>
      <c r="C65">
        <v>32.523045453158289</v>
      </c>
    </row>
    <row r="66" spans="1:3" x14ac:dyDescent="0.2">
      <c r="A66" s="1" t="s">
        <v>185</v>
      </c>
      <c r="B66" s="4">
        <v>0.12524398178269355</v>
      </c>
      <c r="C66">
        <v>38.347045725042172</v>
      </c>
    </row>
    <row r="67" spans="1:3" x14ac:dyDescent="0.2">
      <c r="A67" s="1" t="s">
        <v>186</v>
      </c>
      <c r="B67" s="4">
        <v>0.13180417665183156</v>
      </c>
      <c r="C67">
        <v>36.082599830627437</v>
      </c>
    </row>
    <row r="68" spans="1:3" x14ac:dyDescent="0.2">
      <c r="A68" s="1" t="s">
        <v>187</v>
      </c>
      <c r="B68" s="4">
        <v>9.8945660989456605E-2</v>
      </c>
      <c r="C68">
        <v>40.423434547756031</v>
      </c>
    </row>
    <row r="69" spans="1:3" x14ac:dyDescent="0.2">
      <c r="A69" s="1" t="s">
        <v>188</v>
      </c>
      <c r="B69" s="4">
        <v>0.20927903871829107</v>
      </c>
      <c r="C69">
        <v>44.633600425720218</v>
      </c>
    </row>
    <row r="70" spans="1:3" x14ac:dyDescent="0.2">
      <c r="A70" s="1" t="s">
        <v>189</v>
      </c>
      <c r="B70" s="4">
        <v>0.38408259278619966</v>
      </c>
      <c r="C70">
        <v>45.153618585495721</v>
      </c>
    </row>
    <row r="71" spans="1:3" x14ac:dyDescent="0.2">
      <c r="A71" s="1" t="s">
        <v>190</v>
      </c>
      <c r="B71" s="4">
        <v>0.36254436254436256</v>
      </c>
      <c r="C71">
        <v>48.350666591099333</v>
      </c>
    </row>
    <row r="72" spans="1:3" x14ac:dyDescent="0.2">
      <c r="A72" s="1" t="s">
        <v>191</v>
      </c>
      <c r="B72" s="4">
        <v>0.38620602698272599</v>
      </c>
      <c r="C72">
        <v>50.380420885587988</v>
      </c>
    </row>
    <row r="73" spans="1:3" x14ac:dyDescent="0.2">
      <c r="A73" s="1" t="s">
        <v>192</v>
      </c>
      <c r="B73" s="4">
        <v>0.45970307529162246</v>
      </c>
      <c r="C73">
        <v>41.781190781366263</v>
      </c>
    </row>
    <row r="74" spans="1:3" x14ac:dyDescent="0.2">
      <c r="A74" s="1" t="s">
        <v>193</v>
      </c>
      <c r="B74" s="4">
        <v>8.6464560204953037E-2</v>
      </c>
      <c r="C74">
        <v>35.213476544334767</v>
      </c>
    </row>
    <row r="75" spans="1:3" x14ac:dyDescent="0.2">
      <c r="A75" s="1" t="s">
        <v>194</v>
      </c>
      <c r="B75" s="4">
        <v>0.11663066954643629</v>
      </c>
      <c r="C75">
        <v>35.177713848295667</v>
      </c>
    </row>
    <row r="76" spans="1:3" x14ac:dyDescent="0.2">
      <c r="A76" s="1" t="s">
        <v>195</v>
      </c>
      <c r="B76" s="4">
        <v>0.14806110458284372</v>
      </c>
      <c r="C76">
        <v>36.388399887084958</v>
      </c>
    </row>
    <row r="77" spans="1:3" x14ac:dyDescent="0.2">
      <c r="A77" s="1" t="s">
        <v>196</v>
      </c>
      <c r="B77" s="4">
        <v>8.2373782108060234E-2</v>
      </c>
      <c r="C77">
        <v>33.937173760455593</v>
      </c>
    </row>
    <row r="78" spans="1:3" x14ac:dyDescent="0.2">
      <c r="A78" s="1" t="s">
        <v>197</v>
      </c>
      <c r="B78" s="4">
        <v>8.5894857799482902E-2</v>
      </c>
      <c r="C78">
        <v>32.695904413859047</v>
      </c>
    </row>
    <row r="79" spans="1:3" x14ac:dyDescent="0.2">
      <c r="A79" s="1" t="s">
        <v>198</v>
      </c>
      <c r="B79" s="4">
        <v>0.12014674411494956</v>
      </c>
      <c r="C79">
        <v>32.340333121163503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kesilmis-miktar</vt:lpstr>
      <vt:lpstr>kesilmis-oran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Sanli</cp:lastModifiedBy>
  <dcterms:created xsi:type="dcterms:W3CDTF">2025-11-29T17:56:22Z</dcterms:created>
  <dcterms:modified xsi:type="dcterms:W3CDTF">2025-11-29T19:21:29Z</dcterms:modified>
</cp:coreProperties>
</file>