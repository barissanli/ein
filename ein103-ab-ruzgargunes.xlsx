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/Documents/calismalar/enerjiistatistiknotları/"/>
    </mc:Choice>
  </mc:AlternateContent>
  <xr:revisionPtr revIDLastSave="0" documentId="8_{111D5F7A-27BD-4344-A95C-E2D4B2F5C362}" xr6:coauthVersionLast="47" xr6:coauthVersionMax="47" xr10:uidLastSave="{00000000-0000-0000-0000-000000000000}"/>
  <bookViews>
    <workbookView xWindow="12920" yWindow="5780" windowWidth="28040" windowHeight="17180" activeTab="1" xr2:uid="{A8B96EE2-9C5E-1647-A4BD-836462E5F02D}"/>
  </bookViews>
  <sheets>
    <sheet name="Sheet1" sheetId="2" r:id="rId1"/>
    <sheet name="Sheet2" sheetId="3" r:id="rId2"/>
    <sheet name="ember_monthly_electricity-gener" sheetId="1" r:id="rId3"/>
  </sheet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6" i="3" l="1"/>
  <c r="T19" i="3"/>
  <c r="T20" i="3" s="1"/>
  <c r="T5" i="3"/>
  <c r="T6" i="3" s="1"/>
  <c r="T7" i="3" s="1"/>
  <c r="T8" i="3" s="1"/>
  <c r="T9" i="3" s="1"/>
  <c r="T10" i="3" s="1"/>
  <c r="T11" i="3" s="1"/>
  <c r="T12" i="3" s="1"/>
  <c r="T13" i="3" s="1"/>
  <c r="N5" i="3"/>
  <c r="O5" i="3"/>
  <c r="P5" i="3" s="1"/>
  <c r="Q5" i="3"/>
  <c r="N6" i="3"/>
  <c r="O6" i="3"/>
  <c r="P6" i="3"/>
  <c r="Q6" i="3"/>
  <c r="N7" i="3"/>
  <c r="O7" i="3"/>
  <c r="P7" i="3" s="1"/>
  <c r="Q7" i="3"/>
  <c r="N8" i="3"/>
  <c r="O8" i="3"/>
  <c r="P8" i="3" s="1"/>
  <c r="Q8" i="3"/>
  <c r="N9" i="3"/>
  <c r="O9" i="3"/>
  <c r="P9" i="3" s="1"/>
  <c r="Q9" i="3"/>
  <c r="N10" i="3"/>
  <c r="O10" i="3"/>
  <c r="P10" i="3"/>
  <c r="Q10" i="3"/>
  <c r="N11" i="3"/>
  <c r="O11" i="3"/>
  <c r="P11" i="3" s="1"/>
  <c r="Q11" i="3"/>
  <c r="N12" i="3"/>
  <c r="O12" i="3"/>
  <c r="P12" i="3"/>
  <c r="Q12" i="3"/>
  <c r="N13" i="3"/>
  <c r="O13" i="3"/>
  <c r="P13" i="3" s="1"/>
  <c r="Q13" i="3"/>
  <c r="N14" i="3"/>
  <c r="O14" i="3"/>
  <c r="P14" i="3"/>
  <c r="Q14" i="3"/>
  <c r="N15" i="3"/>
  <c r="O15" i="3"/>
  <c r="P15" i="3" s="1"/>
  <c r="Q15" i="3"/>
  <c r="N16" i="3"/>
  <c r="O16" i="3"/>
  <c r="P16" i="3" s="1"/>
  <c r="Q16" i="3"/>
  <c r="N17" i="3"/>
  <c r="O17" i="3"/>
  <c r="P17" i="3" s="1"/>
  <c r="Q17" i="3"/>
  <c r="N18" i="3"/>
  <c r="O18" i="3"/>
  <c r="P18" i="3"/>
  <c r="Q18" i="3"/>
  <c r="N19" i="3"/>
  <c r="O19" i="3"/>
  <c r="P19" i="3" s="1"/>
  <c r="Q19" i="3"/>
  <c r="N20" i="3"/>
  <c r="O20" i="3"/>
  <c r="P20" i="3"/>
  <c r="Q20" i="3"/>
  <c r="N21" i="3"/>
  <c r="O21" i="3"/>
  <c r="P21" i="3" s="1"/>
  <c r="Q21" i="3"/>
  <c r="N22" i="3"/>
  <c r="O22" i="3"/>
  <c r="P22" i="3" s="1"/>
  <c r="Q22" i="3"/>
  <c r="N23" i="3"/>
  <c r="O23" i="3"/>
  <c r="P23" i="3" s="1"/>
  <c r="Q23" i="3"/>
  <c r="N24" i="3"/>
  <c r="O24" i="3"/>
  <c r="P24" i="3" s="1"/>
  <c r="Q24" i="3"/>
  <c r="N25" i="3"/>
  <c r="O25" i="3"/>
  <c r="P25" i="3" s="1"/>
  <c r="Q25" i="3"/>
  <c r="N26" i="3"/>
  <c r="O26" i="3"/>
  <c r="P26" i="3"/>
  <c r="Q26" i="3"/>
  <c r="N27" i="3"/>
  <c r="O27" i="3"/>
  <c r="P27" i="3" s="1"/>
  <c r="Q27" i="3"/>
  <c r="N28" i="3"/>
  <c r="O28" i="3"/>
  <c r="P28" i="3"/>
  <c r="Q28" i="3"/>
  <c r="N29" i="3"/>
  <c r="O29" i="3"/>
  <c r="P29" i="3" s="1"/>
  <c r="Q29" i="3"/>
  <c r="N30" i="3"/>
  <c r="O30" i="3"/>
  <c r="P30" i="3"/>
  <c r="Q30" i="3"/>
  <c r="N31" i="3"/>
  <c r="O31" i="3"/>
  <c r="P31" i="3" s="1"/>
  <c r="Q31" i="3"/>
  <c r="N32" i="3"/>
  <c r="O32" i="3"/>
  <c r="P32" i="3" s="1"/>
  <c r="Q32" i="3"/>
  <c r="N33" i="3"/>
  <c r="O33" i="3"/>
  <c r="P33" i="3" s="1"/>
  <c r="Q33" i="3"/>
  <c r="N34" i="3"/>
  <c r="O34" i="3"/>
  <c r="P34" i="3"/>
  <c r="Q34" i="3"/>
  <c r="N35" i="3"/>
  <c r="O35" i="3"/>
  <c r="P35" i="3" s="1"/>
  <c r="Q35" i="3"/>
  <c r="N36" i="3"/>
  <c r="O36" i="3"/>
  <c r="P36" i="3" s="1"/>
  <c r="Q36" i="3"/>
  <c r="N37" i="3"/>
  <c r="O37" i="3"/>
  <c r="P37" i="3" s="1"/>
  <c r="Q37" i="3"/>
  <c r="N38" i="3"/>
  <c r="O38" i="3"/>
  <c r="P38" i="3" s="1"/>
  <c r="Q38" i="3"/>
  <c r="N39" i="3"/>
  <c r="O39" i="3"/>
  <c r="P39" i="3" s="1"/>
  <c r="Q39" i="3"/>
  <c r="N40" i="3"/>
  <c r="O40" i="3"/>
  <c r="P40" i="3" s="1"/>
  <c r="Q40" i="3"/>
  <c r="N41" i="3"/>
  <c r="O41" i="3"/>
  <c r="P41" i="3" s="1"/>
  <c r="Q41" i="3"/>
  <c r="N42" i="3"/>
  <c r="O42" i="3"/>
  <c r="P42" i="3"/>
  <c r="Q42" i="3"/>
  <c r="N43" i="3"/>
  <c r="O43" i="3"/>
  <c r="P43" i="3" s="1"/>
  <c r="Q43" i="3"/>
  <c r="N44" i="3"/>
  <c r="O44" i="3"/>
  <c r="P44" i="3"/>
  <c r="Q44" i="3"/>
  <c r="N45" i="3"/>
  <c r="O45" i="3"/>
  <c r="P45" i="3" s="1"/>
  <c r="Q45" i="3"/>
  <c r="N46" i="3"/>
  <c r="O46" i="3"/>
  <c r="P46" i="3"/>
  <c r="Q46" i="3"/>
  <c r="N47" i="3"/>
  <c r="O47" i="3"/>
  <c r="P47" i="3" s="1"/>
  <c r="Q47" i="3"/>
  <c r="N48" i="3"/>
  <c r="O48" i="3"/>
  <c r="P48" i="3" s="1"/>
  <c r="Q48" i="3"/>
  <c r="N49" i="3"/>
  <c r="O49" i="3"/>
  <c r="P49" i="3" s="1"/>
  <c r="Q49" i="3"/>
  <c r="N50" i="3"/>
  <c r="O50" i="3"/>
  <c r="P50" i="3"/>
  <c r="Q50" i="3"/>
  <c r="N51" i="3"/>
  <c r="O51" i="3"/>
  <c r="P51" i="3" s="1"/>
  <c r="Q51" i="3"/>
  <c r="N52" i="3"/>
  <c r="O52" i="3"/>
  <c r="P52" i="3" s="1"/>
  <c r="Q52" i="3"/>
  <c r="N53" i="3"/>
  <c r="O53" i="3"/>
  <c r="P53" i="3" s="1"/>
  <c r="Q53" i="3"/>
  <c r="N54" i="3"/>
  <c r="O54" i="3"/>
  <c r="P54" i="3" s="1"/>
  <c r="Q54" i="3"/>
  <c r="N55" i="3"/>
  <c r="O55" i="3"/>
  <c r="P55" i="3" s="1"/>
  <c r="Q55" i="3"/>
  <c r="N56" i="3"/>
  <c r="O56" i="3"/>
  <c r="P56" i="3" s="1"/>
  <c r="Q56" i="3"/>
  <c r="N57" i="3"/>
  <c r="O57" i="3"/>
  <c r="P57" i="3" s="1"/>
  <c r="Q57" i="3"/>
  <c r="N58" i="3"/>
  <c r="O58" i="3"/>
  <c r="P58" i="3"/>
  <c r="Q58" i="3"/>
  <c r="N59" i="3"/>
  <c r="O59" i="3"/>
  <c r="P59" i="3" s="1"/>
  <c r="Q59" i="3"/>
  <c r="N60" i="3"/>
  <c r="O60" i="3"/>
  <c r="P60" i="3"/>
  <c r="Q60" i="3"/>
  <c r="N61" i="3"/>
  <c r="O61" i="3"/>
  <c r="P61" i="3" s="1"/>
  <c r="Q61" i="3"/>
  <c r="N62" i="3"/>
  <c r="O62" i="3"/>
  <c r="P62" i="3"/>
  <c r="Q62" i="3"/>
  <c r="N63" i="3"/>
  <c r="O63" i="3"/>
  <c r="P63" i="3" s="1"/>
  <c r="Q63" i="3"/>
  <c r="N64" i="3"/>
  <c r="O64" i="3"/>
  <c r="P64" i="3" s="1"/>
  <c r="Q64" i="3"/>
  <c r="N65" i="3"/>
  <c r="O65" i="3"/>
  <c r="P65" i="3" s="1"/>
  <c r="Q65" i="3"/>
  <c r="N66" i="3"/>
  <c r="O66" i="3"/>
  <c r="P66" i="3"/>
  <c r="Q66" i="3"/>
  <c r="N67" i="3"/>
  <c r="O67" i="3"/>
  <c r="P67" i="3" s="1"/>
  <c r="Q67" i="3"/>
  <c r="N68" i="3"/>
  <c r="O68" i="3"/>
  <c r="P68" i="3" s="1"/>
  <c r="Q68" i="3"/>
  <c r="N69" i="3"/>
  <c r="O69" i="3"/>
  <c r="P69" i="3" s="1"/>
  <c r="Q69" i="3"/>
  <c r="N70" i="3"/>
  <c r="O70" i="3"/>
  <c r="P70" i="3"/>
  <c r="Q70" i="3"/>
  <c r="N71" i="3"/>
  <c r="O71" i="3"/>
  <c r="P71" i="3" s="1"/>
  <c r="Q71" i="3"/>
  <c r="N72" i="3"/>
  <c r="O72" i="3"/>
  <c r="P72" i="3" s="1"/>
  <c r="Q72" i="3"/>
  <c r="N73" i="3"/>
  <c r="O73" i="3"/>
  <c r="P73" i="3" s="1"/>
  <c r="Q73" i="3"/>
  <c r="N74" i="3"/>
  <c r="O74" i="3"/>
  <c r="P74" i="3"/>
  <c r="Q74" i="3"/>
  <c r="N75" i="3"/>
  <c r="O75" i="3"/>
  <c r="P75" i="3" s="1"/>
  <c r="Q75" i="3"/>
  <c r="N76" i="3"/>
  <c r="O76" i="3"/>
  <c r="P76" i="3"/>
  <c r="Q76" i="3"/>
  <c r="N77" i="3"/>
  <c r="O77" i="3"/>
  <c r="P77" i="3" s="1"/>
  <c r="Q77" i="3"/>
  <c r="N78" i="3"/>
  <c r="O78" i="3"/>
  <c r="P78" i="3"/>
  <c r="Q78" i="3"/>
  <c r="N79" i="3"/>
  <c r="O79" i="3"/>
  <c r="P79" i="3" s="1"/>
  <c r="Q79" i="3"/>
  <c r="N80" i="3"/>
  <c r="O80" i="3"/>
  <c r="P80" i="3" s="1"/>
  <c r="Q80" i="3"/>
  <c r="N81" i="3"/>
  <c r="O81" i="3"/>
  <c r="P81" i="3" s="1"/>
  <c r="Q81" i="3"/>
  <c r="N82" i="3"/>
  <c r="O82" i="3"/>
  <c r="P82" i="3"/>
  <c r="Q82" i="3"/>
  <c r="N83" i="3"/>
  <c r="O83" i="3"/>
  <c r="P83" i="3" s="1"/>
  <c r="Q83" i="3"/>
  <c r="N84" i="3"/>
  <c r="O84" i="3"/>
  <c r="P84" i="3"/>
  <c r="Q84" i="3"/>
  <c r="N85" i="3"/>
  <c r="O85" i="3"/>
  <c r="P85" i="3" s="1"/>
  <c r="Q85" i="3"/>
  <c r="N86" i="3"/>
  <c r="O86" i="3"/>
  <c r="P86" i="3"/>
  <c r="Q86" i="3"/>
  <c r="N87" i="3"/>
  <c r="O87" i="3"/>
  <c r="P87" i="3" s="1"/>
  <c r="Q87" i="3"/>
  <c r="N88" i="3"/>
  <c r="O88" i="3"/>
  <c r="P88" i="3" s="1"/>
  <c r="Q88" i="3"/>
  <c r="N89" i="3"/>
  <c r="O89" i="3"/>
  <c r="P89" i="3" s="1"/>
  <c r="Q89" i="3"/>
  <c r="N90" i="3"/>
  <c r="O90" i="3"/>
  <c r="P90" i="3"/>
  <c r="Q90" i="3"/>
  <c r="N91" i="3"/>
  <c r="O91" i="3"/>
  <c r="P91" i="3" s="1"/>
  <c r="Q91" i="3"/>
  <c r="N92" i="3"/>
  <c r="O92" i="3"/>
  <c r="P92" i="3"/>
  <c r="Q92" i="3"/>
  <c r="N93" i="3"/>
  <c r="O93" i="3"/>
  <c r="P93" i="3" s="1"/>
  <c r="Q93" i="3"/>
  <c r="N94" i="3"/>
  <c r="O94" i="3"/>
  <c r="P94" i="3"/>
  <c r="Q94" i="3"/>
  <c r="N95" i="3"/>
  <c r="O95" i="3"/>
  <c r="P95" i="3" s="1"/>
  <c r="Q95" i="3"/>
  <c r="N96" i="3"/>
  <c r="O96" i="3"/>
  <c r="P96" i="3" s="1"/>
  <c r="Q96" i="3"/>
  <c r="N97" i="3"/>
  <c r="O97" i="3"/>
  <c r="P97" i="3" s="1"/>
  <c r="Q97" i="3"/>
  <c r="N98" i="3"/>
  <c r="O98" i="3"/>
  <c r="P98" i="3"/>
  <c r="Q98" i="3"/>
  <c r="N99" i="3"/>
  <c r="O99" i="3"/>
  <c r="P99" i="3" s="1"/>
  <c r="Q99" i="3"/>
  <c r="N100" i="3"/>
  <c r="O100" i="3"/>
  <c r="P100" i="3"/>
  <c r="Q100" i="3"/>
  <c r="N101" i="3"/>
  <c r="O101" i="3"/>
  <c r="P101" i="3" s="1"/>
  <c r="Q101" i="3"/>
  <c r="N102" i="3"/>
  <c r="O102" i="3"/>
  <c r="P102" i="3" s="1"/>
  <c r="Q102" i="3"/>
  <c r="N103" i="3"/>
  <c r="O103" i="3"/>
  <c r="P103" i="3" s="1"/>
  <c r="Q103" i="3"/>
  <c r="N104" i="3"/>
  <c r="O104" i="3"/>
  <c r="P104" i="3" s="1"/>
  <c r="Q104" i="3"/>
  <c r="N105" i="3"/>
  <c r="O105" i="3"/>
  <c r="P105" i="3" s="1"/>
  <c r="Q105" i="3"/>
  <c r="N106" i="3"/>
  <c r="O106" i="3"/>
  <c r="P106" i="3"/>
  <c r="Q106" i="3"/>
  <c r="N107" i="3"/>
  <c r="O107" i="3"/>
  <c r="P107" i="3" s="1"/>
  <c r="Q107" i="3"/>
  <c r="N108" i="3"/>
  <c r="O108" i="3"/>
  <c r="P108" i="3"/>
  <c r="Q108" i="3"/>
  <c r="N109" i="3"/>
  <c r="O109" i="3"/>
  <c r="P109" i="3" s="1"/>
  <c r="Q109" i="3"/>
  <c r="N110" i="3"/>
  <c r="O110" i="3"/>
  <c r="P110" i="3"/>
  <c r="Q110" i="3"/>
  <c r="N111" i="3"/>
  <c r="O111" i="3"/>
  <c r="P111" i="3" s="1"/>
  <c r="Q111" i="3"/>
  <c r="N112" i="3"/>
  <c r="O112" i="3"/>
  <c r="P112" i="3" s="1"/>
  <c r="Q112" i="3"/>
  <c r="N113" i="3"/>
  <c r="O113" i="3"/>
  <c r="P113" i="3" s="1"/>
  <c r="Q113" i="3"/>
  <c r="N114" i="3"/>
  <c r="O114" i="3"/>
  <c r="P114" i="3"/>
  <c r="Q114" i="3"/>
  <c r="Q4" i="3"/>
  <c r="O4" i="3"/>
  <c r="P4" i="3" s="1"/>
  <c r="N4" i="3"/>
  <c r="U9" i="3" a="1"/>
  <c r="X5" i="3"/>
  <c r="X8" i="3"/>
  <c r="W12" i="3"/>
  <c r="V11" i="3"/>
  <c r="U8" i="3" a="1"/>
  <c r="X6" i="3"/>
  <c r="W9" i="3"/>
  <c r="V13" i="3"/>
  <c r="U20" i="3" a="1"/>
  <c r="V7" i="3"/>
  <c r="W6" i="3"/>
  <c r="X12" i="3"/>
  <c r="V18" i="3"/>
  <c r="U13" i="3" a="1"/>
  <c r="X13" i="3"/>
  <c r="X4" i="3"/>
  <c r="W7" i="3"/>
  <c r="V9" i="3"/>
  <c r="W4" i="3"/>
  <c r="X10" i="3"/>
  <c r="U11" i="3" a="1"/>
  <c r="V6" i="3"/>
  <c r="V4" i="3"/>
  <c r="U5" i="3" a="1"/>
  <c r="V10" i="3"/>
  <c r="W18" i="3"/>
  <c r="U7" i="3" a="1"/>
  <c r="X11" i="3"/>
  <c r="W5" i="3"/>
  <c r="W8" i="3"/>
  <c r="V5" i="3"/>
  <c r="W13" i="3"/>
  <c r="U10" i="3" a="1"/>
  <c r="U4" i="3" a="1"/>
  <c r="X7" i="3"/>
  <c r="U12" i="3" a="1"/>
  <c r="V8" i="3"/>
  <c r="U6" i="3" a="1"/>
  <c r="U18" i="3" a="1"/>
  <c r="V12" i="3"/>
  <c r="X18" i="3"/>
  <c r="W11" i="3"/>
  <c r="X9" i="3"/>
  <c r="W10" i="3"/>
  <c r="X19" i="3"/>
  <c r="X14" i="3" l="1"/>
  <c r="V14" i="3"/>
  <c r="W14" i="3"/>
  <c r="AC18" i="3"/>
  <c r="U20" i="3"/>
  <c r="Z19" i="3" s="1"/>
  <c r="U18" i="3"/>
  <c r="T21" i="3"/>
  <c r="AA5" i="3"/>
  <c r="AA12" i="3"/>
  <c r="AA11" i="3"/>
  <c r="AA8" i="3"/>
  <c r="AA10" i="3"/>
  <c r="AA9" i="3"/>
  <c r="AA7" i="3"/>
  <c r="AA6" i="3"/>
  <c r="AB7" i="3"/>
  <c r="AB6" i="3"/>
  <c r="AB11" i="3"/>
  <c r="AB9" i="3"/>
  <c r="AB5" i="3"/>
  <c r="AB10" i="3"/>
  <c r="AB8" i="3"/>
  <c r="AB12" i="3"/>
  <c r="AC7" i="3"/>
  <c r="AC11" i="3"/>
  <c r="AC8" i="3"/>
  <c r="AC6" i="3"/>
  <c r="AC9" i="3"/>
  <c r="AC5" i="3"/>
  <c r="AC10" i="3"/>
  <c r="AC12" i="3"/>
  <c r="AB4" i="3"/>
  <c r="AC4" i="3"/>
  <c r="AA4" i="3"/>
  <c r="U6" i="3"/>
  <c r="Z5" i="3" s="1"/>
  <c r="U12" i="3"/>
  <c r="Z11" i="3" s="1"/>
  <c r="U11" i="3"/>
  <c r="Z10" i="3" s="1"/>
  <c r="U10" i="3"/>
  <c r="Z9" i="3" s="1"/>
  <c r="U8" i="3"/>
  <c r="Z7" i="3" s="1"/>
  <c r="U7" i="3"/>
  <c r="Z6" i="3" s="1"/>
  <c r="U13" i="3"/>
  <c r="Z12" i="3" s="1"/>
  <c r="U9" i="3"/>
  <c r="Z8" i="3" s="1"/>
  <c r="U5" i="3"/>
  <c r="Z4" i="3" s="1"/>
  <c r="U4" i="3"/>
  <c r="W19" i="3"/>
  <c r="V20" i="3"/>
  <c r="U19" i="3" a="1"/>
  <c r="V19" i="3"/>
  <c r="X20" i="3"/>
  <c r="W20" i="3"/>
  <c r="AB19" i="3" l="1"/>
  <c r="AC19" i="3"/>
  <c r="AA18" i="3"/>
  <c r="AA19" i="3"/>
  <c r="AB18" i="3"/>
  <c r="U19" i="3"/>
  <c r="Z18" i="3" s="1"/>
  <c r="T22" i="3"/>
  <c r="V21" i="3"/>
  <c r="X21" i="3"/>
  <c r="W21" i="3"/>
  <c r="U21" i="3" a="1"/>
  <c r="AB20" i="3" l="1"/>
  <c r="AC20" i="3"/>
  <c r="AA20" i="3"/>
  <c r="U21" i="3"/>
  <c r="Z20" i="3" s="1"/>
  <c r="T23" i="3"/>
  <c r="W22" i="3"/>
  <c r="X22" i="3"/>
  <c r="V22" i="3"/>
  <c r="U22" i="3" a="1"/>
  <c r="AB21" i="3" l="1"/>
  <c r="AC21" i="3"/>
  <c r="AA21" i="3"/>
  <c r="U22" i="3"/>
  <c r="Z21" i="3" s="1"/>
  <c r="T24" i="3"/>
  <c r="V23" i="3"/>
  <c r="W23" i="3"/>
  <c r="X23" i="3"/>
  <c r="U23" i="3" a="1"/>
  <c r="AA22" i="3" l="1"/>
  <c r="AB22" i="3"/>
  <c r="AC22" i="3"/>
  <c r="U23" i="3"/>
  <c r="Z22" i="3" s="1"/>
  <c r="T25" i="3"/>
  <c r="V24" i="3"/>
  <c r="U24" i="3" a="1"/>
  <c r="X24" i="3"/>
  <c r="W24" i="3"/>
  <c r="AA23" i="3" l="1"/>
  <c r="AC23" i="3"/>
  <c r="AB23" i="3"/>
  <c r="U24" i="3"/>
  <c r="Z23" i="3" s="1"/>
  <c r="T26" i="3"/>
  <c r="W25" i="3"/>
  <c r="X25" i="3"/>
  <c r="U25" i="3" a="1"/>
  <c r="V25" i="3"/>
  <c r="AB24" i="3" l="1"/>
  <c r="AA24" i="3"/>
  <c r="AC24" i="3"/>
  <c r="U25" i="3"/>
  <c r="Z24" i="3" s="1"/>
  <c r="V26" i="3"/>
  <c r="W26" i="3"/>
  <c r="U26" i="3" a="1"/>
  <c r="X26" i="3"/>
  <c r="X27" i="3" l="1"/>
  <c r="W27" i="3"/>
  <c r="V27" i="3"/>
  <c r="AB25" i="3"/>
  <c r="AC25" i="3"/>
  <c r="AA25" i="3"/>
  <c r="U26" i="3"/>
  <c r="Z2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<sst xmlns="http://schemas.openxmlformats.org/spreadsheetml/2006/main" count="3619" uniqueCount="150">
  <si>
    <t>entity</t>
  </si>
  <si>
    <t>entity_code</t>
  </si>
  <si>
    <t>is_aggregate_entity</t>
  </si>
  <si>
    <t>date</t>
  </si>
  <si>
    <t>series</t>
  </si>
  <si>
    <t>is_aggregate_series</t>
  </si>
  <si>
    <t>generation_twh</t>
  </si>
  <si>
    <t>generation_share_pct</t>
  </si>
  <si>
    <t>generation_kwh_per_capita</t>
  </si>
  <si>
    <t>generation_yoy_change_twh</t>
  </si>
  <si>
    <t>generation_yoy_change_pct</t>
  </si>
  <si>
    <t>generation_share_yoy_change_pct_points</t>
  </si>
  <si>
    <t>generation_yoy_change_kwh_per_capita</t>
  </si>
  <si>
    <t>generation_ytd_twh</t>
  </si>
  <si>
    <t>generation_ytd_share_pct</t>
  </si>
  <si>
    <t>generation_ytd_kwh_per_capita</t>
  </si>
  <si>
    <t>EU</t>
  </si>
  <si>
    <t>2016-11</t>
  </si>
  <si>
    <t>Bioenergy</t>
  </si>
  <si>
    <t>Coal</t>
  </si>
  <si>
    <t>Gas</t>
  </si>
  <si>
    <t>Hydro</t>
  </si>
  <si>
    <t>Nuclear</t>
  </si>
  <si>
    <t>Other fossil</t>
  </si>
  <si>
    <t>Other renewables</t>
  </si>
  <si>
    <t>Solar</t>
  </si>
  <si>
    <t>Total generation</t>
  </si>
  <si>
    <t>Wind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</si>
  <si>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</si>
  <si>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</si>
  <si>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</si>
  <si>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</si>
  <si>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</si>
  <si>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</si>
  <si>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</si>
  <si>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</si>
  <si>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</si>
  <si>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</si>
  <si>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</si>
  <si>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</si>
  <si>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</si>
  <si>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</si>
  <si>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</si>
  <si>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</si>
  <si>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</si>
  <si>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</si>
  <si>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</si>
  <si>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</si>
  <si>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</si>
  <si>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</si>
  <si>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</si>
  <si>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</si>
  <si>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</si>
  <si>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</si>
  <si>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</si>
  <si>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</si>
  <si>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</si>
  <si>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</si>
  <si>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</si>
  <si>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</si>
  <si>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</si>
  <si>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</si>
  <si>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</si>
  <si>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</si>
  <si>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</si>
  <si>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</si>
  <si>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</si>
  <si>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</si>
  <si>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</si>
  <si>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</si>
  <si>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</si>
  <si>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</si>
  <si>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</si>
  <si>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</si>
  <si>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</si>
  <si>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</si>
  <si>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</si>
  <si>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</si>
  <si>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</si>
  <si>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</si>
  <si>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</si>
  <si>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</si>
  <si>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</si>
  <si>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</si>
  <si>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</si>
  <si>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</si>
  <si>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</si>
  <si>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</si>
  <si>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</si>
  <si>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</si>
  <si>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</si>
  <si>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</si>
  <si>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</si>
  <si>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</si>
  <si>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</si>
  <si>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</si>
  <si>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</si>
  <si>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</si>
  <si>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</si>
  <si>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</si>
  <si>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</si>
  <si>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</si>
  <si>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</si>
  <si>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</si>
  <si>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</si>
  <si>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</si>
  <si>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</si>
  <si>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</si>
  <si>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</si>
  <si>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</si>
  <si>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</si>
  <si>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</si>
  <si>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</si>
  <si>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</si>
  <si>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</si>
  <si>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</si>
  <si>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</si>
  <si>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</si>
  <si>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</si>
  <si>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</si>
  <si>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</si>
  <si>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</si>
  <si>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</si>
  <si>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</si>
  <si>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</si>
  <si>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</si>
  <si>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</si>
  <si>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</si>
  <si>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</si>
  <si>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</si>
  <si>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</si>
  <si>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</si>
  <si>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</si>
  <si>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</si>
  <si>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</si>
  <si>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</si>
  <si>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</si>
  <si>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</si>
  <si>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Row Labels</t>
  </si>
  <si>
    <t>Grand Total</t>
  </si>
  <si>
    <t>Column Labels</t>
  </si>
  <si>
    <t>Sum of generation_twh</t>
  </si>
  <si>
    <t>Solar-Wind</t>
  </si>
  <si>
    <t>Other</t>
  </si>
  <si>
    <t>Total</t>
  </si>
  <si>
    <t>O</t>
  </si>
  <si>
    <t>P</t>
  </si>
  <si>
    <t>Q</t>
  </si>
  <si>
    <t>N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</si>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</sst>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s" refreshedDate="46063.892129398148" createdVersion="8" refreshedVersion="8" minRefreshableVersion="3" recordCount="1110" xr:uid="{D410634E-2AD1-6947-9B71-2B2DA4CCB0DB}">
  <cacheSource type="worksheet">
    <worksheetSource ref="A1:P1111" sheet="ember_monthly_electricity-gener"/>
  </cacheSource>
  <cacheFields count="16">
    <cacheField name="entity" numFmtId="0">
      <sharedItems/>
    </cacheField>
    <cacheField name="entity_code" numFmtId="0">
      <sharedItems containsNonDate="0" containsString="0" containsBlank="1"/>
    </cacheField>
    <cacheField name="is_aggregate_entity" numFmtId="0">
      <sharedItems/>
    </cacheField>
    <cacheField name="date" numFmtId="0">
      <sharedItems count="111">
        <s v="2016-11"/>
        <s v="2016-12"/>
        <s v="2017-01"/>
        <s v="2017-02"/>
        <s v="2017-03"/>
        <s v="2017-04"/>
        <s v="2017-05"/>
        <s v="2017-06"/>
        <s v="2017-07"/>
        <s v="2017-08"/>
        <s v="2017-09"/>
        <s v="2017-10"/>
        <s v="2017-11"/>
        <s v="2017-12"/>
        <s v="2018-01"/>
        <s v="2018-02"/>
        <s v="2018-03"/>
        <s v="2018-04"/>
        <s v="2018-05"/>
        <s v="2018-06"/>
        <s v="2018-07"/>
        <s v="2018-08"/>
        <s v="2018-09"/>
        <s v="2018-10"/>
        <s v="2018-11"/>
        <s v="2018-12"/>
        <s v="2019-01"/>
        <s v="2019-02"/>
        <s v="2019-03"/>
        <s v="2019-04"/>
        <s v="2019-05"/>
        <s v="2019-06"/>
        <s v="2019-07"/>
        <s v="2019-08"/>
        <s v="2019-09"/>
        <s v="2019-10"/>
        <s v="2019-11"/>
        <s v="2019-12"/>
        <s v="2020-01"/>
        <s v="2020-02"/>
        <s v="2020-03"/>
        <s v="2020-04"/>
        <s v="2020-05"/>
        <s v="2020-06"/>
        <s v="2020-07"/>
        <s v="2020-08"/>
        <s v="2020-09"/>
        <s v="2020-10"/>
        <s v="2020-11"/>
        <s v="2020-12"/>
        <s v="2021-01"/>
        <s v="2021-02"/>
        <s v="2021-03"/>
        <s v="2021-04"/>
        <s v="2021-05"/>
        <s v="2021-06"/>
        <s v="2021-07"/>
        <s v="2021-08"/>
        <s v="2021-09"/>
        <s v="2021-10"/>
        <s v="2021-11"/>
        <s v="2021-12"/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s v="2026-01"/>
      </sharedItems>
    </cacheField>
    <cacheField name="series" numFmtId="0">
      <sharedItems count="10">
        <s v="Bioenergy"/>
        <s v="Coal"/>
        <s v="Gas"/>
        <s v="Hydro"/>
        <s v="Nuclear"/>
        <s v="Other fossil"/>
        <s v="Other renewables"/>
        <s v="Solar"/>
        <s v="Total generation"/>
        <s v="Wind"/>
      </sharedItems>
    </cacheField>
    <cacheField name="is_aggregate_series" numFmtId="0">
      <sharedItems/>
    </cacheField>
    <cacheField name="generation_twh" numFmtId="0">
      <sharedItems containsSemiMixedTypes="0" containsString="0" containsNumber="1" minValue="1.25" maxValue="273.88"/>
    </cacheField>
    <cacheField name="generation_share_pct" numFmtId="0">
      <sharedItems containsSemiMixedTypes="0" containsString="0" containsNumber="1" minValue="0.54" maxValue="100"/>
    </cacheField>
    <cacheField name="generation_kwh_per_capita" numFmtId="0">
      <sharedItems containsSemiMixedTypes="0" containsString="0" containsNumber="1" minValue="2.79" maxValue="614.5"/>
    </cacheField>
    <cacheField name="generation_yoy_change_twh" numFmtId="0">
      <sharedItems containsSemiMixedTypes="0" containsString="0" containsNumber="1" minValue="-66" maxValue="25.46"/>
    </cacheField>
    <cacheField name="generation_yoy_change_pct" numFmtId="0">
      <sharedItems containsSemiMixedTypes="0" containsString="0" containsNumber="1" minValue="-97.59" maxValue="64.55"/>
    </cacheField>
    <cacheField name="generation_share_yoy_change_pct_points" numFmtId="0">
      <sharedItems containsString="0" containsBlank="1" containsNumber="1" minValue="-8.74" maxValue="7.56"/>
    </cacheField>
    <cacheField name="generation_yoy_change_kwh_per_capita" numFmtId="0">
      <sharedItems containsSemiMixedTypes="0" containsString="0" containsNumber="1" minValue="-148.34" maxValue="56.87"/>
    </cacheField>
    <cacheField name="generation_ytd_twh" numFmtId="0">
      <sharedItems containsSemiMixedTypes="0" containsString="0" containsNumber="1" minValue="1.41" maxValue="2733.37"/>
    </cacheField>
    <cacheField name="generation_ytd_share_pct" numFmtId="0">
      <sharedItems containsSemiMixedTypes="0" containsString="0" containsNumber="1" minValue="0.54" maxValue="100"/>
    </cacheField>
    <cacheField name="generation_ytd_kwh_per_capita" numFmtId="0">
      <sharedItems containsSemiMixedTypes="0" containsString="0" containsNumber="1" minValue="3.15" maxValue="613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0">
  <r>
    <s v="EU"/>
    <m/>
    <b v="1"/>
    <x v="0"/>
    <x v="0"/>
    <b v="0"/>
    <n v="8.9700000000000006"/>
    <n v="3.77"/>
    <n v="20.16"/>
    <n v="0.48"/>
    <n v="5.65"/>
    <m/>
    <n v="1.08"/>
    <n v="94.8"/>
    <n v="3.88"/>
    <n v="213.08"/>
  </r>
  <r>
    <s v="EU"/>
    <m/>
    <b v="1"/>
    <x v="0"/>
    <x v="1"/>
    <b v="0"/>
    <n v="57.4"/>
    <n v="24.11"/>
    <n v="129.01"/>
    <n v="0.03"/>
    <n v="0.05"/>
    <m/>
    <n v="7.0000000000000007E-2"/>
    <n v="538.79999999999995"/>
    <n v="22.07"/>
    <n v="1211.03"/>
  </r>
  <r>
    <s v="EU"/>
    <m/>
    <b v="1"/>
    <x v="0"/>
    <x v="2"/>
    <b v="0"/>
    <n v="51.39"/>
    <n v="21.59"/>
    <n v="115.51"/>
    <n v="12.29"/>
    <n v="31.43"/>
    <m/>
    <n v="27.62"/>
    <n v="412.61"/>
    <n v="16.899999999999999"/>
    <n v="927.4"/>
  </r>
  <r>
    <s v="EU"/>
    <m/>
    <b v="1"/>
    <x v="0"/>
    <x v="3"/>
    <b v="0"/>
    <n v="23.37"/>
    <n v="9.82"/>
    <n v="52.53"/>
    <n v="0.48"/>
    <n v="2.1"/>
    <m/>
    <n v="1.08"/>
    <n v="320.11"/>
    <n v="13.11"/>
    <n v="719.49"/>
  </r>
  <r>
    <s v="EU"/>
    <m/>
    <b v="1"/>
    <x v="0"/>
    <x v="4"/>
    <b v="0"/>
    <n v="59.24"/>
    <n v="24.89"/>
    <n v="133.15"/>
    <n v="-3.82"/>
    <n v="-6.06"/>
    <m/>
    <n v="-8.59"/>
    <n v="665.11"/>
    <n v="27.25"/>
    <n v="1494.93"/>
  </r>
  <r>
    <s v="EU"/>
    <m/>
    <b v="1"/>
    <x v="0"/>
    <x v="5"/>
    <b v="0"/>
    <n v="6.62"/>
    <n v="2.78"/>
    <n v="14.88"/>
    <n v="-0.8"/>
    <n v="-10.78"/>
    <m/>
    <n v="-1.8"/>
    <n v="65.69"/>
    <n v="2.69"/>
    <n v="147.65"/>
  </r>
  <r>
    <s v="EU"/>
    <m/>
    <b v="1"/>
    <x v="0"/>
    <x v="6"/>
    <b v="0"/>
    <n v="1.63"/>
    <n v="0.68"/>
    <n v="3.66"/>
    <n v="-66"/>
    <n v="-97.59"/>
    <m/>
    <n v="-148.34"/>
    <n v="17.79"/>
    <n v="0.73"/>
    <n v="39.99"/>
  </r>
  <r>
    <s v="EU"/>
    <m/>
    <b v="1"/>
    <x v="0"/>
    <x v="7"/>
    <b v="0"/>
    <n v="3.5"/>
    <n v="1.47"/>
    <n v="7.87"/>
    <n v="-0.45"/>
    <n v="-11.39"/>
    <m/>
    <n v="-1.01"/>
    <n v="92.89"/>
    <n v="3.81"/>
    <n v="208.78"/>
  </r>
  <r>
    <s v="EU"/>
    <m/>
    <b v="1"/>
    <x v="0"/>
    <x v="8"/>
    <b v="1"/>
    <n v="238.04"/>
    <n v="100"/>
    <n v="535.03"/>
    <n v="-59.58"/>
    <n v="-20.02"/>
    <m/>
    <n v="-133.91"/>
    <n v="2440.92"/>
    <n v="100"/>
    <n v="5486.3"/>
  </r>
  <r>
    <s v="EU"/>
    <m/>
    <b v="1"/>
    <x v="0"/>
    <x v="9"/>
    <b v="0"/>
    <n v="25.92"/>
    <n v="10.89"/>
    <n v="58.26"/>
    <n v="-1.79"/>
    <n v="-6.46"/>
    <m/>
    <n v="-4.0199999999999996"/>
    <n v="233.12"/>
    <n v="9.5500000000000007"/>
    <n v="523.97"/>
  </r>
  <r>
    <s v="EU"/>
    <m/>
    <b v="1"/>
    <x v="1"/>
    <x v="0"/>
    <b v="0"/>
    <n v="9.4700000000000006"/>
    <n v="3.74"/>
    <n v="21.29"/>
    <n v="0.57999999999999996"/>
    <n v="6.52"/>
    <m/>
    <n v="1.3"/>
    <n v="104.27"/>
    <n v="3.87"/>
    <n v="234.36"/>
  </r>
  <r>
    <s v="EU"/>
    <m/>
    <b v="1"/>
    <x v="1"/>
    <x v="1"/>
    <b v="0"/>
    <n v="59.07"/>
    <n v="23.32"/>
    <n v="132.77000000000001"/>
    <n v="1.79"/>
    <n v="3.13"/>
    <m/>
    <n v="4.0199999999999996"/>
    <n v="597.87"/>
    <n v="22.19"/>
    <n v="1343.8"/>
  </r>
  <r>
    <s v="EU"/>
    <m/>
    <b v="1"/>
    <x v="1"/>
    <x v="2"/>
    <b v="0"/>
    <n v="56.57"/>
    <n v="22.33"/>
    <n v="127.15"/>
    <n v="17.8"/>
    <n v="45.91"/>
    <m/>
    <n v="40.01"/>
    <n v="469.18"/>
    <n v="17.41"/>
    <n v="1054.55"/>
  </r>
  <r>
    <s v="EU"/>
    <m/>
    <b v="1"/>
    <x v="1"/>
    <x v="3"/>
    <b v="0"/>
    <n v="22.95"/>
    <n v="9.06"/>
    <n v="51.58"/>
    <n v="0.56999999999999995"/>
    <n v="2.5499999999999998"/>
    <m/>
    <n v="1.28"/>
    <n v="343.06"/>
    <n v="12.73"/>
    <n v="771.07"/>
  </r>
  <r>
    <s v="EU"/>
    <m/>
    <b v="1"/>
    <x v="1"/>
    <x v="4"/>
    <b v="0"/>
    <n v="66.94"/>
    <n v="26.43"/>
    <n v="150.46"/>
    <n v="-3.66"/>
    <n v="-5.18"/>
    <m/>
    <n v="-8.23"/>
    <n v="732.05"/>
    <n v="27.17"/>
    <n v="1645.38"/>
  </r>
  <r>
    <s v="EU"/>
    <m/>
    <b v="1"/>
    <x v="1"/>
    <x v="5"/>
    <b v="0"/>
    <n v="6.77"/>
    <n v="2.67"/>
    <n v="15.22"/>
    <n v="-1.49"/>
    <n v="-18.04"/>
    <m/>
    <n v="-3.35"/>
    <n v="72.459999999999994"/>
    <n v="2.69"/>
    <n v="162.86000000000001"/>
  </r>
  <r>
    <s v="EU"/>
    <m/>
    <b v="1"/>
    <x v="1"/>
    <x v="6"/>
    <b v="0"/>
    <n v="1.77"/>
    <n v="0.7"/>
    <n v="3.98"/>
    <n v="-65.31"/>
    <n v="-97.36"/>
    <m/>
    <n v="-146.79"/>
    <n v="19.559999999999999"/>
    <n v="0.73"/>
    <n v="43.96"/>
  </r>
  <r>
    <s v="EU"/>
    <m/>
    <b v="1"/>
    <x v="1"/>
    <x v="7"/>
    <b v="0"/>
    <n v="3.16"/>
    <n v="1.25"/>
    <n v="7.1"/>
    <n v="0.28999999999999998"/>
    <n v="10.1"/>
    <m/>
    <n v="0.65"/>
    <n v="96.05"/>
    <n v="3.57"/>
    <n v="215.89"/>
  </r>
  <r>
    <s v="EU"/>
    <m/>
    <b v="1"/>
    <x v="1"/>
    <x v="8"/>
    <b v="1"/>
    <n v="253.28"/>
    <n v="100"/>
    <n v="569.28"/>
    <n v="-53.69"/>
    <n v="-17.489999999999998"/>
    <m/>
    <n v="-120.68"/>
    <n v="2694.2"/>
    <n v="100"/>
    <n v="6055.58"/>
  </r>
  <r>
    <s v="EU"/>
    <m/>
    <b v="1"/>
    <x v="1"/>
    <x v="9"/>
    <b v="0"/>
    <n v="26.58"/>
    <n v="10.49"/>
    <n v="59.74"/>
    <n v="-4.26"/>
    <n v="-13.81"/>
    <m/>
    <n v="-9.57"/>
    <n v="259.7"/>
    <n v="9.64"/>
    <n v="583.71"/>
  </r>
  <r>
    <s v="EU"/>
    <m/>
    <b v="1"/>
    <x v="2"/>
    <x v="0"/>
    <b v="0"/>
    <n v="10.53"/>
    <n v="3.84"/>
    <n v="23.63"/>
    <n v="0.97"/>
    <n v="10.15"/>
    <n v="0.1"/>
    <n v="2.1800000000000002"/>
    <n v="10.53"/>
    <n v="3.84"/>
    <n v="23.63"/>
  </r>
  <r>
    <s v="EU"/>
    <m/>
    <b v="1"/>
    <x v="2"/>
    <x v="1"/>
    <b v="0"/>
    <n v="64.819999999999993"/>
    <n v="23.67"/>
    <n v="145.44"/>
    <n v="7.55"/>
    <n v="13.18"/>
    <n v="1.29"/>
    <n v="16.940000000000001"/>
    <n v="64.819999999999993"/>
    <n v="23.67"/>
    <n v="145.44"/>
  </r>
  <r>
    <s v="EU"/>
    <m/>
    <b v="1"/>
    <x v="2"/>
    <x v="2"/>
    <b v="0"/>
    <n v="60.87"/>
    <n v="22.23"/>
    <n v="136.57"/>
    <n v="16.600000000000001"/>
    <n v="37.5"/>
    <n v="4.93"/>
    <n v="37.25"/>
    <n v="60.87"/>
    <n v="22.23"/>
    <n v="136.57"/>
  </r>
  <r>
    <s v="EU"/>
    <m/>
    <b v="1"/>
    <x v="2"/>
    <x v="3"/>
    <b v="0"/>
    <n v="24.7"/>
    <n v="9.02"/>
    <n v="55.42"/>
    <n v="-3.39"/>
    <n v="-12.07"/>
    <n v="-1.96"/>
    <n v="-7.61"/>
    <n v="24.7"/>
    <n v="9.02"/>
    <n v="55.42"/>
  </r>
  <r>
    <s v="EU"/>
    <m/>
    <b v="1"/>
    <x v="2"/>
    <x v="4"/>
    <b v="0"/>
    <n v="72.34"/>
    <n v="26.41"/>
    <n v="162.31"/>
    <n v="-2.5299999999999998"/>
    <n v="-3.38"/>
    <n v="-2.85"/>
    <n v="-5.68"/>
    <n v="72.34"/>
    <n v="26.41"/>
    <n v="162.31"/>
  </r>
  <r>
    <s v="EU"/>
    <m/>
    <b v="1"/>
    <x v="2"/>
    <x v="5"/>
    <b v="0"/>
    <n v="8.3800000000000008"/>
    <n v="3.06"/>
    <n v="18.8"/>
    <n v="1.34"/>
    <n v="19.03"/>
    <n v="0.31"/>
    <n v="3.01"/>
    <n v="8.3800000000000008"/>
    <n v="3.06"/>
    <n v="18.8"/>
  </r>
  <r>
    <s v="EU"/>
    <m/>
    <b v="1"/>
    <x v="2"/>
    <x v="6"/>
    <b v="0"/>
    <n v="1.93"/>
    <n v="0.7"/>
    <n v="4.33"/>
    <n v="0.11"/>
    <n v="6.04"/>
    <n v="-0.01"/>
    <n v="0.25"/>
    <n v="1.93"/>
    <n v="0.7"/>
    <n v="4.33"/>
  </r>
  <r>
    <s v="EU"/>
    <m/>
    <b v="1"/>
    <x v="2"/>
    <x v="7"/>
    <b v="0"/>
    <n v="3.39"/>
    <n v="1.24"/>
    <n v="7.61"/>
    <n v="0.52"/>
    <n v="18.12"/>
    <n v="0.12"/>
    <n v="1.17"/>
    <n v="3.39"/>
    <n v="1.24"/>
    <n v="7.61"/>
  </r>
  <r>
    <s v="EU"/>
    <m/>
    <b v="1"/>
    <x v="2"/>
    <x v="8"/>
    <b v="1"/>
    <n v="273.88"/>
    <n v="100"/>
    <n v="614.5"/>
    <n v="18"/>
    <n v="7.03"/>
    <n v="0"/>
    <n v="40.39"/>
    <n v="273.88"/>
    <n v="100"/>
    <n v="614.5"/>
  </r>
  <r>
    <s v="EU"/>
    <m/>
    <b v="1"/>
    <x v="2"/>
    <x v="9"/>
    <b v="0"/>
    <n v="26.92"/>
    <n v="9.83"/>
    <n v="60.4"/>
    <n v="-3.17"/>
    <n v="-10.54"/>
    <n v="-1.93"/>
    <n v="-7.11"/>
    <n v="26.92"/>
    <n v="9.83"/>
    <n v="60.4"/>
  </r>
  <r>
    <s v="EU"/>
    <m/>
    <b v="1"/>
    <x v="3"/>
    <x v="0"/>
    <b v="0"/>
    <n v="9.7799999999999994"/>
    <n v="4.1900000000000004"/>
    <n v="21.94"/>
    <n v="0.92"/>
    <n v="10.38"/>
    <n v="0.42"/>
    <n v="2.06"/>
    <n v="20.309999999999999"/>
    <n v="4"/>
    <n v="45.57"/>
  </r>
  <r>
    <s v="EU"/>
    <m/>
    <b v="1"/>
    <x v="3"/>
    <x v="1"/>
    <b v="0"/>
    <n v="52.31"/>
    <n v="22.4"/>
    <n v="117.37"/>
    <n v="4.7"/>
    <n v="9.8699999999999992"/>
    <n v="2.17"/>
    <n v="10.55"/>
    <n v="117.13"/>
    <n v="23.09"/>
    <n v="262.8"/>
  </r>
  <r>
    <s v="EU"/>
    <m/>
    <b v="1"/>
    <x v="3"/>
    <x v="2"/>
    <b v="0"/>
    <n v="45.68"/>
    <n v="19.559999999999999"/>
    <n v="102.49"/>
    <n v="10.4"/>
    <n v="29.48"/>
    <n v="4.57"/>
    <n v="23.33"/>
    <n v="106.55"/>
    <n v="21"/>
    <n v="239.06"/>
  </r>
  <r>
    <s v="EU"/>
    <m/>
    <b v="1"/>
    <x v="3"/>
    <x v="3"/>
    <b v="0"/>
    <n v="21.7"/>
    <n v="9.2899999999999991"/>
    <n v="48.69"/>
    <n v="-10.4"/>
    <n v="-32.4"/>
    <n v="-4.3499999999999996"/>
    <n v="-23.33"/>
    <n v="46.4"/>
    <n v="9.15"/>
    <n v="104.11"/>
  </r>
  <r>
    <s v="EU"/>
    <m/>
    <b v="1"/>
    <x v="3"/>
    <x v="4"/>
    <b v="0"/>
    <n v="61.57"/>
    <n v="26.37"/>
    <n v="138.13999999999999"/>
    <n v="-6.3"/>
    <n v="-9.2799999999999994"/>
    <n v="-2.4700000000000002"/>
    <n v="-14.14"/>
    <n v="133.91"/>
    <n v="26.39"/>
    <n v="300.45"/>
  </r>
  <r>
    <s v="EU"/>
    <m/>
    <b v="1"/>
    <x v="3"/>
    <x v="5"/>
    <b v="0"/>
    <n v="7.17"/>
    <n v="3.07"/>
    <n v="16.09"/>
    <n v="1.04"/>
    <n v="16.97"/>
    <n v="0.47"/>
    <n v="2.33"/>
    <n v="15.55"/>
    <n v="3.06"/>
    <n v="34.89"/>
  </r>
  <r>
    <s v="EU"/>
    <m/>
    <b v="1"/>
    <x v="3"/>
    <x v="6"/>
    <b v="0"/>
    <n v="1.69"/>
    <n v="0.72"/>
    <n v="3.79"/>
    <n v="0.02"/>
    <n v="1.2"/>
    <n v="0.01"/>
    <n v="0.04"/>
    <n v="3.62"/>
    <n v="0.71"/>
    <n v="8.1199999999999992"/>
  </r>
  <r>
    <s v="EU"/>
    <m/>
    <b v="1"/>
    <x v="3"/>
    <x v="7"/>
    <b v="0"/>
    <n v="4.46"/>
    <n v="1.91"/>
    <n v="10.01"/>
    <n v="0.22"/>
    <n v="5.19"/>
    <n v="0.11"/>
    <n v="0.49"/>
    <n v="7.85"/>
    <n v="1.55"/>
    <n v="17.61"/>
  </r>
  <r>
    <s v="EU"/>
    <m/>
    <b v="1"/>
    <x v="3"/>
    <x v="8"/>
    <b v="1"/>
    <n v="233.49"/>
    <n v="100"/>
    <n v="523.88"/>
    <n v="-1.83"/>
    <n v="-0.78"/>
    <n v="0"/>
    <n v="-4.1100000000000003"/>
    <n v="507.37"/>
    <n v="100"/>
    <n v="1138.3699999999999"/>
  </r>
  <r>
    <s v="EU"/>
    <m/>
    <b v="1"/>
    <x v="3"/>
    <x v="9"/>
    <b v="0"/>
    <n v="29.13"/>
    <n v="12.48"/>
    <n v="65.36"/>
    <n v="-2.4300000000000002"/>
    <n v="-7.7"/>
    <n v="-0.93"/>
    <n v="-5.45"/>
    <n v="56.05"/>
    <n v="11.05"/>
    <n v="125.76"/>
  </r>
  <r>
    <s v="EU"/>
    <m/>
    <b v="1"/>
    <x v="4"/>
    <x v="0"/>
    <b v="0"/>
    <n v="10.34"/>
    <n v="4.33"/>
    <n v="23.2"/>
    <n v="1.1200000000000001"/>
    <n v="12.15"/>
    <n v="0.45"/>
    <n v="2.5099999999999998"/>
    <n v="30.65"/>
    <n v="4.1100000000000003"/>
    <n v="68.77"/>
  </r>
  <r>
    <s v="EU"/>
    <m/>
    <b v="1"/>
    <x v="4"/>
    <x v="1"/>
    <b v="0"/>
    <n v="48.23"/>
    <n v="20.18"/>
    <n v="108.21"/>
    <n v="-2.8"/>
    <n v="-5.49"/>
    <n v="-1.3"/>
    <n v="-6.28"/>
    <n v="165.36"/>
    <n v="22.16"/>
    <n v="371.01"/>
  </r>
  <r>
    <s v="EU"/>
    <m/>
    <b v="1"/>
    <x v="4"/>
    <x v="2"/>
    <b v="0"/>
    <n v="40.69"/>
    <n v="17.03"/>
    <n v="91.3"/>
    <n v="4.8499999999999996"/>
    <n v="13.53"/>
    <n v="1.95"/>
    <n v="10.88"/>
    <n v="147.24"/>
    <n v="19.73"/>
    <n v="330.36"/>
  </r>
  <r>
    <s v="EU"/>
    <m/>
    <b v="1"/>
    <x v="4"/>
    <x v="3"/>
    <b v="0"/>
    <n v="27.28"/>
    <n v="11.42"/>
    <n v="61.21"/>
    <n v="-5.03"/>
    <n v="-15.57"/>
    <n v="-2.1800000000000002"/>
    <n v="-11.29"/>
    <n v="73.680000000000007"/>
    <n v="9.8699999999999992"/>
    <n v="165.31"/>
  </r>
  <r>
    <s v="EU"/>
    <m/>
    <b v="1"/>
    <x v="4"/>
    <x v="4"/>
    <b v="0"/>
    <n v="64.92"/>
    <n v="27.17"/>
    <n v="145.66"/>
    <n v="-6.01"/>
    <n v="-8.4700000000000006"/>
    <n v="-2.68"/>
    <n v="-13.48"/>
    <n v="198.83"/>
    <n v="26.64"/>
    <n v="446.11"/>
  </r>
  <r>
    <s v="EU"/>
    <m/>
    <b v="1"/>
    <x v="4"/>
    <x v="5"/>
    <b v="0"/>
    <n v="7.28"/>
    <n v="3.05"/>
    <n v="16.329999999999998"/>
    <n v="1.25"/>
    <n v="20.73"/>
    <n v="0.51"/>
    <n v="2.8"/>
    <n v="22.83"/>
    <n v="3.06"/>
    <n v="51.22"/>
  </r>
  <r>
    <s v="EU"/>
    <m/>
    <b v="1"/>
    <x v="4"/>
    <x v="6"/>
    <b v="0"/>
    <n v="1.84"/>
    <n v="0.77"/>
    <n v="4.13"/>
    <n v="0.19"/>
    <n v="11.52"/>
    <n v="0.08"/>
    <n v="0.43"/>
    <n v="5.46"/>
    <n v="0.73"/>
    <n v="12.25"/>
  </r>
  <r>
    <s v="EU"/>
    <m/>
    <b v="1"/>
    <x v="4"/>
    <x v="7"/>
    <b v="0"/>
    <n v="8.9"/>
    <n v="3.72"/>
    <n v="19.97"/>
    <n v="1.52"/>
    <n v="20.6"/>
    <n v="0.61"/>
    <n v="3.41"/>
    <n v="16.75"/>
    <n v="2.2400000000000002"/>
    <n v="37.58"/>
  </r>
  <r>
    <s v="EU"/>
    <m/>
    <b v="1"/>
    <x v="4"/>
    <x v="8"/>
    <b v="1"/>
    <n v="238.95"/>
    <n v="100"/>
    <n v="536.13"/>
    <n v="1.33"/>
    <n v="0.56000000000000005"/>
    <n v="0"/>
    <n v="2.98"/>
    <n v="746.32"/>
    <n v="100"/>
    <n v="1674.5"/>
  </r>
  <r>
    <s v="EU"/>
    <m/>
    <b v="1"/>
    <x v="4"/>
    <x v="9"/>
    <b v="0"/>
    <n v="29.47"/>
    <n v="12.33"/>
    <n v="66.12"/>
    <n v="6.24"/>
    <n v="26.86"/>
    <n v="2.5499999999999998"/>
    <n v="14"/>
    <n v="85.52"/>
    <n v="11.46"/>
    <n v="191.88"/>
  </r>
  <r>
    <s v="EU"/>
    <m/>
    <b v="1"/>
    <x v="5"/>
    <x v="0"/>
    <b v="0"/>
    <n v="9.6"/>
    <n v="4.49"/>
    <n v="21.54"/>
    <n v="1.24"/>
    <n v="14.83"/>
    <n v="0.57999999999999996"/>
    <n v="2.78"/>
    <n v="40.25"/>
    <n v="4.1900000000000004"/>
    <n v="90.31"/>
  </r>
  <r>
    <s v="EU"/>
    <m/>
    <b v="1"/>
    <x v="5"/>
    <x v="1"/>
    <b v="0"/>
    <n v="44.1"/>
    <n v="20.63"/>
    <n v="98.95"/>
    <n v="0.11"/>
    <n v="0.25"/>
    <n v="0.05"/>
    <n v="0.25"/>
    <n v="209.46"/>
    <n v="21.82"/>
    <n v="469.96"/>
  </r>
  <r>
    <s v="EU"/>
    <m/>
    <b v="1"/>
    <x v="5"/>
    <x v="2"/>
    <b v="0"/>
    <n v="35.11"/>
    <n v="16.420000000000002"/>
    <n v="78.78"/>
    <n v="6.36"/>
    <n v="22.12"/>
    <n v="2.97"/>
    <n v="14.27"/>
    <n v="182.35"/>
    <n v="18.989999999999998"/>
    <n v="409.13"/>
  </r>
  <r>
    <s v="EU"/>
    <m/>
    <b v="1"/>
    <x v="5"/>
    <x v="3"/>
    <b v="0"/>
    <n v="22.43"/>
    <n v="10.49"/>
    <n v="50.33"/>
    <n v="-12.23"/>
    <n v="-35.29"/>
    <n v="-5.73"/>
    <n v="-27.44"/>
    <n v="96.11"/>
    <n v="10.01"/>
    <n v="215.64"/>
  </r>
  <r>
    <s v="EU"/>
    <m/>
    <b v="1"/>
    <x v="5"/>
    <x v="4"/>
    <b v="0"/>
    <n v="59.27"/>
    <n v="27.72"/>
    <n v="132.97999999999999"/>
    <n v="-0.7"/>
    <n v="-1.17"/>
    <n v="-0.34"/>
    <n v="-1.57"/>
    <n v="258.10000000000002"/>
    <n v="26.88"/>
    <n v="579.09"/>
  </r>
  <r>
    <s v="EU"/>
    <m/>
    <b v="1"/>
    <x v="5"/>
    <x v="5"/>
    <b v="0"/>
    <n v="6.38"/>
    <n v="2.98"/>
    <n v="14.31"/>
    <n v="1.07"/>
    <n v="20.149999999999999"/>
    <n v="0.5"/>
    <n v="2.4"/>
    <n v="29.21"/>
    <n v="3.04"/>
    <n v="65.540000000000006"/>
  </r>
  <r>
    <s v="EU"/>
    <m/>
    <b v="1"/>
    <x v="5"/>
    <x v="6"/>
    <b v="0"/>
    <n v="1.85"/>
    <n v="0.87"/>
    <n v="4.1500000000000004"/>
    <n v="0.36"/>
    <n v="24.16"/>
    <n v="0.17"/>
    <n v="0.81"/>
    <n v="7.31"/>
    <n v="0.76"/>
    <n v="16.399999999999999"/>
  </r>
  <r>
    <s v="EU"/>
    <m/>
    <b v="1"/>
    <x v="5"/>
    <x v="7"/>
    <b v="0"/>
    <n v="10.78"/>
    <n v="5.04"/>
    <n v="24.19"/>
    <n v="0.73"/>
    <n v="7.26"/>
    <n v="0.34"/>
    <n v="1.64"/>
    <n v="27.53"/>
    <n v="2.87"/>
    <n v="61.77"/>
  </r>
  <r>
    <s v="EU"/>
    <m/>
    <b v="1"/>
    <x v="5"/>
    <x v="8"/>
    <b v="1"/>
    <n v="213.78"/>
    <n v="100"/>
    <n v="479.65"/>
    <n v="0.04"/>
    <n v="0.02"/>
    <n v="0"/>
    <n v="0.09"/>
    <n v="960.1"/>
    <n v="100"/>
    <n v="2154.16"/>
  </r>
  <r>
    <s v="EU"/>
    <m/>
    <b v="1"/>
    <x v="5"/>
    <x v="9"/>
    <b v="0"/>
    <n v="24.26"/>
    <n v="11.35"/>
    <n v="54.43"/>
    <n v="3.1"/>
    <n v="14.65"/>
    <n v="1.45"/>
    <n v="6.96"/>
    <n v="109.78"/>
    <n v="11.43"/>
    <n v="246.31"/>
  </r>
  <r>
    <s v="EU"/>
    <m/>
    <b v="1"/>
    <x v="6"/>
    <x v="0"/>
    <b v="0"/>
    <n v="9.1"/>
    <n v="4.28"/>
    <n v="20.420000000000002"/>
    <n v="0.68"/>
    <n v="8.08"/>
    <n v="0.19"/>
    <n v="1.53"/>
    <n v="49.35"/>
    <n v="4.21"/>
    <n v="110.73"/>
  </r>
  <r>
    <s v="EU"/>
    <m/>
    <b v="1"/>
    <x v="6"/>
    <x v="1"/>
    <b v="0"/>
    <n v="45.89"/>
    <n v="21.58"/>
    <n v="102.96"/>
    <n v="5.29"/>
    <n v="13.03"/>
    <n v="1.85"/>
    <n v="11.87"/>
    <n v="255.35"/>
    <n v="21.77"/>
    <n v="572.91999999999996"/>
  </r>
  <r>
    <s v="EU"/>
    <m/>
    <b v="1"/>
    <x v="6"/>
    <x v="2"/>
    <b v="0"/>
    <n v="33.590000000000003"/>
    <n v="15.79"/>
    <n v="75.37"/>
    <n v="5.45"/>
    <n v="19.37"/>
    <n v="2.12"/>
    <n v="12.23"/>
    <n v="215.94"/>
    <n v="18.41"/>
    <n v="484.5"/>
  </r>
  <r>
    <s v="EU"/>
    <m/>
    <b v="1"/>
    <x v="6"/>
    <x v="3"/>
    <b v="0"/>
    <n v="27.57"/>
    <n v="12.96"/>
    <n v="61.86"/>
    <n v="-8.49"/>
    <n v="-23.54"/>
    <n v="-4.5599999999999996"/>
    <n v="-19.05"/>
    <n v="123.68"/>
    <n v="10.55"/>
    <n v="277.5"/>
  </r>
  <r>
    <s v="EU"/>
    <m/>
    <b v="1"/>
    <x v="6"/>
    <x v="4"/>
    <b v="0"/>
    <n v="56.12"/>
    <n v="26.39"/>
    <n v="125.92"/>
    <n v="2.4"/>
    <n v="4.47"/>
    <n v="0.28999999999999998"/>
    <n v="5.38"/>
    <n v="314.22000000000003"/>
    <n v="26.79"/>
    <n v="705.01"/>
  </r>
  <r>
    <s v="EU"/>
    <m/>
    <b v="1"/>
    <x v="6"/>
    <x v="5"/>
    <b v="0"/>
    <n v="6.34"/>
    <n v="2.98"/>
    <n v="14.22"/>
    <n v="0.85"/>
    <n v="15.48"/>
    <n v="0.31"/>
    <n v="1.91"/>
    <n v="35.549999999999997"/>
    <n v="3.03"/>
    <n v="79.760000000000005"/>
  </r>
  <r>
    <s v="EU"/>
    <m/>
    <b v="1"/>
    <x v="6"/>
    <x v="6"/>
    <b v="0"/>
    <n v="1.88"/>
    <n v="0.88"/>
    <n v="4.22"/>
    <n v="0.28999999999999998"/>
    <n v="18.239999999999998"/>
    <n v="0.11"/>
    <n v="0.65"/>
    <n v="9.19"/>
    <n v="0.78"/>
    <n v="20.62"/>
  </r>
  <r>
    <s v="EU"/>
    <m/>
    <b v="1"/>
    <x v="6"/>
    <x v="7"/>
    <b v="0"/>
    <n v="12.98"/>
    <n v="6.1"/>
    <n v="29.12"/>
    <n v="1.03"/>
    <n v="8.6199999999999992"/>
    <n v="0.28999999999999998"/>
    <n v="2.31"/>
    <n v="40.51"/>
    <n v="3.45"/>
    <n v="90.89"/>
  </r>
  <r>
    <s v="EU"/>
    <m/>
    <b v="1"/>
    <x v="6"/>
    <x v="8"/>
    <b v="1"/>
    <n v="212.68"/>
    <n v="100"/>
    <n v="477.19"/>
    <n v="6.87"/>
    <n v="3.34"/>
    <n v="0"/>
    <n v="15.41"/>
    <n v="1172.78"/>
    <n v="100"/>
    <n v="2631.34"/>
  </r>
  <r>
    <s v="EU"/>
    <m/>
    <b v="1"/>
    <x v="6"/>
    <x v="9"/>
    <b v="0"/>
    <n v="19.21"/>
    <n v="9.0299999999999994"/>
    <n v="43.1"/>
    <n v="-0.63"/>
    <n v="-3.18"/>
    <n v="-0.61"/>
    <n v="-1.41"/>
    <n v="128.99"/>
    <n v="11"/>
    <n v="289.41000000000003"/>
  </r>
  <r>
    <s v="EU"/>
    <m/>
    <b v="1"/>
    <x v="7"/>
    <x v="0"/>
    <b v="0"/>
    <n v="8.4600000000000009"/>
    <n v="4.04"/>
    <n v="18.98"/>
    <n v="0.46"/>
    <n v="5.75"/>
    <n v="7.0000000000000007E-2"/>
    <n v="1.03"/>
    <n v="57.81"/>
    <n v="4.18"/>
    <n v="129.71"/>
  </r>
  <r>
    <s v="EU"/>
    <m/>
    <b v="1"/>
    <x v="7"/>
    <x v="1"/>
    <b v="0"/>
    <n v="42.24"/>
    <n v="20.2"/>
    <n v="94.77"/>
    <n v="-1.51"/>
    <n v="-3.45"/>
    <n v="-1.49"/>
    <n v="-3.39"/>
    <n v="297.58999999999997"/>
    <n v="21.53"/>
    <n v="667.7"/>
  </r>
  <r>
    <s v="EU"/>
    <m/>
    <b v="1"/>
    <x v="7"/>
    <x v="2"/>
    <b v="0"/>
    <n v="37.11"/>
    <n v="17.739999999999998"/>
    <n v="83.26"/>
    <n v="7.96"/>
    <n v="27.31"/>
    <n v="3.29"/>
    <n v="17.86"/>
    <n v="253.05"/>
    <n v="18.309999999999999"/>
    <n v="567.76"/>
  </r>
  <r>
    <s v="EU"/>
    <m/>
    <b v="1"/>
    <x v="7"/>
    <x v="3"/>
    <b v="0"/>
    <n v="25.86"/>
    <n v="12.36"/>
    <n v="58.02"/>
    <n v="-8.69"/>
    <n v="-25.15"/>
    <n v="-4.7699999999999996"/>
    <n v="-19.5"/>
    <n v="149.54"/>
    <n v="10.82"/>
    <n v="335.52"/>
  </r>
  <r>
    <s v="EU"/>
    <m/>
    <b v="1"/>
    <x v="7"/>
    <x v="4"/>
    <b v="0"/>
    <n v="53.39"/>
    <n v="25.53"/>
    <n v="119.79"/>
    <n v="0.04"/>
    <n v="7.0000000000000007E-2"/>
    <n v="-0.92"/>
    <n v="0.09"/>
    <n v="367.61"/>
    <n v="26.6"/>
    <n v="824.8"/>
  </r>
  <r>
    <s v="EU"/>
    <m/>
    <b v="1"/>
    <x v="7"/>
    <x v="5"/>
    <b v="0"/>
    <n v="6.11"/>
    <n v="2.92"/>
    <n v="13.71"/>
    <n v="0.95"/>
    <n v="18.41"/>
    <n v="0.36"/>
    <n v="2.13"/>
    <n v="41.66"/>
    <n v="3.01"/>
    <n v="93.47"/>
  </r>
  <r>
    <s v="EU"/>
    <m/>
    <b v="1"/>
    <x v="7"/>
    <x v="6"/>
    <b v="0"/>
    <n v="1.74"/>
    <n v="0.83"/>
    <n v="3.9"/>
    <n v="0.25"/>
    <n v="16.78"/>
    <n v="0.09"/>
    <n v="0.56000000000000005"/>
    <n v="10.93"/>
    <n v="0.79"/>
    <n v="24.52"/>
  </r>
  <r>
    <s v="EU"/>
    <m/>
    <b v="1"/>
    <x v="7"/>
    <x v="7"/>
    <b v="0"/>
    <n v="13.55"/>
    <n v="6.48"/>
    <n v="30.4"/>
    <n v="1.41"/>
    <n v="11.61"/>
    <n v="0.46"/>
    <n v="3.16"/>
    <n v="54.06"/>
    <n v="3.91"/>
    <n v="121.29"/>
  </r>
  <r>
    <s v="EU"/>
    <m/>
    <b v="1"/>
    <x v="7"/>
    <x v="8"/>
    <b v="1"/>
    <n v="209.16"/>
    <n v="100"/>
    <n v="469.29"/>
    <n v="7.43"/>
    <n v="3.68"/>
    <n v="0"/>
    <n v="16.670000000000002"/>
    <n v="1381.94"/>
    <n v="100"/>
    <n v="3100.63"/>
  </r>
  <r>
    <s v="EU"/>
    <m/>
    <b v="1"/>
    <x v="7"/>
    <x v="9"/>
    <b v="0"/>
    <n v="20.7"/>
    <n v="9.9"/>
    <n v="46.44"/>
    <n v="6.56"/>
    <n v="46.39"/>
    <n v="2.89"/>
    <n v="14.72"/>
    <n v="149.69"/>
    <n v="10.83"/>
    <n v="335.86"/>
  </r>
  <r>
    <s v="EU"/>
    <m/>
    <b v="1"/>
    <x v="8"/>
    <x v="0"/>
    <b v="0"/>
    <n v="8.41"/>
    <n v="3.89"/>
    <n v="18.87"/>
    <n v="0.09"/>
    <n v="1.08"/>
    <n v="-0.03"/>
    <n v="0.2"/>
    <n v="66.22"/>
    <n v="4.1399999999999997"/>
    <n v="148.58000000000001"/>
  </r>
  <r>
    <s v="EU"/>
    <m/>
    <b v="1"/>
    <x v="8"/>
    <x v="1"/>
    <b v="0"/>
    <n v="46.03"/>
    <n v="21.29"/>
    <n v="103.28"/>
    <n v="-0.7"/>
    <n v="-1.5"/>
    <n v="-0.72"/>
    <n v="-1.57"/>
    <n v="343.62"/>
    <n v="21.5"/>
    <n v="770.97"/>
  </r>
  <r>
    <s v="EU"/>
    <m/>
    <b v="1"/>
    <x v="8"/>
    <x v="2"/>
    <b v="0"/>
    <n v="41.68"/>
    <n v="19.28"/>
    <n v="93.52"/>
    <n v="7.54"/>
    <n v="22.09"/>
    <n v="3.2"/>
    <n v="16.920000000000002"/>
    <n v="294.73"/>
    <n v="18.440000000000001"/>
    <n v="661.28"/>
  </r>
  <r>
    <s v="EU"/>
    <m/>
    <b v="1"/>
    <x v="8"/>
    <x v="3"/>
    <b v="0"/>
    <n v="24.72"/>
    <n v="11.43"/>
    <n v="55.46"/>
    <n v="-4.97"/>
    <n v="-16.739999999999998"/>
    <n v="-2.5499999999999998"/>
    <n v="-11.15"/>
    <n v="174.26"/>
    <n v="10.9"/>
    <n v="390.98"/>
  </r>
  <r>
    <s v="EU"/>
    <m/>
    <b v="1"/>
    <x v="8"/>
    <x v="4"/>
    <b v="0"/>
    <n v="55.15"/>
    <n v="25.51"/>
    <n v="123.74"/>
    <n v="-2.02"/>
    <n v="-3.53"/>
    <n v="-1.41"/>
    <n v="-4.53"/>
    <n v="422.76"/>
    <n v="26.45"/>
    <n v="948.54"/>
  </r>
  <r>
    <s v="EU"/>
    <m/>
    <b v="1"/>
    <x v="8"/>
    <x v="5"/>
    <b v="0"/>
    <n v="6.39"/>
    <n v="2.96"/>
    <n v="14.34"/>
    <n v="0.68"/>
    <n v="11.91"/>
    <n v="0.27"/>
    <n v="1.53"/>
    <n v="48.05"/>
    <n v="3.01"/>
    <n v="107.81"/>
  </r>
  <r>
    <s v="EU"/>
    <m/>
    <b v="1"/>
    <x v="8"/>
    <x v="6"/>
    <b v="0"/>
    <n v="1.82"/>
    <n v="0.84"/>
    <n v="4.08"/>
    <n v="0.2"/>
    <n v="12.35"/>
    <n v="0.08"/>
    <n v="0.45"/>
    <n v="12.75"/>
    <n v="0.8"/>
    <n v="28.61"/>
  </r>
  <r>
    <s v="EU"/>
    <m/>
    <b v="1"/>
    <x v="8"/>
    <x v="7"/>
    <b v="0"/>
    <n v="13.23"/>
    <n v="6.12"/>
    <n v="29.68"/>
    <n v="0.28000000000000003"/>
    <n v="2.16"/>
    <n v="0.02"/>
    <n v="0.63"/>
    <n v="67.290000000000006"/>
    <n v="4.21"/>
    <n v="150.97999999999999"/>
  </r>
  <r>
    <s v="EU"/>
    <m/>
    <b v="1"/>
    <x v="8"/>
    <x v="8"/>
    <b v="1"/>
    <n v="216.19"/>
    <n v="100"/>
    <n v="485.06"/>
    <n v="3.85"/>
    <n v="1.81"/>
    <n v="0"/>
    <n v="8.64"/>
    <n v="1598.13"/>
    <n v="100"/>
    <n v="3585.69"/>
  </r>
  <r>
    <s v="EU"/>
    <m/>
    <b v="1"/>
    <x v="8"/>
    <x v="9"/>
    <b v="0"/>
    <n v="18.760000000000002"/>
    <n v="8.68"/>
    <n v="42.09"/>
    <n v="2.75"/>
    <n v="17.18"/>
    <n v="1.1399999999999999"/>
    <n v="6.17"/>
    <n v="168.45"/>
    <n v="10.54"/>
    <n v="377.95"/>
  </r>
  <r>
    <s v="EU"/>
    <m/>
    <b v="1"/>
    <x v="9"/>
    <x v="0"/>
    <b v="0"/>
    <n v="8.49"/>
    <n v="4.04"/>
    <n v="19.05"/>
    <n v="0.2"/>
    <n v="2.41"/>
    <n v="0.06"/>
    <n v="0.45"/>
    <n v="74.709999999999994"/>
    <n v="4.13"/>
    <n v="167.63"/>
  </r>
  <r>
    <s v="EU"/>
    <m/>
    <b v="1"/>
    <x v="9"/>
    <x v="1"/>
    <b v="0"/>
    <n v="44.39"/>
    <n v="21.14"/>
    <n v="99.6"/>
    <n v="-0.28000000000000003"/>
    <n v="-0.63"/>
    <n v="-0.3"/>
    <n v="-0.63"/>
    <n v="388.01"/>
    <n v="21.46"/>
    <n v="870.57"/>
  </r>
  <r>
    <s v="EU"/>
    <m/>
    <b v="1"/>
    <x v="9"/>
    <x v="2"/>
    <b v="0"/>
    <n v="35.94"/>
    <n v="17.11"/>
    <n v="80.64"/>
    <n v="1.48"/>
    <n v="4.29"/>
    <n v="0.56999999999999995"/>
    <n v="3.32"/>
    <n v="330.67"/>
    <n v="18.29"/>
    <n v="741.92"/>
  </r>
  <r>
    <s v="EU"/>
    <m/>
    <b v="1"/>
    <x v="9"/>
    <x v="3"/>
    <b v="0"/>
    <n v="24.25"/>
    <n v="11.55"/>
    <n v="54.41"/>
    <n v="-1.78"/>
    <n v="-6.84"/>
    <n v="-0.94"/>
    <n v="-3.99"/>
    <n v="198.51"/>
    <n v="10.98"/>
    <n v="445.39"/>
  </r>
  <r>
    <s v="EU"/>
    <m/>
    <b v="1"/>
    <x v="9"/>
    <x v="4"/>
    <b v="0"/>
    <n v="58.02"/>
    <n v="27.63"/>
    <n v="130.18"/>
    <n v="1.4"/>
    <n v="2.4700000000000002"/>
    <n v="0.45"/>
    <n v="3.14"/>
    <n v="480.78"/>
    <n v="26.59"/>
    <n v="1078.72"/>
  </r>
  <r>
    <s v="EU"/>
    <m/>
    <b v="1"/>
    <x v="9"/>
    <x v="5"/>
    <b v="0"/>
    <n v="6.38"/>
    <n v="3.04"/>
    <n v="14.31"/>
    <n v="0.22"/>
    <n v="3.57"/>
    <n v="0.08"/>
    <n v="0.49"/>
    <n v="54.43"/>
    <n v="3.01"/>
    <n v="122.12"/>
  </r>
  <r>
    <s v="EU"/>
    <m/>
    <b v="1"/>
    <x v="9"/>
    <x v="6"/>
    <b v="0"/>
    <n v="1.74"/>
    <n v="0.83"/>
    <n v="3.9"/>
    <n v="0.05"/>
    <n v="2.96"/>
    <n v="0.02"/>
    <n v="0.11"/>
    <n v="14.49"/>
    <n v="0.8"/>
    <n v="32.51"/>
  </r>
  <r>
    <s v="EU"/>
    <m/>
    <b v="1"/>
    <x v="9"/>
    <x v="7"/>
    <b v="0"/>
    <n v="12.4"/>
    <n v="5.9"/>
    <n v="27.82"/>
    <n v="0.01"/>
    <n v="0.08"/>
    <n v="-0.05"/>
    <n v="0.02"/>
    <n v="79.69"/>
    <n v="4.41"/>
    <n v="178.8"/>
  </r>
  <r>
    <s v="EU"/>
    <m/>
    <b v="1"/>
    <x v="9"/>
    <x v="8"/>
    <b v="1"/>
    <n v="210"/>
    <n v="100"/>
    <n v="471.17"/>
    <n v="1.67"/>
    <n v="0.8"/>
    <n v="0"/>
    <n v="3.75"/>
    <n v="1808.13"/>
    <n v="100"/>
    <n v="4056.86"/>
  </r>
  <r>
    <s v="EU"/>
    <m/>
    <b v="1"/>
    <x v="9"/>
    <x v="9"/>
    <b v="0"/>
    <n v="18.39"/>
    <n v="8.76"/>
    <n v="41.26"/>
    <n v="0.37"/>
    <n v="2.0499999999999998"/>
    <n v="0.11"/>
    <n v="0.83"/>
    <n v="186.84"/>
    <n v="10.33"/>
    <n v="419.21"/>
  </r>
  <r>
    <s v="EU"/>
    <m/>
    <b v="1"/>
    <x v="10"/>
    <x v="0"/>
    <b v="0"/>
    <n v="8.56"/>
    <n v="4.0999999999999996"/>
    <n v="19.21"/>
    <n v="0.53"/>
    <n v="6.6"/>
    <n v="0.25"/>
    <n v="1.19"/>
    <n v="83.27"/>
    <n v="4.13"/>
    <n v="186.83"/>
  </r>
  <r>
    <s v="EU"/>
    <m/>
    <b v="1"/>
    <x v="10"/>
    <x v="1"/>
    <b v="0"/>
    <n v="46.12"/>
    <n v="22.09"/>
    <n v="103.48"/>
    <n v="-3.7"/>
    <n v="-7.43"/>
    <n v="-1.81"/>
    <n v="-8.3000000000000007"/>
    <n v="434.13"/>
    <n v="21.52"/>
    <n v="974.05"/>
  </r>
  <r>
    <s v="EU"/>
    <m/>
    <b v="1"/>
    <x v="10"/>
    <x v="2"/>
    <b v="0"/>
    <n v="36.35"/>
    <n v="17.41"/>
    <n v="81.56"/>
    <n v="-6.25"/>
    <n v="-14.67"/>
    <n v="-3.03"/>
    <n v="-14.02"/>
    <n v="367.02"/>
    <n v="18.2"/>
    <n v="823.47"/>
  </r>
  <r>
    <s v="EU"/>
    <m/>
    <b v="1"/>
    <x v="10"/>
    <x v="3"/>
    <b v="0"/>
    <n v="24.51"/>
    <n v="11.74"/>
    <n v="54.99"/>
    <n v="2.52"/>
    <n v="11.46"/>
    <n v="1.19"/>
    <n v="5.65"/>
    <n v="223.02"/>
    <n v="11.06"/>
    <n v="500.39"/>
  </r>
  <r>
    <s v="EU"/>
    <m/>
    <b v="1"/>
    <x v="10"/>
    <x v="4"/>
    <b v="0"/>
    <n v="56.63"/>
    <n v="27.13"/>
    <n v="127.06"/>
    <n v="2.06"/>
    <n v="3.77"/>
    <n v="0.95"/>
    <n v="4.62"/>
    <n v="537.41"/>
    <n v="26.65"/>
    <n v="1205.77"/>
  </r>
  <r>
    <s v="EU"/>
    <m/>
    <b v="1"/>
    <x v="10"/>
    <x v="5"/>
    <b v="0"/>
    <n v="5.86"/>
    <n v="2.81"/>
    <n v="13.15"/>
    <n v="0.09"/>
    <n v="1.56"/>
    <n v="0.04"/>
    <n v="0.2"/>
    <n v="60.29"/>
    <n v="2.99"/>
    <n v="135.27000000000001"/>
  </r>
  <r>
    <s v="EU"/>
    <m/>
    <b v="1"/>
    <x v="10"/>
    <x v="6"/>
    <b v="0"/>
    <n v="1.71"/>
    <n v="0.82"/>
    <n v="3.84"/>
    <n v="0.3"/>
    <n v="21.28"/>
    <n v="0.14000000000000001"/>
    <n v="0.67"/>
    <n v="16.2"/>
    <n v="0.8"/>
    <n v="36.35"/>
  </r>
  <r>
    <s v="EU"/>
    <m/>
    <b v="1"/>
    <x v="10"/>
    <x v="7"/>
    <b v="0"/>
    <n v="9.1"/>
    <n v="4.3600000000000003"/>
    <n v="20.420000000000002"/>
    <n v="-0.78"/>
    <n v="-7.89"/>
    <n v="-0.38"/>
    <n v="-1.75"/>
    <n v="88.79"/>
    <n v="4.4000000000000004"/>
    <n v="199.22"/>
  </r>
  <r>
    <s v="EU"/>
    <m/>
    <b v="1"/>
    <x v="10"/>
    <x v="8"/>
    <b v="1"/>
    <n v="208.74"/>
    <n v="100"/>
    <n v="468.35"/>
    <n v="0.28000000000000003"/>
    <n v="0.13"/>
    <n v="0"/>
    <n v="0.63"/>
    <n v="2016.87"/>
    <n v="100"/>
    <n v="4525.21"/>
  </r>
  <r>
    <s v="EU"/>
    <m/>
    <b v="1"/>
    <x v="10"/>
    <x v="9"/>
    <b v="0"/>
    <n v="19.899999999999999"/>
    <n v="9.5299999999999994"/>
    <n v="44.65"/>
    <n v="5.51"/>
    <n v="38.29"/>
    <n v="2.63"/>
    <n v="12.36"/>
    <n v="206.74"/>
    <n v="10.25"/>
    <n v="463.86"/>
  </r>
  <r>
    <s v="EU"/>
    <m/>
    <b v="1"/>
    <x v="11"/>
    <x v="0"/>
    <b v="0"/>
    <n v="9.42"/>
    <n v="4.22"/>
    <n v="21.14"/>
    <n v="0.65"/>
    <n v="7.41"/>
    <n v="0.3"/>
    <n v="1.46"/>
    <n v="92.69"/>
    <n v="4.1399999999999997"/>
    <n v="207.97"/>
  </r>
  <r>
    <s v="EU"/>
    <m/>
    <b v="1"/>
    <x v="11"/>
    <x v="1"/>
    <b v="0"/>
    <n v="48.68"/>
    <n v="21.8"/>
    <n v="109.22"/>
    <n v="-7.25"/>
    <n v="-12.96"/>
    <n v="-3.21"/>
    <n v="-16.27"/>
    <n v="482.81"/>
    <n v="21.55"/>
    <n v="1083.27"/>
  </r>
  <r>
    <s v="EU"/>
    <m/>
    <b v="1"/>
    <x v="11"/>
    <x v="2"/>
    <b v="0"/>
    <n v="42.22"/>
    <n v="18.91"/>
    <n v="94.73"/>
    <n v="-6.37"/>
    <n v="-13.11"/>
    <n v="-2.82"/>
    <n v="-14.29"/>
    <n v="409.24"/>
    <n v="18.27"/>
    <n v="918.2"/>
  </r>
  <r>
    <s v="EU"/>
    <m/>
    <b v="1"/>
    <x v="11"/>
    <x v="3"/>
    <b v="0"/>
    <n v="20.57"/>
    <n v="9.2100000000000009"/>
    <n v="46.15"/>
    <n v="-0.69"/>
    <n v="-3.25"/>
    <n v="-0.3"/>
    <n v="-1.55"/>
    <n v="243.59"/>
    <n v="10.87"/>
    <n v="546.54"/>
  </r>
  <r>
    <s v="EU"/>
    <m/>
    <b v="1"/>
    <x v="11"/>
    <x v="4"/>
    <b v="0"/>
    <n v="56.55"/>
    <n v="25.33"/>
    <n v="126.88"/>
    <n v="-0.25"/>
    <n v="-0.44"/>
    <n v="-7.0000000000000007E-2"/>
    <n v="-0.56000000000000005"/>
    <n v="593.96"/>
    <n v="26.51"/>
    <n v="1332.65"/>
  </r>
  <r>
    <s v="EU"/>
    <m/>
    <b v="1"/>
    <x v="11"/>
    <x v="5"/>
    <b v="0"/>
    <n v="6.24"/>
    <n v="2.79"/>
    <n v="14"/>
    <n v="-0.03"/>
    <n v="-0.48"/>
    <n v="-0.01"/>
    <n v="-7.0000000000000007E-2"/>
    <n v="66.53"/>
    <n v="2.97"/>
    <n v="149.27000000000001"/>
  </r>
  <r>
    <s v="EU"/>
    <m/>
    <b v="1"/>
    <x v="11"/>
    <x v="6"/>
    <b v="0"/>
    <n v="1.68"/>
    <n v="0.75"/>
    <n v="3.77"/>
    <n v="-0.05"/>
    <n v="-2.89"/>
    <n v="-0.02"/>
    <n v="-0.11"/>
    <n v="17.88"/>
    <n v="0.8"/>
    <n v="40.119999999999997"/>
  </r>
  <r>
    <s v="EU"/>
    <m/>
    <b v="1"/>
    <x v="11"/>
    <x v="7"/>
    <b v="0"/>
    <n v="7.03"/>
    <n v="3.15"/>
    <n v="15.77"/>
    <n v="1.49"/>
    <n v="26.9"/>
    <n v="0.67"/>
    <n v="3.34"/>
    <n v="95.82"/>
    <n v="4.28"/>
    <n v="214.99"/>
  </r>
  <r>
    <s v="EU"/>
    <m/>
    <b v="1"/>
    <x v="11"/>
    <x v="8"/>
    <b v="1"/>
    <n v="223.26"/>
    <n v="100"/>
    <n v="500.92"/>
    <n v="-0.39"/>
    <n v="-0.17"/>
    <n v="0"/>
    <n v="-0.88"/>
    <n v="2240.13"/>
    <n v="100"/>
    <n v="5026.13"/>
  </r>
  <r>
    <s v="EU"/>
    <m/>
    <b v="1"/>
    <x v="11"/>
    <x v="9"/>
    <b v="0"/>
    <n v="30.87"/>
    <n v="13.83"/>
    <n v="69.260000000000005"/>
    <n v="12.11"/>
    <n v="64.55"/>
    <n v="5.44"/>
    <n v="27.17"/>
    <n v="237.61"/>
    <n v="10.61"/>
    <n v="533.12"/>
  </r>
  <r>
    <s v="EU"/>
    <m/>
    <b v="1"/>
    <x v="12"/>
    <x v="0"/>
    <b v="0"/>
    <n v="9.94"/>
    <n v="4.1500000000000004"/>
    <n v="22.3"/>
    <n v="0.97"/>
    <n v="10.81"/>
    <n v="0.38"/>
    <n v="2.1800000000000002"/>
    <n v="102.63"/>
    <n v="4.1399999999999997"/>
    <n v="230.27"/>
  </r>
  <r>
    <s v="EU"/>
    <m/>
    <b v="1"/>
    <x v="12"/>
    <x v="1"/>
    <b v="0"/>
    <n v="54.84"/>
    <n v="22.92"/>
    <n v="123.04"/>
    <n v="-2.56"/>
    <n v="-4.46"/>
    <n v="-1.19"/>
    <n v="-5.74"/>
    <n v="537.65"/>
    <n v="21.68"/>
    <n v="1206.31"/>
  </r>
  <r>
    <s v="EU"/>
    <m/>
    <b v="1"/>
    <x v="12"/>
    <x v="2"/>
    <b v="0"/>
    <n v="52.02"/>
    <n v="21.74"/>
    <n v="116.72"/>
    <n v="0.63"/>
    <n v="1.23"/>
    <n v="0.15"/>
    <n v="1.41"/>
    <n v="461.26"/>
    <n v="18.600000000000001"/>
    <n v="1034.92"/>
  </r>
  <r>
    <s v="EU"/>
    <m/>
    <b v="1"/>
    <x v="12"/>
    <x v="3"/>
    <b v="0"/>
    <n v="22.4"/>
    <n v="9.36"/>
    <n v="50.26"/>
    <n v="-0.97"/>
    <n v="-4.1500000000000004"/>
    <n v="-0.46"/>
    <n v="-2.1800000000000002"/>
    <n v="265.99"/>
    <n v="10.73"/>
    <n v="596.79999999999995"/>
  </r>
  <r>
    <s v="EU"/>
    <m/>
    <b v="1"/>
    <x v="12"/>
    <x v="4"/>
    <b v="0"/>
    <n v="59.89"/>
    <n v="25.03"/>
    <n v="134.37"/>
    <n v="0.65"/>
    <n v="1.1000000000000001"/>
    <n v="0.14000000000000001"/>
    <n v="1.46"/>
    <n v="653.85"/>
    <n v="26.37"/>
    <n v="1467.03"/>
  </r>
  <r>
    <s v="EU"/>
    <m/>
    <b v="1"/>
    <x v="12"/>
    <x v="5"/>
    <b v="0"/>
    <n v="6.61"/>
    <n v="2.76"/>
    <n v="14.83"/>
    <n v="-0.01"/>
    <n v="-0.15"/>
    <n v="-0.02"/>
    <n v="-0.02"/>
    <n v="73.14"/>
    <n v="2.95"/>
    <n v="164.1"/>
  </r>
  <r>
    <s v="EU"/>
    <m/>
    <b v="1"/>
    <x v="12"/>
    <x v="6"/>
    <b v="0"/>
    <n v="1.77"/>
    <n v="0.74"/>
    <n v="3.97"/>
    <n v="0.14000000000000001"/>
    <n v="8.59"/>
    <n v="0.06"/>
    <n v="0.31"/>
    <n v="19.649999999999999"/>
    <n v="0.79"/>
    <n v="44.09"/>
  </r>
  <r>
    <s v="EU"/>
    <m/>
    <b v="1"/>
    <x v="12"/>
    <x v="7"/>
    <b v="0"/>
    <n v="3.69"/>
    <n v="1.54"/>
    <n v="8.2799999999999994"/>
    <n v="0.19"/>
    <n v="5.43"/>
    <n v="7.0000000000000007E-2"/>
    <n v="0.43"/>
    <n v="99.51"/>
    <n v="4.01"/>
    <n v="223.27"/>
  </r>
  <r>
    <s v="EU"/>
    <m/>
    <b v="1"/>
    <x v="12"/>
    <x v="8"/>
    <b v="1"/>
    <n v="239.3"/>
    <n v="100"/>
    <n v="536.91"/>
    <n v="1.26"/>
    <n v="0.53"/>
    <n v="0"/>
    <n v="2.83"/>
    <n v="2479.4299999999998"/>
    <n v="100"/>
    <n v="5563.04"/>
  </r>
  <r>
    <s v="EU"/>
    <m/>
    <b v="1"/>
    <x v="12"/>
    <x v="9"/>
    <b v="0"/>
    <n v="28.14"/>
    <n v="11.76"/>
    <n v="63.14"/>
    <n v="2.2200000000000002"/>
    <n v="8.56"/>
    <n v="0.87"/>
    <n v="4.9800000000000004"/>
    <n v="265.75"/>
    <n v="10.72"/>
    <n v="596.26"/>
  </r>
  <r>
    <s v="EU"/>
    <m/>
    <b v="1"/>
    <x v="13"/>
    <x v="0"/>
    <b v="0"/>
    <n v="10.3"/>
    <n v="4.0599999999999996"/>
    <n v="23.11"/>
    <n v="0.83"/>
    <n v="8.76"/>
    <n v="0.32"/>
    <n v="1.86"/>
    <n v="112.93"/>
    <n v="4.13"/>
    <n v="253.38"/>
  </r>
  <r>
    <s v="EU"/>
    <m/>
    <b v="1"/>
    <x v="13"/>
    <x v="1"/>
    <b v="0"/>
    <n v="50.58"/>
    <n v="19.920000000000002"/>
    <n v="113.49"/>
    <n v="-8.49"/>
    <n v="-14.37"/>
    <n v="-3.4"/>
    <n v="-19.05"/>
    <n v="588.23"/>
    <n v="21.52"/>
    <n v="1319.8"/>
  </r>
  <r>
    <s v="EU"/>
    <m/>
    <b v="1"/>
    <x v="13"/>
    <x v="2"/>
    <b v="0"/>
    <n v="47.03"/>
    <n v="18.52"/>
    <n v="105.52"/>
    <n v="-9.5399999999999991"/>
    <n v="-16.86"/>
    <n v="-3.81"/>
    <n v="-21.4"/>
    <n v="508.29"/>
    <n v="18.600000000000001"/>
    <n v="1140.44"/>
  </r>
  <r>
    <s v="EU"/>
    <m/>
    <b v="1"/>
    <x v="13"/>
    <x v="3"/>
    <b v="0"/>
    <n v="24.92"/>
    <n v="9.81"/>
    <n v="55.91"/>
    <n v="1.97"/>
    <n v="8.58"/>
    <n v="0.75"/>
    <n v="4.42"/>
    <n v="290.91000000000003"/>
    <n v="10.64"/>
    <n v="652.71"/>
  </r>
  <r>
    <s v="EU"/>
    <m/>
    <b v="1"/>
    <x v="13"/>
    <x v="4"/>
    <b v="0"/>
    <n v="70.27"/>
    <n v="27.67"/>
    <n v="157.66"/>
    <n v="3.33"/>
    <n v="4.97"/>
    <n v="1.24"/>
    <n v="7.47"/>
    <n v="724.12"/>
    <n v="26.49"/>
    <n v="1624.69"/>
  </r>
  <r>
    <s v="EU"/>
    <m/>
    <b v="1"/>
    <x v="13"/>
    <x v="5"/>
    <b v="0"/>
    <n v="6.8"/>
    <n v="2.68"/>
    <n v="15.26"/>
    <n v="0.03"/>
    <n v="0.44"/>
    <n v="0.01"/>
    <n v="7.0000000000000007E-2"/>
    <n v="79.94"/>
    <n v="2.92"/>
    <n v="179.36"/>
  </r>
  <r>
    <s v="EU"/>
    <m/>
    <b v="1"/>
    <x v="13"/>
    <x v="6"/>
    <b v="0"/>
    <n v="1.69"/>
    <n v="0.67"/>
    <n v="3.79"/>
    <n v="-0.08"/>
    <n v="-4.5199999999999996"/>
    <n v="-0.03"/>
    <n v="-0.18"/>
    <n v="21.34"/>
    <n v="0.78"/>
    <n v="47.88"/>
  </r>
  <r>
    <s v="EU"/>
    <m/>
    <b v="1"/>
    <x v="13"/>
    <x v="7"/>
    <b v="0"/>
    <n v="2.73"/>
    <n v="1.08"/>
    <n v="6.13"/>
    <n v="-0.43"/>
    <n v="-13.61"/>
    <n v="-0.17"/>
    <n v="-0.96"/>
    <n v="102.24"/>
    <n v="3.74"/>
    <n v="229.39"/>
  </r>
  <r>
    <s v="EU"/>
    <m/>
    <b v="1"/>
    <x v="13"/>
    <x v="8"/>
    <b v="1"/>
    <n v="253.94"/>
    <n v="100"/>
    <n v="569.76"/>
    <n v="0.66"/>
    <n v="0.26"/>
    <n v="0"/>
    <n v="1.48"/>
    <n v="2733.37"/>
    <n v="100"/>
    <n v="6132.8"/>
  </r>
  <r>
    <s v="EU"/>
    <m/>
    <b v="1"/>
    <x v="13"/>
    <x v="9"/>
    <b v="0"/>
    <n v="39.619999999999997"/>
    <n v="15.6"/>
    <n v="88.89"/>
    <n v="13.04"/>
    <n v="49.06"/>
    <n v="5.1100000000000003"/>
    <n v="29.26"/>
    <n v="305.37"/>
    <n v="11.17"/>
    <n v="685.15"/>
  </r>
  <r>
    <s v="EU"/>
    <m/>
    <b v="1"/>
    <x v="14"/>
    <x v="0"/>
    <b v="0"/>
    <n v="10.4"/>
    <n v="4.0599999999999996"/>
    <n v="23.29"/>
    <n v="-0.13"/>
    <n v="-1.23"/>
    <n v="0.22"/>
    <n v="-0.28999999999999998"/>
    <n v="10.4"/>
    <n v="4.0599999999999996"/>
    <n v="23.29"/>
  </r>
  <r>
    <s v="EU"/>
    <m/>
    <b v="1"/>
    <x v="14"/>
    <x v="1"/>
    <b v="0"/>
    <n v="49.22"/>
    <n v="19.23"/>
    <n v="110.23"/>
    <n v="-15.6"/>
    <n v="-24.07"/>
    <n v="-4.4400000000000004"/>
    <n v="-34.94"/>
    <n v="49.22"/>
    <n v="19.23"/>
    <n v="110.23"/>
  </r>
  <r>
    <s v="EU"/>
    <m/>
    <b v="1"/>
    <x v="14"/>
    <x v="2"/>
    <b v="0"/>
    <n v="43.2"/>
    <n v="16.88"/>
    <n v="96.75"/>
    <n v="-17.670000000000002"/>
    <n v="-29.03"/>
    <n v="-5.35"/>
    <n v="-39.57"/>
    <n v="43.2"/>
    <n v="16.88"/>
    <n v="96.75"/>
  </r>
  <r>
    <s v="EU"/>
    <m/>
    <b v="1"/>
    <x v="14"/>
    <x v="3"/>
    <b v="0"/>
    <n v="30.35"/>
    <n v="11.86"/>
    <n v="67.97"/>
    <n v="5.65"/>
    <n v="22.87"/>
    <n v="2.84"/>
    <n v="12.65"/>
    <n v="30.35"/>
    <n v="11.86"/>
    <n v="67.97"/>
  </r>
  <r>
    <s v="EU"/>
    <m/>
    <b v="1"/>
    <x v="14"/>
    <x v="4"/>
    <b v="0"/>
    <n v="72.739999999999995"/>
    <n v="28.43"/>
    <n v="162.91"/>
    <n v="0.4"/>
    <n v="0.55000000000000004"/>
    <n v="2.02"/>
    <n v="0.9"/>
    <n v="72.739999999999995"/>
    <n v="28.43"/>
    <n v="162.91"/>
  </r>
  <r>
    <s v="EU"/>
    <m/>
    <b v="1"/>
    <x v="14"/>
    <x v="5"/>
    <b v="0"/>
    <n v="7.34"/>
    <n v="2.87"/>
    <n v="16.440000000000001"/>
    <n v="-1.04"/>
    <n v="-12.41"/>
    <n v="-0.19"/>
    <n v="-2.33"/>
    <n v="7.34"/>
    <n v="2.87"/>
    <n v="16.440000000000001"/>
  </r>
  <r>
    <s v="EU"/>
    <m/>
    <b v="1"/>
    <x v="14"/>
    <x v="6"/>
    <b v="0"/>
    <n v="1.48"/>
    <n v="0.57999999999999996"/>
    <n v="3.31"/>
    <n v="-0.45"/>
    <n v="-23.32"/>
    <n v="-0.12"/>
    <n v="-1.01"/>
    <n v="1.48"/>
    <n v="0.57999999999999996"/>
    <n v="3.31"/>
  </r>
  <r>
    <s v="EU"/>
    <m/>
    <b v="1"/>
    <x v="14"/>
    <x v="7"/>
    <b v="0"/>
    <n v="3.19"/>
    <n v="1.25"/>
    <n v="7.14"/>
    <n v="-0.2"/>
    <n v="-5.9"/>
    <n v="0.01"/>
    <n v="-0.45"/>
    <n v="3.19"/>
    <n v="1.25"/>
    <n v="7.14"/>
  </r>
  <r>
    <s v="EU"/>
    <m/>
    <b v="1"/>
    <x v="14"/>
    <x v="8"/>
    <b v="1"/>
    <n v="255.89"/>
    <n v="100"/>
    <n v="573.1"/>
    <n v="-17.989999999999998"/>
    <n v="-6.57"/>
    <n v="0"/>
    <n v="-40.29"/>
    <n v="255.89"/>
    <n v="100"/>
    <n v="573.1"/>
  </r>
  <r>
    <s v="EU"/>
    <m/>
    <b v="1"/>
    <x v="14"/>
    <x v="9"/>
    <b v="0"/>
    <n v="37.97"/>
    <n v="14.84"/>
    <n v="85.04"/>
    <n v="11.05"/>
    <n v="41.05"/>
    <n v="5.01"/>
    <n v="24.75"/>
    <n v="37.97"/>
    <n v="14.84"/>
    <n v="85.04"/>
  </r>
  <r>
    <s v="EU"/>
    <m/>
    <b v="1"/>
    <x v="15"/>
    <x v="0"/>
    <b v="0"/>
    <n v="10.16"/>
    <n v="4.18"/>
    <n v="22.75"/>
    <n v="0.38"/>
    <n v="3.89"/>
    <n v="-0.01"/>
    <n v="0.85"/>
    <n v="20.56"/>
    <n v="4.12"/>
    <n v="46.05"/>
  </r>
  <r>
    <s v="EU"/>
    <m/>
    <b v="1"/>
    <x v="15"/>
    <x v="1"/>
    <b v="0"/>
    <n v="53.11"/>
    <n v="21.86"/>
    <n v="118.95"/>
    <n v="0.8"/>
    <n v="1.53"/>
    <n v="-0.54"/>
    <n v="1.79"/>
    <n v="102.33"/>
    <n v="20.51"/>
    <n v="229.18"/>
  </r>
  <r>
    <s v="EU"/>
    <m/>
    <b v="1"/>
    <x v="15"/>
    <x v="2"/>
    <b v="0"/>
    <n v="45.94"/>
    <n v="18.91"/>
    <n v="102.89"/>
    <n v="0.26"/>
    <n v="0.56999999999999995"/>
    <n v="-0.65"/>
    <n v="0.57999999999999996"/>
    <n v="89.14"/>
    <n v="17.87"/>
    <n v="199.64"/>
  </r>
  <r>
    <s v="EU"/>
    <m/>
    <b v="1"/>
    <x v="15"/>
    <x v="3"/>
    <b v="0"/>
    <n v="28.74"/>
    <n v="11.83"/>
    <n v="64.37"/>
    <n v="7.04"/>
    <n v="32.44"/>
    <n v="2.54"/>
    <n v="15.77"/>
    <n v="59.09"/>
    <n v="11.84"/>
    <n v="132.34"/>
  </r>
  <r>
    <s v="EU"/>
    <m/>
    <b v="1"/>
    <x v="15"/>
    <x v="4"/>
    <b v="0"/>
    <n v="65.61"/>
    <n v="27"/>
    <n v="146.94"/>
    <n v="4.04"/>
    <n v="6.56"/>
    <n v="0.63"/>
    <n v="9.0500000000000007"/>
    <n v="138.35"/>
    <n v="27.73"/>
    <n v="309.85000000000002"/>
  </r>
  <r>
    <s v="EU"/>
    <m/>
    <b v="1"/>
    <x v="15"/>
    <x v="5"/>
    <b v="0"/>
    <n v="6.93"/>
    <n v="2.85"/>
    <n v="15.52"/>
    <n v="-0.24"/>
    <n v="-3.35"/>
    <n v="-0.22"/>
    <n v="-0.54"/>
    <n v="14.27"/>
    <n v="2.86"/>
    <n v="31.96"/>
  </r>
  <r>
    <s v="EU"/>
    <m/>
    <b v="1"/>
    <x v="15"/>
    <x v="6"/>
    <b v="0"/>
    <n v="1.35"/>
    <n v="0.56000000000000005"/>
    <n v="3.02"/>
    <n v="-0.34"/>
    <n v="-20.12"/>
    <n v="-0.16"/>
    <n v="-0.76"/>
    <n v="2.83"/>
    <n v="0.56999999999999995"/>
    <n v="6.34"/>
  </r>
  <r>
    <s v="EU"/>
    <m/>
    <b v="1"/>
    <x v="15"/>
    <x v="7"/>
    <b v="0"/>
    <n v="5.0999999999999996"/>
    <n v="2.1"/>
    <n v="11.42"/>
    <n v="0.64"/>
    <n v="14.35"/>
    <n v="0.19"/>
    <n v="1.43"/>
    <n v="8.2899999999999991"/>
    <n v="1.66"/>
    <n v="18.57"/>
  </r>
  <r>
    <s v="EU"/>
    <m/>
    <b v="1"/>
    <x v="15"/>
    <x v="8"/>
    <b v="1"/>
    <n v="243"/>
    <n v="100"/>
    <n v="544.23"/>
    <n v="9.51"/>
    <n v="4.07"/>
    <n v="0"/>
    <n v="21.3"/>
    <n v="498.89"/>
    <n v="100"/>
    <n v="1117.33"/>
  </r>
  <r>
    <s v="EU"/>
    <m/>
    <b v="1"/>
    <x v="15"/>
    <x v="9"/>
    <b v="0"/>
    <n v="26.06"/>
    <n v="10.72"/>
    <n v="58.36"/>
    <n v="-3.07"/>
    <n v="-10.54"/>
    <n v="-1.76"/>
    <n v="-6.88"/>
    <n v="64.03"/>
    <n v="12.83"/>
    <n v="143.4"/>
  </r>
  <r>
    <s v="EU"/>
    <m/>
    <b v="1"/>
    <x v="16"/>
    <x v="0"/>
    <b v="0"/>
    <n v="10.55"/>
    <n v="4.16"/>
    <n v="23.63"/>
    <n v="0.21"/>
    <n v="2.0299999999999998"/>
    <n v="-0.17"/>
    <n v="0.47"/>
    <n v="31.11"/>
    <n v="4.13"/>
    <n v="69.67"/>
  </r>
  <r>
    <s v="EU"/>
    <m/>
    <b v="1"/>
    <x v="16"/>
    <x v="1"/>
    <b v="0"/>
    <n v="50.97"/>
    <n v="20.100000000000001"/>
    <n v="114.15"/>
    <n v="2.74"/>
    <n v="5.68"/>
    <n v="-0.08"/>
    <n v="6.14"/>
    <n v="153.30000000000001"/>
    <n v="20.37"/>
    <n v="343.33"/>
  </r>
  <r>
    <s v="EU"/>
    <m/>
    <b v="1"/>
    <x v="16"/>
    <x v="2"/>
    <b v="0"/>
    <n v="40.119999999999997"/>
    <n v="15.82"/>
    <n v="89.85"/>
    <n v="-0.56999999999999995"/>
    <n v="-1.4"/>
    <n v="-1.21"/>
    <n v="-1.28"/>
    <n v="129.26"/>
    <n v="17.18"/>
    <n v="289.49"/>
  </r>
  <r>
    <s v="EU"/>
    <m/>
    <b v="1"/>
    <x v="16"/>
    <x v="3"/>
    <b v="0"/>
    <n v="34.04"/>
    <n v="13.42"/>
    <n v="76.239999999999995"/>
    <n v="6.76"/>
    <n v="24.78"/>
    <n v="2"/>
    <n v="15.14"/>
    <n v="93.13"/>
    <n v="12.38"/>
    <n v="208.58"/>
  </r>
  <r>
    <s v="EU"/>
    <m/>
    <b v="1"/>
    <x v="16"/>
    <x v="4"/>
    <b v="0"/>
    <n v="67.010000000000005"/>
    <n v="26.42"/>
    <n v="150.08000000000001"/>
    <n v="2.09"/>
    <n v="3.22"/>
    <n v="-0.75"/>
    <n v="4.68"/>
    <n v="205.36"/>
    <n v="27.29"/>
    <n v="459.93"/>
  </r>
  <r>
    <s v="EU"/>
    <m/>
    <b v="1"/>
    <x v="16"/>
    <x v="5"/>
    <b v="0"/>
    <n v="7.38"/>
    <n v="2.91"/>
    <n v="16.53"/>
    <n v="0.1"/>
    <n v="1.37"/>
    <n v="-0.14000000000000001"/>
    <n v="0.22"/>
    <n v="21.65"/>
    <n v="2.88"/>
    <n v="48.49"/>
  </r>
  <r>
    <s v="EU"/>
    <m/>
    <b v="1"/>
    <x v="16"/>
    <x v="6"/>
    <b v="0"/>
    <n v="1.46"/>
    <n v="0.57999999999999996"/>
    <n v="3.27"/>
    <n v="-0.38"/>
    <n v="-20.65"/>
    <n v="-0.19"/>
    <n v="-0.85"/>
    <n v="4.29"/>
    <n v="0.56999999999999995"/>
    <n v="9.61"/>
  </r>
  <r>
    <s v="EU"/>
    <m/>
    <b v="1"/>
    <x v="16"/>
    <x v="7"/>
    <b v="0"/>
    <n v="7.42"/>
    <n v="2.93"/>
    <n v="16.62"/>
    <n v="-1.48"/>
    <n v="-16.63"/>
    <n v="-0.79"/>
    <n v="-3.31"/>
    <n v="15.71"/>
    <n v="2.09"/>
    <n v="35.18"/>
  </r>
  <r>
    <s v="EU"/>
    <m/>
    <b v="1"/>
    <x v="16"/>
    <x v="8"/>
    <b v="1"/>
    <n v="253.63"/>
    <n v="100"/>
    <n v="568.04"/>
    <n v="14.68"/>
    <n v="6.14"/>
    <n v="0"/>
    <n v="32.880000000000003"/>
    <n v="752.52"/>
    <n v="100"/>
    <n v="1685.36"/>
  </r>
  <r>
    <s v="EU"/>
    <m/>
    <b v="1"/>
    <x v="16"/>
    <x v="9"/>
    <b v="0"/>
    <n v="34.68"/>
    <n v="13.67"/>
    <n v="77.67"/>
    <n v="5.21"/>
    <n v="17.68"/>
    <n v="1.34"/>
    <n v="11.67"/>
    <n v="98.71"/>
    <n v="13.12"/>
    <n v="221.07"/>
  </r>
  <r>
    <s v="EU"/>
    <m/>
    <b v="1"/>
    <x v="17"/>
    <x v="0"/>
    <b v="0"/>
    <n v="9.52"/>
    <n v="4.5"/>
    <n v="21.32"/>
    <n v="-0.08"/>
    <n v="-0.83"/>
    <n v="0.01"/>
    <n v="-0.18"/>
    <n v="40.630000000000003"/>
    <n v="4.21"/>
    <n v="91"/>
  </r>
  <r>
    <s v="EU"/>
    <m/>
    <b v="1"/>
    <x v="17"/>
    <x v="1"/>
    <b v="0"/>
    <n v="37.76"/>
    <n v="17.84"/>
    <n v="84.57"/>
    <n v="-6.34"/>
    <n v="-14.38"/>
    <n v="-2.79"/>
    <n v="-14.2"/>
    <n v="191.06"/>
    <n v="19.82"/>
    <n v="427.9"/>
  </r>
  <r>
    <s v="EU"/>
    <m/>
    <b v="1"/>
    <x v="17"/>
    <x v="2"/>
    <b v="0"/>
    <n v="26.6"/>
    <n v="12.57"/>
    <n v="59.57"/>
    <n v="-8.51"/>
    <n v="-24.24"/>
    <n v="-3.85"/>
    <n v="-19.059999999999999"/>
    <n v="155.86000000000001"/>
    <n v="16.170000000000002"/>
    <n v="349.07"/>
  </r>
  <r>
    <s v="EU"/>
    <m/>
    <b v="1"/>
    <x v="17"/>
    <x v="3"/>
    <b v="0"/>
    <n v="35.42"/>
    <n v="16.739999999999998"/>
    <n v="79.33"/>
    <n v="12.99"/>
    <n v="57.91"/>
    <n v="6.25"/>
    <n v="29.09"/>
    <n v="128.55000000000001"/>
    <n v="13.33"/>
    <n v="287.89999999999998"/>
  </r>
  <r>
    <s v="EU"/>
    <m/>
    <b v="1"/>
    <x v="17"/>
    <x v="4"/>
    <b v="0"/>
    <n v="56.95"/>
    <n v="26.91"/>
    <n v="127.55"/>
    <n v="-2.3199999999999998"/>
    <n v="-3.91"/>
    <n v="-0.81"/>
    <n v="-5.2"/>
    <n v="262.31"/>
    <n v="27.21"/>
    <n v="587.48"/>
  </r>
  <r>
    <s v="EU"/>
    <m/>
    <b v="1"/>
    <x v="17"/>
    <x v="5"/>
    <b v="0"/>
    <n v="6.32"/>
    <n v="2.99"/>
    <n v="14.15"/>
    <n v="-0.06"/>
    <n v="-0.94"/>
    <n v="0.01"/>
    <n v="-0.13"/>
    <n v="27.97"/>
    <n v="2.9"/>
    <n v="62.64"/>
  </r>
  <r>
    <s v="EU"/>
    <m/>
    <b v="1"/>
    <x v="17"/>
    <x v="6"/>
    <b v="0"/>
    <n v="1.39"/>
    <n v="0.66"/>
    <n v="3.11"/>
    <n v="-0.46"/>
    <n v="-24.86"/>
    <n v="-0.21"/>
    <n v="-1.03"/>
    <n v="5.68"/>
    <n v="0.59"/>
    <n v="12.72"/>
  </r>
  <r>
    <s v="EU"/>
    <m/>
    <b v="1"/>
    <x v="17"/>
    <x v="7"/>
    <b v="0"/>
    <n v="11.7"/>
    <n v="5.53"/>
    <n v="26.2"/>
    <n v="0.92"/>
    <n v="8.5299999999999994"/>
    <n v="0.49"/>
    <n v="2.06"/>
    <n v="27.41"/>
    <n v="2.84"/>
    <n v="61.39"/>
  </r>
  <r>
    <s v="EU"/>
    <m/>
    <b v="1"/>
    <x v="17"/>
    <x v="8"/>
    <b v="1"/>
    <n v="211.63"/>
    <n v="100"/>
    <n v="473.97"/>
    <n v="-2.15"/>
    <n v="-1.01"/>
    <n v="0"/>
    <n v="-4.82"/>
    <n v="964.15"/>
    <n v="100"/>
    <n v="2159.33"/>
  </r>
  <r>
    <s v="EU"/>
    <m/>
    <b v="1"/>
    <x v="17"/>
    <x v="9"/>
    <b v="0"/>
    <n v="25.97"/>
    <n v="12.27"/>
    <n v="58.16"/>
    <n v="1.71"/>
    <n v="7.05"/>
    <n v="0.92"/>
    <n v="3.83"/>
    <n v="124.68"/>
    <n v="12.93"/>
    <n v="279.24"/>
  </r>
  <r>
    <s v="EU"/>
    <m/>
    <b v="1"/>
    <x v="18"/>
    <x v="0"/>
    <b v="0"/>
    <n v="8.93"/>
    <n v="4.28"/>
    <n v="20"/>
    <n v="-0.17"/>
    <n v="-1.87"/>
    <n v="0"/>
    <n v="-0.38"/>
    <n v="49.56"/>
    <n v="4.2300000000000004"/>
    <n v="111"/>
  </r>
  <r>
    <s v="EU"/>
    <m/>
    <b v="1"/>
    <x v="18"/>
    <x v="1"/>
    <b v="0"/>
    <n v="39.36"/>
    <n v="18.86"/>
    <n v="88.15"/>
    <n v="-6.53"/>
    <n v="-14.23"/>
    <n v="-2.72"/>
    <n v="-14.62"/>
    <n v="230.42"/>
    <n v="19.649999999999999"/>
    <n v="516.04999999999995"/>
  </r>
  <r>
    <s v="EU"/>
    <m/>
    <b v="1"/>
    <x v="18"/>
    <x v="2"/>
    <b v="0"/>
    <n v="27.57"/>
    <n v="13.21"/>
    <n v="61.75"/>
    <n v="-6.02"/>
    <n v="-17.920000000000002"/>
    <n v="-2.58"/>
    <n v="-13.48"/>
    <n v="183.43"/>
    <n v="15.64"/>
    <n v="410.81"/>
  </r>
  <r>
    <s v="EU"/>
    <m/>
    <b v="1"/>
    <x v="18"/>
    <x v="3"/>
    <b v="0"/>
    <n v="36.799999999999997"/>
    <n v="17.63"/>
    <n v="82.42"/>
    <n v="9.23"/>
    <n v="33.479999999999997"/>
    <n v="4.67"/>
    <n v="20.67"/>
    <n v="165.35"/>
    <n v="14.1"/>
    <n v="370.32"/>
  </r>
  <r>
    <s v="EU"/>
    <m/>
    <b v="1"/>
    <x v="18"/>
    <x v="4"/>
    <b v="0"/>
    <n v="54.5"/>
    <n v="26.12"/>
    <n v="122.06"/>
    <n v="-1.62"/>
    <n v="-2.89"/>
    <n v="-0.27"/>
    <n v="-3.63"/>
    <n v="316.81"/>
    <n v="27.01"/>
    <n v="709.54"/>
  </r>
  <r>
    <s v="EU"/>
    <m/>
    <b v="1"/>
    <x v="18"/>
    <x v="5"/>
    <b v="0"/>
    <n v="6.22"/>
    <n v="2.98"/>
    <n v="13.93"/>
    <n v="-0.12"/>
    <n v="-1.89"/>
    <n v="0"/>
    <n v="-0.27"/>
    <n v="34.19"/>
    <n v="2.92"/>
    <n v="76.569999999999993"/>
  </r>
  <r>
    <s v="EU"/>
    <m/>
    <b v="1"/>
    <x v="18"/>
    <x v="6"/>
    <b v="0"/>
    <n v="1.43"/>
    <n v="0.69"/>
    <n v="3.2"/>
    <n v="-0.45"/>
    <n v="-23.94"/>
    <n v="-0.19"/>
    <n v="-1.01"/>
    <n v="7.11"/>
    <n v="0.61"/>
    <n v="15.92"/>
  </r>
  <r>
    <s v="EU"/>
    <m/>
    <b v="1"/>
    <x v="18"/>
    <x v="7"/>
    <b v="0"/>
    <n v="13.88"/>
    <n v="6.65"/>
    <n v="31.09"/>
    <n v="0.9"/>
    <n v="6.93"/>
    <n v="0.55000000000000004"/>
    <n v="2.02"/>
    <n v="41.29"/>
    <n v="3.52"/>
    <n v="92.47"/>
  </r>
  <r>
    <s v="EU"/>
    <m/>
    <b v="1"/>
    <x v="18"/>
    <x v="8"/>
    <b v="1"/>
    <n v="208.68"/>
    <n v="100"/>
    <n v="467.36"/>
    <n v="-4"/>
    <n v="-1.88"/>
    <n v="0"/>
    <n v="-8.9600000000000009"/>
    <n v="1172.83"/>
    <n v="100"/>
    <n v="2626.7"/>
  </r>
  <r>
    <s v="EU"/>
    <m/>
    <b v="1"/>
    <x v="18"/>
    <x v="9"/>
    <b v="0"/>
    <n v="19.989999999999998"/>
    <n v="9.58"/>
    <n v="44.77"/>
    <n v="0.78"/>
    <n v="4.0599999999999996"/>
    <n v="0.55000000000000004"/>
    <n v="1.75"/>
    <n v="144.66999999999999"/>
    <n v="12.34"/>
    <n v="324.01"/>
  </r>
  <r>
    <s v="EU"/>
    <m/>
    <b v="1"/>
    <x v="19"/>
    <x v="0"/>
    <b v="0"/>
    <n v="8.35"/>
    <n v="4.0599999999999996"/>
    <n v="18.7"/>
    <n v="-0.11"/>
    <n v="-1.3"/>
    <n v="0.02"/>
    <n v="-0.25"/>
    <n v="57.91"/>
    <n v="4.2"/>
    <n v="129.69999999999999"/>
  </r>
  <r>
    <s v="EU"/>
    <m/>
    <b v="1"/>
    <x v="19"/>
    <x v="1"/>
    <b v="0"/>
    <n v="41.08"/>
    <n v="19.98"/>
    <n v="92"/>
    <n v="-1.1599999999999999"/>
    <n v="-2.75"/>
    <n v="-0.22"/>
    <n v="-2.6"/>
    <n v="271.5"/>
    <n v="19.7"/>
    <n v="608.05999999999995"/>
  </r>
  <r>
    <s v="EU"/>
    <m/>
    <b v="1"/>
    <x v="19"/>
    <x v="2"/>
    <b v="0"/>
    <n v="31.2"/>
    <n v="15.17"/>
    <n v="69.88"/>
    <n v="-5.91"/>
    <n v="-15.93"/>
    <n v="-2.57"/>
    <n v="-13.24"/>
    <n v="214.63"/>
    <n v="15.57"/>
    <n v="480.69"/>
  </r>
  <r>
    <s v="EU"/>
    <m/>
    <b v="1"/>
    <x v="19"/>
    <x v="3"/>
    <b v="0"/>
    <n v="31.72"/>
    <n v="15.43"/>
    <n v="71.040000000000006"/>
    <n v="5.86"/>
    <n v="22.66"/>
    <n v="3.07"/>
    <n v="13.12"/>
    <n v="197.07"/>
    <n v="14.3"/>
    <n v="441.36"/>
  </r>
  <r>
    <s v="EU"/>
    <m/>
    <b v="1"/>
    <x v="19"/>
    <x v="4"/>
    <b v="0"/>
    <n v="54.39"/>
    <n v="26.45"/>
    <n v="121.81"/>
    <n v="1"/>
    <n v="1.87"/>
    <n v="0.92"/>
    <n v="2.2400000000000002"/>
    <n v="371.2"/>
    <n v="26.93"/>
    <n v="831.35"/>
  </r>
  <r>
    <s v="EU"/>
    <m/>
    <b v="1"/>
    <x v="19"/>
    <x v="5"/>
    <b v="0"/>
    <n v="5.85"/>
    <n v="2.84"/>
    <n v="13.1"/>
    <n v="-0.26"/>
    <n v="-4.26"/>
    <n v="-0.08"/>
    <n v="-0.57999999999999996"/>
    <n v="40.04"/>
    <n v="2.9"/>
    <n v="89.67"/>
  </r>
  <r>
    <s v="EU"/>
    <m/>
    <b v="1"/>
    <x v="19"/>
    <x v="6"/>
    <b v="0"/>
    <n v="1.28"/>
    <n v="0.62"/>
    <n v="2.87"/>
    <n v="-0.46"/>
    <n v="-26.44"/>
    <n v="-0.21"/>
    <n v="-1.03"/>
    <n v="8.39"/>
    <n v="0.61"/>
    <n v="18.79"/>
  </r>
  <r>
    <s v="EU"/>
    <m/>
    <b v="1"/>
    <x v="19"/>
    <x v="7"/>
    <b v="0"/>
    <n v="13.44"/>
    <n v="6.54"/>
    <n v="30.1"/>
    <n v="-0.11"/>
    <n v="-0.81"/>
    <n v="0.06"/>
    <n v="-0.25"/>
    <n v="54.73"/>
    <n v="3.97"/>
    <n v="122.57"/>
  </r>
  <r>
    <s v="EU"/>
    <m/>
    <b v="1"/>
    <x v="19"/>
    <x v="8"/>
    <b v="1"/>
    <n v="205.63"/>
    <n v="100"/>
    <n v="460.53"/>
    <n v="-3.53"/>
    <n v="-1.69"/>
    <n v="0"/>
    <n v="-7.91"/>
    <n v="1378.46"/>
    <n v="100"/>
    <n v="3087.23"/>
  </r>
  <r>
    <s v="EU"/>
    <m/>
    <b v="1"/>
    <x v="19"/>
    <x v="9"/>
    <b v="0"/>
    <n v="18.32"/>
    <n v="8.91"/>
    <n v="41.03"/>
    <n v="-2.38"/>
    <n v="-11.5"/>
    <n v="-0.99"/>
    <n v="-5.33"/>
    <n v="162.99"/>
    <n v="11.82"/>
    <n v="365.04"/>
  </r>
  <r>
    <s v="EU"/>
    <m/>
    <b v="1"/>
    <x v="20"/>
    <x v="0"/>
    <b v="0"/>
    <n v="8.65"/>
    <n v="3.96"/>
    <n v="19.37"/>
    <n v="0.24"/>
    <n v="2.85"/>
    <n v="7.0000000000000007E-2"/>
    <n v="0.54"/>
    <n v="66.56"/>
    <n v="4.17"/>
    <n v="149.07"/>
  </r>
  <r>
    <s v="EU"/>
    <m/>
    <b v="1"/>
    <x v="20"/>
    <x v="1"/>
    <b v="0"/>
    <n v="48.49"/>
    <n v="22.19"/>
    <n v="108.6"/>
    <n v="2.46"/>
    <n v="5.34"/>
    <n v="0.9"/>
    <n v="5.51"/>
    <n v="319.99"/>
    <n v="20.04"/>
    <n v="716.66"/>
  </r>
  <r>
    <s v="EU"/>
    <m/>
    <b v="1"/>
    <x v="20"/>
    <x v="2"/>
    <b v="0"/>
    <n v="38.82"/>
    <n v="17.77"/>
    <n v="86.94"/>
    <n v="-2.86"/>
    <n v="-6.86"/>
    <n v="-1.51"/>
    <n v="-6.41"/>
    <n v="253.45"/>
    <n v="15.87"/>
    <n v="567.63"/>
  </r>
  <r>
    <s v="EU"/>
    <m/>
    <b v="1"/>
    <x v="20"/>
    <x v="3"/>
    <b v="0"/>
    <n v="26.62"/>
    <n v="12.18"/>
    <n v="59.62"/>
    <n v="1.9"/>
    <n v="7.69"/>
    <n v="0.75"/>
    <n v="4.26"/>
    <n v="223.69"/>
    <n v="14.01"/>
    <n v="500.98"/>
  </r>
  <r>
    <s v="EU"/>
    <m/>
    <b v="1"/>
    <x v="20"/>
    <x v="4"/>
    <b v="0"/>
    <n v="58.06"/>
    <n v="26.57"/>
    <n v="130.03"/>
    <n v="2.91"/>
    <n v="5.28"/>
    <n v="1.06"/>
    <n v="6.52"/>
    <n v="429.26"/>
    <n v="26.88"/>
    <n v="961.38"/>
  </r>
  <r>
    <s v="EU"/>
    <m/>
    <b v="1"/>
    <x v="20"/>
    <x v="5"/>
    <b v="0"/>
    <n v="6.38"/>
    <n v="2.92"/>
    <n v="14.29"/>
    <n v="-0.01"/>
    <n v="-0.16"/>
    <n v="-0.04"/>
    <n v="-0.02"/>
    <n v="46.42"/>
    <n v="2.91"/>
    <n v="103.96"/>
  </r>
  <r>
    <s v="EU"/>
    <m/>
    <b v="1"/>
    <x v="20"/>
    <x v="6"/>
    <b v="0"/>
    <n v="1.38"/>
    <n v="0.63"/>
    <n v="3.09"/>
    <n v="-0.44"/>
    <n v="-24.18"/>
    <n v="-0.21"/>
    <n v="-0.99"/>
    <n v="9.77"/>
    <n v="0.61"/>
    <n v="21.88"/>
  </r>
  <r>
    <s v="EU"/>
    <m/>
    <b v="1"/>
    <x v="20"/>
    <x v="7"/>
    <b v="0"/>
    <n v="15.56"/>
    <n v="7.12"/>
    <n v="34.85"/>
    <n v="2.33"/>
    <n v="17.61"/>
    <n v="1"/>
    <n v="5.22"/>
    <n v="70.290000000000006"/>
    <n v="4.4000000000000004"/>
    <n v="157.41999999999999"/>
  </r>
  <r>
    <s v="EU"/>
    <m/>
    <b v="1"/>
    <x v="20"/>
    <x v="8"/>
    <b v="1"/>
    <n v="218.49"/>
    <n v="100"/>
    <n v="489.34"/>
    <n v="2.2999999999999998"/>
    <n v="1.06"/>
    <n v="0"/>
    <n v="5.15"/>
    <n v="1596.95"/>
    <n v="100"/>
    <n v="3576.57"/>
  </r>
  <r>
    <s v="EU"/>
    <m/>
    <b v="1"/>
    <x v="20"/>
    <x v="9"/>
    <b v="0"/>
    <n v="14.53"/>
    <n v="6.65"/>
    <n v="32.54"/>
    <n v="-4.2300000000000004"/>
    <n v="-22.55"/>
    <n v="-2.0299999999999998"/>
    <n v="-9.4700000000000006"/>
    <n v="177.52"/>
    <n v="11.12"/>
    <n v="397.58"/>
  </r>
  <r>
    <s v="EU"/>
    <m/>
    <b v="1"/>
    <x v="21"/>
    <x v="0"/>
    <b v="0"/>
    <n v="8.84"/>
    <n v="4.17"/>
    <n v="19.8"/>
    <n v="0.35"/>
    <n v="4.12"/>
    <n v="0.13"/>
    <n v="0.78"/>
    <n v="75.400000000000006"/>
    <n v="4.17"/>
    <n v="168.87"/>
  </r>
  <r>
    <s v="EU"/>
    <m/>
    <b v="1"/>
    <x v="21"/>
    <x v="1"/>
    <b v="0"/>
    <n v="46.55"/>
    <n v="21.98"/>
    <n v="104.25"/>
    <n v="2.16"/>
    <n v="4.87"/>
    <n v="0.84"/>
    <n v="4.84"/>
    <n v="366.54"/>
    <n v="20.260000000000002"/>
    <n v="820.91"/>
  </r>
  <r>
    <s v="EU"/>
    <m/>
    <b v="1"/>
    <x v="21"/>
    <x v="2"/>
    <b v="0"/>
    <n v="39.04"/>
    <n v="18.43"/>
    <n v="87.43"/>
    <n v="3.1"/>
    <n v="8.6300000000000008"/>
    <n v="1.32"/>
    <n v="6.94"/>
    <n v="292.49"/>
    <n v="16.170000000000002"/>
    <n v="655.07000000000005"/>
  </r>
  <r>
    <s v="EU"/>
    <m/>
    <b v="1"/>
    <x v="21"/>
    <x v="3"/>
    <b v="0"/>
    <n v="22.2"/>
    <n v="10.48"/>
    <n v="49.72"/>
    <n v="-2.0499999999999998"/>
    <n v="-8.4499999999999993"/>
    <n v="-1.07"/>
    <n v="-4.59"/>
    <n v="245.89"/>
    <n v="13.59"/>
    <n v="550.70000000000005"/>
  </r>
  <r>
    <s v="EU"/>
    <m/>
    <b v="1"/>
    <x v="21"/>
    <x v="4"/>
    <b v="0"/>
    <n v="54.97"/>
    <n v="25.95"/>
    <n v="123.11"/>
    <n v="-3.05"/>
    <n v="-5.26"/>
    <n v="-1.68"/>
    <n v="-6.83"/>
    <n v="484.23"/>
    <n v="26.77"/>
    <n v="1084.49"/>
  </r>
  <r>
    <s v="EU"/>
    <m/>
    <b v="1"/>
    <x v="21"/>
    <x v="5"/>
    <b v="0"/>
    <n v="6.49"/>
    <n v="3.06"/>
    <n v="14.54"/>
    <n v="0.11"/>
    <n v="1.72"/>
    <n v="0.02"/>
    <n v="0.25"/>
    <n v="52.91"/>
    <n v="2.93"/>
    <n v="118.5"/>
  </r>
  <r>
    <s v="EU"/>
    <m/>
    <b v="1"/>
    <x v="21"/>
    <x v="6"/>
    <b v="0"/>
    <n v="1.39"/>
    <n v="0.66"/>
    <n v="3.11"/>
    <n v="-0.35"/>
    <n v="-20.11"/>
    <n v="-0.17"/>
    <n v="-0.78"/>
    <n v="11.16"/>
    <n v="0.62"/>
    <n v="24.99"/>
  </r>
  <r>
    <s v="EU"/>
    <m/>
    <b v="1"/>
    <x v="21"/>
    <x v="7"/>
    <b v="0"/>
    <n v="13.4"/>
    <n v="6.33"/>
    <n v="30.01"/>
    <n v="1"/>
    <n v="8.06"/>
    <n v="0.43"/>
    <n v="2.2400000000000002"/>
    <n v="83.69"/>
    <n v="4.63"/>
    <n v="187.43"/>
  </r>
  <r>
    <s v="EU"/>
    <m/>
    <b v="1"/>
    <x v="21"/>
    <x v="8"/>
    <b v="1"/>
    <n v="211.79"/>
    <n v="100"/>
    <n v="474.33"/>
    <n v="1.79"/>
    <n v="0.85"/>
    <n v="0"/>
    <n v="4.01"/>
    <n v="1808.74"/>
    <n v="100"/>
    <n v="4050.9"/>
  </r>
  <r>
    <s v="EU"/>
    <m/>
    <b v="1"/>
    <x v="21"/>
    <x v="9"/>
    <b v="0"/>
    <n v="18.91"/>
    <n v="8.93"/>
    <n v="42.35"/>
    <n v="0.52"/>
    <n v="2.83"/>
    <n v="0.17"/>
    <n v="1.1599999999999999"/>
    <n v="196.43"/>
    <n v="10.86"/>
    <n v="439.93"/>
  </r>
  <r>
    <s v="EU"/>
    <m/>
    <b v="1"/>
    <x v="22"/>
    <x v="0"/>
    <b v="0"/>
    <n v="8.89"/>
    <n v="4.25"/>
    <n v="19.91"/>
    <n v="0.33"/>
    <n v="3.86"/>
    <n v="0.15"/>
    <n v="0.74"/>
    <n v="84.29"/>
    <n v="4.18"/>
    <n v="188.78"/>
  </r>
  <r>
    <s v="EU"/>
    <m/>
    <b v="1"/>
    <x v="22"/>
    <x v="1"/>
    <b v="0"/>
    <n v="46.54"/>
    <n v="22.23"/>
    <n v="104.23"/>
    <n v="0.42"/>
    <n v="0.91"/>
    <n v="0.14000000000000001"/>
    <n v="0.94"/>
    <n v="413.08"/>
    <n v="20.47"/>
    <n v="925.14"/>
  </r>
  <r>
    <s v="EU"/>
    <m/>
    <b v="1"/>
    <x v="22"/>
    <x v="2"/>
    <b v="0"/>
    <n v="37.64"/>
    <n v="17.98"/>
    <n v="84.3"/>
    <n v="1.29"/>
    <n v="3.55"/>
    <n v="0.56999999999999995"/>
    <n v="2.89"/>
    <n v="330.13"/>
    <n v="16.36"/>
    <n v="739.37"/>
  </r>
  <r>
    <s v="EU"/>
    <m/>
    <b v="1"/>
    <x v="22"/>
    <x v="3"/>
    <b v="0"/>
    <n v="20.25"/>
    <n v="9.67"/>
    <n v="45.35"/>
    <n v="-4.26"/>
    <n v="-17.38"/>
    <n v="-2.0699999999999998"/>
    <n v="-9.5399999999999991"/>
    <n v="266.14"/>
    <n v="13.19"/>
    <n v="596.04999999999995"/>
  </r>
  <r>
    <s v="EU"/>
    <m/>
    <b v="1"/>
    <x v="22"/>
    <x v="4"/>
    <b v="0"/>
    <n v="55.14"/>
    <n v="26.34"/>
    <n v="123.49"/>
    <n v="-1.49"/>
    <n v="-2.63"/>
    <n v="-0.79"/>
    <n v="-3.34"/>
    <n v="539.37"/>
    <n v="26.73"/>
    <n v="1207.99"/>
  </r>
  <r>
    <s v="EU"/>
    <m/>
    <b v="1"/>
    <x v="22"/>
    <x v="5"/>
    <b v="0"/>
    <n v="6.29"/>
    <n v="3"/>
    <n v="14.09"/>
    <n v="0.43"/>
    <n v="7.34"/>
    <n v="0.19"/>
    <n v="0.96"/>
    <n v="59.2"/>
    <n v="2.93"/>
    <n v="132.59"/>
  </r>
  <r>
    <s v="EU"/>
    <m/>
    <b v="1"/>
    <x v="22"/>
    <x v="6"/>
    <b v="0"/>
    <n v="1.32"/>
    <n v="0.63"/>
    <n v="2.96"/>
    <n v="-0.39"/>
    <n v="-22.81"/>
    <n v="-0.19"/>
    <n v="-0.87"/>
    <n v="12.48"/>
    <n v="0.62"/>
    <n v="27.95"/>
  </r>
  <r>
    <s v="EU"/>
    <m/>
    <b v="1"/>
    <x v="22"/>
    <x v="7"/>
    <b v="0"/>
    <n v="10.9"/>
    <n v="5.21"/>
    <n v="24.41"/>
    <n v="1.8"/>
    <n v="19.78"/>
    <n v="0.85"/>
    <n v="4.03"/>
    <n v="94.59"/>
    <n v="4.6900000000000004"/>
    <n v="211.85"/>
  </r>
  <r>
    <s v="EU"/>
    <m/>
    <b v="1"/>
    <x v="22"/>
    <x v="8"/>
    <b v="1"/>
    <n v="209.33"/>
    <n v="100"/>
    <n v="468.82"/>
    <n v="0.59"/>
    <n v="0.28000000000000003"/>
    <n v="0"/>
    <n v="1.32"/>
    <n v="2018.07"/>
    <n v="100"/>
    <n v="4519.72"/>
  </r>
  <r>
    <s v="EU"/>
    <m/>
    <b v="1"/>
    <x v="22"/>
    <x v="9"/>
    <b v="0"/>
    <n v="22.36"/>
    <n v="10.68"/>
    <n v="50.08"/>
    <n v="2.46"/>
    <n v="12.36"/>
    <n v="1.1499999999999999"/>
    <n v="5.51"/>
    <n v="218.79"/>
    <n v="10.84"/>
    <n v="490.01"/>
  </r>
  <r>
    <s v="EU"/>
    <m/>
    <b v="1"/>
    <x v="23"/>
    <x v="0"/>
    <b v="0"/>
    <n v="9.7799999999999994"/>
    <n v="4.3600000000000003"/>
    <n v="21.9"/>
    <n v="0.36"/>
    <n v="3.82"/>
    <n v="0.14000000000000001"/>
    <n v="0.81"/>
    <n v="94.07"/>
    <n v="4.2"/>
    <n v="210.68"/>
  </r>
  <r>
    <s v="EU"/>
    <m/>
    <b v="1"/>
    <x v="23"/>
    <x v="1"/>
    <b v="0"/>
    <n v="48.95"/>
    <n v="21.83"/>
    <n v="109.63"/>
    <n v="0.27"/>
    <n v="0.55000000000000004"/>
    <n v="0.03"/>
    <n v="0.6"/>
    <n v="462.03"/>
    <n v="20.6"/>
    <n v="1034.77"/>
  </r>
  <r>
    <s v="EU"/>
    <m/>
    <b v="1"/>
    <x v="23"/>
    <x v="2"/>
    <b v="0"/>
    <n v="42.45"/>
    <n v="18.93"/>
    <n v="95.07"/>
    <n v="0.23"/>
    <n v="0.54"/>
    <n v="0.02"/>
    <n v="0.52"/>
    <n v="372.58"/>
    <n v="16.62"/>
    <n v="834.44"/>
  </r>
  <r>
    <s v="EU"/>
    <m/>
    <b v="1"/>
    <x v="23"/>
    <x v="3"/>
    <b v="0"/>
    <n v="18.29"/>
    <n v="8.16"/>
    <n v="40.96"/>
    <n v="-2.2799999999999998"/>
    <n v="-11.08"/>
    <n v="-1.05"/>
    <n v="-5.1100000000000003"/>
    <n v="284.43"/>
    <n v="12.68"/>
    <n v="637.02"/>
  </r>
  <r>
    <s v="EU"/>
    <m/>
    <b v="1"/>
    <x v="23"/>
    <x v="4"/>
    <b v="0"/>
    <n v="58.8"/>
    <n v="26.22"/>
    <n v="131.69"/>
    <n v="2.25"/>
    <n v="3.98"/>
    <n v="0.89"/>
    <n v="5.04"/>
    <n v="598.16999999999996"/>
    <n v="26.68"/>
    <n v="1339.68"/>
  </r>
  <r>
    <s v="EU"/>
    <m/>
    <b v="1"/>
    <x v="23"/>
    <x v="5"/>
    <b v="0"/>
    <n v="6.55"/>
    <n v="2.92"/>
    <n v="14.67"/>
    <n v="0.31"/>
    <n v="4.97"/>
    <n v="0.13"/>
    <n v="0.69"/>
    <n v="65.75"/>
    <n v="2.93"/>
    <n v="147.26"/>
  </r>
  <r>
    <s v="EU"/>
    <m/>
    <b v="1"/>
    <x v="23"/>
    <x v="6"/>
    <b v="0"/>
    <n v="1.4"/>
    <n v="0.62"/>
    <n v="3.14"/>
    <n v="-0.28000000000000003"/>
    <n v="-16.670000000000002"/>
    <n v="-0.13"/>
    <n v="-0.63"/>
    <n v="13.88"/>
    <n v="0.62"/>
    <n v="31.09"/>
  </r>
  <r>
    <s v="EU"/>
    <m/>
    <b v="1"/>
    <x v="23"/>
    <x v="7"/>
    <b v="0"/>
    <n v="7.53"/>
    <n v="3.36"/>
    <n v="16.86"/>
    <n v="0.5"/>
    <n v="7.11"/>
    <n v="0.21"/>
    <n v="1.1200000000000001"/>
    <n v="102.12"/>
    <n v="4.55"/>
    <n v="228.71"/>
  </r>
  <r>
    <s v="EU"/>
    <m/>
    <b v="1"/>
    <x v="23"/>
    <x v="8"/>
    <b v="1"/>
    <n v="224.25"/>
    <n v="100"/>
    <n v="502.24"/>
    <n v="0.99"/>
    <n v="0.44"/>
    <n v="0"/>
    <n v="2.2200000000000002"/>
    <n v="2242.3200000000002"/>
    <n v="100"/>
    <n v="5021.95"/>
  </r>
  <r>
    <s v="EU"/>
    <m/>
    <b v="1"/>
    <x v="23"/>
    <x v="9"/>
    <b v="0"/>
    <n v="30.5"/>
    <n v="13.6"/>
    <n v="68.31"/>
    <n v="-0.37"/>
    <n v="-1.2"/>
    <n v="-0.23"/>
    <n v="-0.83"/>
    <n v="249.29"/>
    <n v="11.12"/>
    <n v="558.32000000000005"/>
  </r>
  <r>
    <s v="EU"/>
    <m/>
    <b v="1"/>
    <x v="24"/>
    <x v="0"/>
    <b v="0"/>
    <n v="10.119999999999999"/>
    <n v="4.3"/>
    <n v="22.66"/>
    <n v="0.18"/>
    <n v="1.81"/>
    <n v="0.15"/>
    <n v="0.4"/>
    <n v="104.19"/>
    <n v="4.2"/>
    <n v="233.35"/>
  </r>
  <r>
    <s v="EU"/>
    <m/>
    <b v="1"/>
    <x v="24"/>
    <x v="1"/>
    <b v="0"/>
    <n v="50.93"/>
    <n v="21.62"/>
    <n v="114.06"/>
    <n v="-3.91"/>
    <n v="-7.13"/>
    <n v="-1.3"/>
    <n v="-8.76"/>
    <n v="512.96"/>
    <n v="20.7"/>
    <n v="1148.8399999999999"/>
  </r>
  <r>
    <s v="EU"/>
    <m/>
    <b v="1"/>
    <x v="24"/>
    <x v="2"/>
    <b v="0"/>
    <n v="49.4"/>
    <n v="20.97"/>
    <n v="110.64"/>
    <n v="-2.62"/>
    <n v="-5.04"/>
    <n v="-0.77"/>
    <n v="-5.87"/>
    <n v="421.98"/>
    <n v="17.03"/>
    <n v="945.08"/>
  </r>
  <r>
    <s v="EU"/>
    <m/>
    <b v="1"/>
    <x v="24"/>
    <x v="3"/>
    <b v="0"/>
    <n v="23.93"/>
    <n v="10.16"/>
    <n v="53.59"/>
    <n v="1.53"/>
    <n v="6.83"/>
    <n v="0.8"/>
    <n v="3.43"/>
    <n v="308.36"/>
    <n v="12.44"/>
    <n v="690.61"/>
  </r>
  <r>
    <s v="EU"/>
    <m/>
    <b v="1"/>
    <x v="24"/>
    <x v="4"/>
    <b v="0"/>
    <n v="59.81"/>
    <n v="25.39"/>
    <n v="133.94999999999999"/>
    <n v="-0.08"/>
    <n v="-0.13"/>
    <n v="0.36"/>
    <n v="-0.18"/>
    <n v="657.98"/>
    <n v="26.55"/>
    <n v="1473.63"/>
  </r>
  <r>
    <s v="EU"/>
    <m/>
    <b v="1"/>
    <x v="24"/>
    <x v="5"/>
    <b v="0"/>
    <n v="6.58"/>
    <n v="2.79"/>
    <n v="14.74"/>
    <n v="-0.03"/>
    <n v="-0.45"/>
    <n v="0.03"/>
    <n v="-7.0000000000000007E-2"/>
    <n v="72.33"/>
    <n v="2.92"/>
    <n v="161.99"/>
  </r>
  <r>
    <s v="EU"/>
    <m/>
    <b v="1"/>
    <x v="24"/>
    <x v="6"/>
    <b v="0"/>
    <n v="1.38"/>
    <n v="0.59"/>
    <n v="3.09"/>
    <n v="-0.39"/>
    <n v="-22.03"/>
    <n v="-0.15"/>
    <n v="-0.87"/>
    <n v="15.26"/>
    <n v="0.62"/>
    <n v="34.18"/>
  </r>
  <r>
    <s v="EU"/>
    <m/>
    <b v="1"/>
    <x v="24"/>
    <x v="7"/>
    <b v="0"/>
    <n v="3.76"/>
    <n v="1.6"/>
    <n v="8.42"/>
    <n v="7.0000000000000007E-2"/>
    <n v="1.9"/>
    <n v="0.06"/>
    <n v="0.16"/>
    <n v="105.88"/>
    <n v="4.2699999999999996"/>
    <n v="237.13"/>
  </r>
  <r>
    <s v="EU"/>
    <m/>
    <b v="1"/>
    <x v="24"/>
    <x v="8"/>
    <b v="1"/>
    <n v="235.55"/>
    <n v="100"/>
    <n v="527.54"/>
    <n v="-3.75"/>
    <n v="-1.57"/>
    <n v="0"/>
    <n v="-8.4"/>
    <n v="2477.87"/>
    <n v="100"/>
    <n v="5549.5"/>
  </r>
  <r>
    <s v="EU"/>
    <m/>
    <b v="1"/>
    <x v="24"/>
    <x v="9"/>
    <b v="0"/>
    <n v="29.64"/>
    <n v="12.58"/>
    <n v="66.38"/>
    <n v="1.5"/>
    <n v="5.33"/>
    <n v="0.82"/>
    <n v="3.36"/>
    <n v="278.93"/>
    <n v="11.26"/>
    <n v="624.70000000000005"/>
  </r>
  <r>
    <s v="EU"/>
    <m/>
    <b v="1"/>
    <x v="25"/>
    <x v="0"/>
    <b v="0"/>
    <n v="11.05"/>
    <n v="4.4400000000000004"/>
    <n v="24.75"/>
    <n v="0.75"/>
    <n v="7.28"/>
    <n v="0.38"/>
    <n v="1.68"/>
    <n v="115.24"/>
    <n v="4.2300000000000004"/>
    <n v="258.08999999999997"/>
  </r>
  <r>
    <s v="EU"/>
    <m/>
    <b v="1"/>
    <x v="25"/>
    <x v="1"/>
    <b v="0"/>
    <n v="47.35"/>
    <n v="19.010000000000002"/>
    <n v="106.05"/>
    <n v="-3.23"/>
    <n v="-6.39"/>
    <n v="-0.91"/>
    <n v="-7.23"/>
    <n v="560.30999999999995"/>
    <n v="20.55"/>
    <n v="1254.8800000000001"/>
  </r>
  <r>
    <s v="EU"/>
    <m/>
    <b v="1"/>
    <x v="25"/>
    <x v="2"/>
    <b v="0"/>
    <n v="48"/>
    <n v="19.27"/>
    <n v="107.5"/>
    <n v="0.97"/>
    <n v="2.06"/>
    <n v="0.75"/>
    <n v="2.17"/>
    <n v="469.98"/>
    <n v="17.23"/>
    <n v="1052.58"/>
  </r>
  <r>
    <s v="EU"/>
    <m/>
    <b v="1"/>
    <x v="25"/>
    <x v="3"/>
    <b v="0"/>
    <n v="26.36"/>
    <n v="10.58"/>
    <n v="59.04"/>
    <n v="1.44"/>
    <n v="5.78"/>
    <n v="0.77"/>
    <n v="3.23"/>
    <n v="334.72"/>
    <n v="12.27"/>
    <n v="749.65"/>
  </r>
  <r>
    <s v="EU"/>
    <m/>
    <b v="1"/>
    <x v="25"/>
    <x v="4"/>
    <b v="0"/>
    <n v="68.69"/>
    <n v="27.58"/>
    <n v="153.84"/>
    <n v="-1.58"/>
    <n v="-2.25"/>
    <n v="-0.09"/>
    <n v="-3.54"/>
    <n v="726.67"/>
    <n v="26.65"/>
    <n v="1627.47"/>
  </r>
  <r>
    <s v="EU"/>
    <m/>
    <b v="1"/>
    <x v="25"/>
    <x v="5"/>
    <b v="0"/>
    <n v="6.79"/>
    <n v="2.73"/>
    <n v="15.21"/>
    <n v="-0.01"/>
    <n v="-0.15"/>
    <n v="0.05"/>
    <n v="-0.02"/>
    <n v="79.12"/>
    <n v="2.9"/>
    <n v="177.2"/>
  </r>
  <r>
    <s v="EU"/>
    <m/>
    <b v="1"/>
    <x v="25"/>
    <x v="6"/>
    <b v="0"/>
    <n v="1.41"/>
    <n v="0.56999999999999995"/>
    <n v="3.16"/>
    <n v="-0.28000000000000003"/>
    <n v="-16.57"/>
    <n v="-0.1"/>
    <n v="-0.63"/>
    <n v="16.670000000000002"/>
    <n v="0.61"/>
    <n v="37.33"/>
  </r>
  <r>
    <s v="EU"/>
    <m/>
    <b v="1"/>
    <x v="25"/>
    <x v="7"/>
    <b v="0"/>
    <n v="2.88"/>
    <n v="1.1599999999999999"/>
    <n v="6.45"/>
    <n v="0.15"/>
    <n v="5.49"/>
    <n v="0.08"/>
    <n v="0.34"/>
    <n v="108.76"/>
    <n v="3.99"/>
    <n v="243.58"/>
  </r>
  <r>
    <s v="EU"/>
    <m/>
    <b v="1"/>
    <x v="25"/>
    <x v="8"/>
    <b v="1"/>
    <n v="249.04"/>
    <n v="100"/>
    <n v="557.76"/>
    <n v="-4.9000000000000004"/>
    <n v="-1.93"/>
    <n v="0"/>
    <n v="-10.97"/>
    <n v="2726.91"/>
    <n v="100"/>
    <n v="6107.25"/>
  </r>
  <r>
    <s v="EU"/>
    <m/>
    <b v="1"/>
    <x v="25"/>
    <x v="9"/>
    <b v="0"/>
    <n v="36.51"/>
    <n v="14.66"/>
    <n v="81.77"/>
    <n v="-3.11"/>
    <n v="-7.85"/>
    <n v="-0.94"/>
    <n v="-6.97"/>
    <n v="315.44"/>
    <n v="11.57"/>
    <n v="706.47"/>
  </r>
  <r>
    <s v="EU"/>
    <m/>
    <b v="1"/>
    <x v="26"/>
    <x v="0"/>
    <b v="0"/>
    <n v="11.03"/>
    <n v="4.12"/>
    <n v="24.66"/>
    <n v="0.63"/>
    <n v="6.06"/>
    <n v="0.06"/>
    <n v="1.41"/>
    <n v="11.03"/>
    <n v="4.12"/>
    <n v="24.66"/>
  </r>
  <r>
    <s v="EU"/>
    <m/>
    <b v="1"/>
    <x v="26"/>
    <x v="1"/>
    <b v="0"/>
    <n v="51.13"/>
    <n v="19.12"/>
    <n v="114.29"/>
    <n v="1.91"/>
    <n v="3.88"/>
    <n v="-0.11"/>
    <n v="4.2699999999999996"/>
    <n v="51.13"/>
    <n v="19.12"/>
    <n v="114.29"/>
  </r>
  <r>
    <s v="EU"/>
    <m/>
    <b v="1"/>
    <x v="26"/>
    <x v="2"/>
    <b v="0"/>
    <n v="56.05"/>
    <n v="20.96"/>
    <n v="125.29"/>
    <n v="12.85"/>
    <n v="29.75"/>
    <n v="4.08"/>
    <n v="28.72"/>
    <n v="56.05"/>
    <n v="20.96"/>
    <n v="125.29"/>
  </r>
  <r>
    <s v="EU"/>
    <m/>
    <b v="1"/>
    <x v="26"/>
    <x v="3"/>
    <b v="0"/>
    <n v="25.43"/>
    <n v="9.51"/>
    <n v="56.84"/>
    <n v="-4.92"/>
    <n v="-16.21"/>
    <n v="-2.35"/>
    <n v="-11"/>
    <n v="25.43"/>
    <n v="9.51"/>
    <n v="56.84"/>
  </r>
  <r>
    <s v="EU"/>
    <m/>
    <b v="1"/>
    <x v="26"/>
    <x v="4"/>
    <b v="0"/>
    <n v="71.84"/>
    <n v="26.87"/>
    <n v="160.58000000000001"/>
    <n v="-0.9"/>
    <n v="-1.24"/>
    <n v="-1.56"/>
    <n v="-2.0099999999999998"/>
    <n v="71.84"/>
    <n v="26.87"/>
    <n v="160.58000000000001"/>
  </r>
  <r>
    <s v="EU"/>
    <m/>
    <b v="1"/>
    <x v="26"/>
    <x v="5"/>
    <b v="0"/>
    <n v="8.31"/>
    <n v="3.11"/>
    <n v="18.579999999999998"/>
    <n v="0.97"/>
    <n v="13.22"/>
    <n v="0.24"/>
    <n v="2.17"/>
    <n v="8.31"/>
    <n v="3.11"/>
    <n v="18.579999999999998"/>
  </r>
  <r>
    <s v="EU"/>
    <m/>
    <b v="1"/>
    <x v="26"/>
    <x v="6"/>
    <b v="0"/>
    <n v="1.64"/>
    <n v="0.61"/>
    <n v="3.67"/>
    <n v="0.16"/>
    <n v="10.81"/>
    <n v="0.03"/>
    <n v="0.36"/>
    <n v="1.64"/>
    <n v="0.61"/>
    <n v="3.67"/>
  </r>
  <r>
    <s v="EU"/>
    <m/>
    <b v="1"/>
    <x v="26"/>
    <x v="7"/>
    <b v="0"/>
    <n v="3.53"/>
    <n v="1.32"/>
    <n v="7.89"/>
    <n v="0.34"/>
    <n v="10.66"/>
    <n v="7.0000000000000007E-2"/>
    <n v="0.76"/>
    <n v="3.53"/>
    <n v="1.32"/>
    <n v="7.89"/>
  </r>
  <r>
    <s v="EU"/>
    <m/>
    <b v="1"/>
    <x v="26"/>
    <x v="8"/>
    <b v="1"/>
    <n v="267.41000000000003"/>
    <n v="100"/>
    <n v="597.74"/>
    <n v="11.52"/>
    <n v="4.5"/>
    <n v="0"/>
    <n v="25.75"/>
    <n v="267.41000000000003"/>
    <n v="100"/>
    <n v="597.74"/>
  </r>
  <r>
    <s v="EU"/>
    <m/>
    <b v="1"/>
    <x v="26"/>
    <x v="9"/>
    <b v="0"/>
    <n v="38.450000000000003"/>
    <n v="14.38"/>
    <n v="85.95"/>
    <n v="0.48"/>
    <n v="1.26"/>
    <n v="-0.46"/>
    <n v="1.07"/>
    <n v="38.450000000000003"/>
    <n v="14.38"/>
    <n v="85.95"/>
  </r>
  <r>
    <s v="EU"/>
    <m/>
    <b v="1"/>
    <x v="27"/>
    <x v="0"/>
    <b v="0"/>
    <n v="9.57"/>
    <n v="4.1399999999999997"/>
    <n v="21.39"/>
    <n v="-0.59"/>
    <n v="-5.81"/>
    <n v="-0.04"/>
    <n v="-1.32"/>
    <n v="20.6"/>
    <n v="4.13"/>
    <n v="46.05"/>
  </r>
  <r>
    <s v="EU"/>
    <m/>
    <b v="1"/>
    <x v="27"/>
    <x v="1"/>
    <b v="0"/>
    <n v="42.22"/>
    <n v="18.25"/>
    <n v="94.37"/>
    <n v="-10.89"/>
    <n v="-20.5"/>
    <n v="-3.61"/>
    <n v="-24.34"/>
    <n v="93.35"/>
    <n v="18.72"/>
    <n v="208.66"/>
  </r>
  <r>
    <s v="EU"/>
    <m/>
    <b v="1"/>
    <x v="27"/>
    <x v="2"/>
    <b v="0"/>
    <n v="43.95"/>
    <n v="19"/>
    <n v="98.24"/>
    <n v="-1.99"/>
    <n v="-4.33"/>
    <n v="0.09"/>
    <n v="-4.45"/>
    <n v="100"/>
    <n v="20.05"/>
    <n v="223.53"/>
  </r>
  <r>
    <s v="EU"/>
    <m/>
    <b v="1"/>
    <x v="27"/>
    <x v="3"/>
    <b v="0"/>
    <n v="24.29"/>
    <n v="10.5"/>
    <n v="54.3"/>
    <n v="-4.45"/>
    <n v="-15.48"/>
    <n v="-1.33"/>
    <n v="-9.9499999999999993"/>
    <n v="49.72"/>
    <n v="9.9700000000000006"/>
    <n v="111.14"/>
  </r>
  <r>
    <s v="EU"/>
    <m/>
    <b v="1"/>
    <x v="27"/>
    <x v="4"/>
    <b v="0"/>
    <n v="64.92"/>
    <n v="28.07"/>
    <n v="145.12"/>
    <n v="-0.69"/>
    <n v="-1.05"/>
    <n v="1.07"/>
    <n v="-1.54"/>
    <n v="136.76"/>
    <n v="27.42"/>
    <n v="305.7"/>
  </r>
  <r>
    <s v="EU"/>
    <m/>
    <b v="1"/>
    <x v="27"/>
    <x v="5"/>
    <b v="0"/>
    <n v="6.9"/>
    <n v="2.98"/>
    <n v="15.42"/>
    <n v="-0.03"/>
    <n v="-0.43"/>
    <n v="0.13"/>
    <n v="-7.0000000000000007E-2"/>
    <n v="15.21"/>
    <n v="3.05"/>
    <n v="34"/>
  </r>
  <r>
    <s v="EU"/>
    <m/>
    <b v="1"/>
    <x v="27"/>
    <x v="6"/>
    <b v="0"/>
    <n v="1.51"/>
    <n v="0.65"/>
    <n v="3.38"/>
    <n v="0.16"/>
    <n v="11.85"/>
    <n v="0.09"/>
    <n v="0.36"/>
    <n v="3.15"/>
    <n v="0.63"/>
    <n v="7.04"/>
  </r>
  <r>
    <s v="EU"/>
    <m/>
    <b v="1"/>
    <x v="27"/>
    <x v="7"/>
    <b v="0"/>
    <n v="6.78"/>
    <n v="2.93"/>
    <n v="15.16"/>
    <n v="1.68"/>
    <n v="32.94"/>
    <n v="0.83"/>
    <n v="3.76"/>
    <n v="10.31"/>
    <n v="2.0699999999999998"/>
    <n v="23.05"/>
  </r>
  <r>
    <s v="EU"/>
    <m/>
    <b v="1"/>
    <x v="27"/>
    <x v="8"/>
    <b v="1"/>
    <n v="231.29"/>
    <n v="100"/>
    <n v="517"/>
    <n v="-11.71"/>
    <n v="-4.82"/>
    <n v="0"/>
    <n v="-26.18"/>
    <n v="498.7"/>
    <n v="100"/>
    <n v="1114.74"/>
  </r>
  <r>
    <s v="EU"/>
    <m/>
    <b v="1"/>
    <x v="27"/>
    <x v="9"/>
    <b v="0"/>
    <n v="31.15"/>
    <n v="13.47"/>
    <n v="69.63"/>
    <n v="5.09"/>
    <n v="19.53"/>
    <n v="2.75"/>
    <n v="11.38"/>
    <n v="69.599999999999994"/>
    <n v="13.96"/>
    <n v="155.58000000000001"/>
  </r>
  <r>
    <s v="EU"/>
    <m/>
    <b v="1"/>
    <x v="28"/>
    <x v="0"/>
    <b v="0"/>
    <n v="10.27"/>
    <n v="4.3"/>
    <n v="22.96"/>
    <n v="-0.28000000000000003"/>
    <n v="-2.65"/>
    <n v="0.14000000000000001"/>
    <n v="-0.63"/>
    <n v="30.87"/>
    <n v="4.1900000000000004"/>
    <n v="69"/>
  </r>
  <r>
    <s v="EU"/>
    <m/>
    <b v="1"/>
    <x v="28"/>
    <x v="1"/>
    <b v="0"/>
    <n v="35.549999999999997"/>
    <n v="14.9"/>
    <n v="79.459999999999994"/>
    <n v="-15.42"/>
    <n v="-30.25"/>
    <n v="-5.2"/>
    <n v="-34.47"/>
    <n v="128.9"/>
    <n v="17.48"/>
    <n v="288.13"/>
  </r>
  <r>
    <s v="EU"/>
    <m/>
    <b v="1"/>
    <x v="28"/>
    <x v="2"/>
    <b v="0"/>
    <n v="39.880000000000003"/>
    <n v="16.71"/>
    <n v="89.14"/>
    <n v="-0.24"/>
    <n v="-0.6"/>
    <n v="0.89"/>
    <n v="-0.54"/>
    <n v="139.88"/>
    <n v="18.97"/>
    <n v="312.67"/>
  </r>
  <r>
    <s v="EU"/>
    <m/>
    <b v="1"/>
    <x v="28"/>
    <x v="3"/>
    <b v="0"/>
    <n v="26.1"/>
    <n v="10.94"/>
    <n v="58.34"/>
    <n v="-7.94"/>
    <n v="-23.33"/>
    <n v="-2.48"/>
    <n v="-17.75"/>
    <n v="75.819999999999993"/>
    <n v="10.28"/>
    <n v="169.48"/>
  </r>
  <r>
    <s v="EU"/>
    <m/>
    <b v="1"/>
    <x v="28"/>
    <x v="4"/>
    <b v="0"/>
    <n v="66.84"/>
    <n v="28.01"/>
    <n v="149.41"/>
    <n v="-0.17"/>
    <n v="-0.25"/>
    <n v="1.59"/>
    <n v="-0.38"/>
    <n v="203.6"/>
    <n v="27.61"/>
    <n v="455.11"/>
  </r>
  <r>
    <s v="EU"/>
    <m/>
    <b v="1"/>
    <x v="28"/>
    <x v="5"/>
    <b v="0"/>
    <n v="7.02"/>
    <n v="2.94"/>
    <n v="15.69"/>
    <n v="-0.36"/>
    <n v="-4.88"/>
    <n v="0.03"/>
    <n v="-0.8"/>
    <n v="22.23"/>
    <n v="3.01"/>
    <n v="49.69"/>
  </r>
  <r>
    <s v="EU"/>
    <m/>
    <b v="1"/>
    <x v="28"/>
    <x v="6"/>
    <b v="0"/>
    <n v="1.64"/>
    <n v="0.69"/>
    <n v="3.67"/>
    <n v="0.18"/>
    <n v="12.33"/>
    <n v="0.11"/>
    <n v="0.4"/>
    <n v="4.79"/>
    <n v="0.65"/>
    <n v="10.71"/>
  </r>
  <r>
    <s v="EU"/>
    <m/>
    <b v="1"/>
    <x v="28"/>
    <x v="7"/>
    <b v="0"/>
    <n v="9.7799999999999994"/>
    <n v="4.0999999999999996"/>
    <n v="21.86"/>
    <n v="2.36"/>
    <n v="31.81"/>
    <n v="1.17"/>
    <n v="5.28"/>
    <n v="20.09"/>
    <n v="2.72"/>
    <n v="44.91"/>
  </r>
  <r>
    <s v="EU"/>
    <m/>
    <b v="1"/>
    <x v="28"/>
    <x v="8"/>
    <b v="1"/>
    <n v="238.64"/>
    <n v="100"/>
    <n v="533.42999999999995"/>
    <n v="-14.99"/>
    <n v="-5.91"/>
    <n v="0"/>
    <n v="-33.51"/>
    <n v="737.34"/>
    <n v="100"/>
    <n v="1648.17"/>
  </r>
  <r>
    <s v="EU"/>
    <m/>
    <b v="1"/>
    <x v="28"/>
    <x v="9"/>
    <b v="0"/>
    <n v="41.56"/>
    <n v="17.420000000000002"/>
    <n v="92.9"/>
    <n v="6.88"/>
    <n v="19.84"/>
    <n v="3.75"/>
    <n v="15.38"/>
    <n v="111.16"/>
    <n v="15.08"/>
    <n v="248.47"/>
  </r>
  <r>
    <s v="EU"/>
    <m/>
    <b v="1"/>
    <x v="29"/>
    <x v="0"/>
    <b v="0"/>
    <n v="9.11"/>
    <n v="4.26"/>
    <n v="20.36"/>
    <n v="-0.41"/>
    <n v="-4.3099999999999996"/>
    <n v="-0.24"/>
    <n v="-0.92"/>
    <n v="39.979999999999997"/>
    <n v="4.2"/>
    <n v="89.37"/>
  </r>
  <r>
    <s v="EU"/>
    <m/>
    <b v="1"/>
    <x v="29"/>
    <x v="1"/>
    <b v="0"/>
    <n v="34.21"/>
    <n v="15.99"/>
    <n v="76.47"/>
    <n v="-3.55"/>
    <n v="-9.4"/>
    <n v="-1.85"/>
    <n v="-7.94"/>
    <n v="163.11000000000001"/>
    <n v="17.149999999999999"/>
    <n v="364.6"/>
  </r>
  <r>
    <s v="EU"/>
    <m/>
    <b v="1"/>
    <x v="29"/>
    <x v="2"/>
    <b v="0"/>
    <n v="36.950000000000003"/>
    <n v="17.27"/>
    <n v="82.59"/>
    <n v="10.35"/>
    <n v="38.909999999999997"/>
    <n v="4.7"/>
    <n v="23.14"/>
    <n v="176.83"/>
    <n v="18.59"/>
    <n v="395.27"/>
  </r>
  <r>
    <s v="EU"/>
    <m/>
    <b v="1"/>
    <x v="29"/>
    <x v="3"/>
    <b v="0"/>
    <n v="25.94"/>
    <n v="12.12"/>
    <n v="57.98"/>
    <n v="-9.48"/>
    <n v="-26.76"/>
    <n v="-4.62"/>
    <n v="-21.19"/>
    <n v="101.76"/>
    <n v="10.7"/>
    <n v="227.46"/>
  </r>
  <r>
    <s v="EU"/>
    <m/>
    <b v="1"/>
    <x v="29"/>
    <x v="4"/>
    <b v="0"/>
    <n v="60.58"/>
    <n v="28.31"/>
    <n v="135.41"/>
    <n v="3.63"/>
    <n v="6.37"/>
    <n v="1.4"/>
    <n v="8.11"/>
    <n v="264.18"/>
    <n v="27.77"/>
    <n v="590.52"/>
  </r>
  <r>
    <s v="EU"/>
    <m/>
    <b v="1"/>
    <x v="29"/>
    <x v="5"/>
    <b v="0"/>
    <n v="6.44"/>
    <n v="3.01"/>
    <n v="14.4"/>
    <n v="0.12"/>
    <n v="1.9"/>
    <n v="0.02"/>
    <n v="0.27"/>
    <n v="28.67"/>
    <n v="3.01"/>
    <n v="64.09"/>
  </r>
  <r>
    <s v="EU"/>
    <m/>
    <b v="1"/>
    <x v="29"/>
    <x v="6"/>
    <b v="0"/>
    <n v="1.57"/>
    <n v="0.73"/>
    <n v="3.51"/>
    <n v="0.18"/>
    <n v="12.95"/>
    <n v="7.0000000000000007E-2"/>
    <n v="0.4"/>
    <n v="6.36"/>
    <n v="0.67"/>
    <n v="14.22"/>
  </r>
  <r>
    <s v="EU"/>
    <m/>
    <b v="1"/>
    <x v="29"/>
    <x v="7"/>
    <b v="0"/>
    <n v="12.19"/>
    <n v="5.7"/>
    <n v="27.25"/>
    <n v="0.49"/>
    <n v="4.1900000000000004"/>
    <n v="0.17"/>
    <n v="1.1000000000000001"/>
    <n v="32.28"/>
    <n v="3.39"/>
    <n v="72.16"/>
  </r>
  <r>
    <s v="EU"/>
    <m/>
    <b v="1"/>
    <x v="29"/>
    <x v="8"/>
    <b v="1"/>
    <n v="214"/>
    <n v="100"/>
    <n v="478.35"/>
    <n v="2.37"/>
    <n v="1.1200000000000001"/>
    <n v="0"/>
    <n v="5.3"/>
    <n v="951.34"/>
    <n v="100"/>
    <n v="2126.52"/>
  </r>
  <r>
    <s v="EU"/>
    <m/>
    <b v="1"/>
    <x v="29"/>
    <x v="9"/>
    <b v="0"/>
    <n v="27.01"/>
    <n v="12.62"/>
    <n v="60.38"/>
    <n v="1.04"/>
    <n v="4"/>
    <n v="0.35"/>
    <n v="2.3199999999999998"/>
    <n v="138.16999999999999"/>
    <n v="14.52"/>
    <n v="308.85000000000002"/>
  </r>
  <r>
    <s v="EU"/>
    <m/>
    <b v="1"/>
    <x v="30"/>
    <x v="0"/>
    <b v="0"/>
    <n v="8.7200000000000006"/>
    <n v="4.08"/>
    <n v="19.489999999999998"/>
    <n v="-0.21"/>
    <n v="-2.35"/>
    <n v="-0.2"/>
    <n v="-0.47"/>
    <n v="48.7"/>
    <n v="4.18"/>
    <n v="108.86"/>
  </r>
  <r>
    <s v="EU"/>
    <m/>
    <b v="1"/>
    <x v="30"/>
    <x v="1"/>
    <b v="0"/>
    <n v="32.33"/>
    <n v="15.13"/>
    <n v="72.27"/>
    <n v="-7.03"/>
    <n v="-17.86"/>
    <n v="-3.73"/>
    <n v="-15.71"/>
    <n v="195.44"/>
    <n v="16.78"/>
    <n v="436.87"/>
  </r>
  <r>
    <s v="EU"/>
    <m/>
    <b v="1"/>
    <x v="30"/>
    <x v="2"/>
    <b v="0"/>
    <n v="37.29"/>
    <n v="17.45"/>
    <n v="83.35"/>
    <n v="9.7200000000000006"/>
    <n v="35.26"/>
    <n v="4.24"/>
    <n v="21.73"/>
    <n v="214.12"/>
    <n v="18.38"/>
    <n v="478.62"/>
  </r>
  <r>
    <s v="EU"/>
    <m/>
    <b v="1"/>
    <x v="30"/>
    <x v="3"/>
    <b v="0"/>
    <n v="30.34"/>
    <n v="14.2"/>
    <n v="67.819999999999993"/>
    <n v="-6.46"/>
    <n v="-17.55"/>
    <n v="-3.43"/>
    <n v="-14.44"/>
    <n v="132.1"/>
    <n v="11.34"/>
    <n v="295.27999999999997"/>
  </r>
  <r>
    <s v="EU"/>
    <m/>
    <b v="1"/>
    <x v="30"/>
    <x v="4"/>
    <b v="0"/>
    <n v="57.71"/>
    <n v="27.01"/>
    <n v="129"/>
    <n v="3.21"/>
    <n v="5.89"/>
    <n v="0.89"/>
    <n v="7.18"/>
    <n v="321.89"/>
    <n v="27.63"/>
    <n v="719.52"/>
  </r>
  <r>
    <s v="EU"/>
    <m/>
    <b v="1"/>
    <x v="30"/>
    <x v="5"/>
    <b v="0"/>
    <n v="6.29"/>
    <n v="2.94"/>
    <n v="14.06"/>
    <n v="7.0000000000000007E-2"/>
    <n v="1.1299999999999999"/>
    <n v="-0.04"/>
    <n v="0.16"/>
    <n v="34.96"/>
    <n v="3"/>
    <n v="78.150000000000006"/>
  </r>
  <r>
    <s v="EU"/>
    <m/>
    <b v="1"/>
    <x v="30"/>
    <x v="6"/>
    <b v="0"/>
    <n v="1.55"/>
    <n v="0.73"/>
    <n v="3.46"/>
    <n v="0.12"/>
    <n v="8.39"/>
    <n v="0.04"/>
    <n v="0.27"/>
    <n v="7.91"/>
    <n v="0.68"/>
    <n v="17.68"/>
  </r>
  <r>
    <s v="EU"/>
    <m/>
    <b v="1"/>
    <x v="30"/>
    <x v="7"/>
    <b v="0"/>
    <n v="13.39"/>
    <n v="6.27"/>
    <n v="29.93"/>
    <n v="-0.49"/>
    <n v="-3.53"/>
    <n v="-0.38"/>
    <n v="-1.1000000000000001"/>
    <n v="45.67"/>
    <n v="3.92"/>
    <n v="102.09"/>
  </r>
  <r>
    <s v="EU"/>
    <m/>
    <b v="1"/>
    <x v="30"/>
    <x v="8"/>
    <b v="1"/>
    <n v="213.67"/>
    <n v="100"/>
    <n v="477.61"/>
    <n v="4.99"/>
    <n v="2.39"/>
    <n v="0"/>
    <n v="11.15"/>
    <n v="1165.01"/>
    <n v="100"/>
    <n v="2604.14"/>
  </r>
  <r>
    <s v="EU"/>
    <m/>
    <b v="1"/>
    <x v="30"/>
    <x v="9"/>
    <b v="0"/>
    <n v="26.05"/>
    <n v="12.19"/>
    <n v="58.23"/>
    <n v="6.06"/>
    <n v="30.32"/>
    <n v="2.61"/>
    <n v="13.55"/>
    <n v="164.22"/>
    <n v="14.1"/>
    <n v="367.08"/>
  </r>
  <r>
    <s v="EU"/>
    <m/>
    <b v="1"/>
    <x v="31"/>
    <x v="0"/>
    <b v="0"/>
    <n v="8.11"/>
    <n v="3.93"/>
    <n v="18.13"/>
    <n v="-0.24"/>
    <n v="-2.87"/>
    <n v="-0.13"/>
    <n v="-0.54"/>
    <n v="56.81"/>
    <n v="4.1399999999999997"/>
    <n v="126.99"/>
  </r>
  <r>
    <s v="EU"/>
    <m/>
    <b v="1"/>
    <x v="31"/>
    <x v="1"/>
    <b v="0"/>
    <n v="28.61"/>
    <n v="13.87"/>
    <n v="63.95"/>
    <n v="-12.47"/>
    <n v="-30.36"/>
    <n v="-6.11"/>
    <n v="-27.87"/>
    <n v="224.05"/>
    <n v="16.34"/>
    <n v="500.82"/>
  </r>
  <r>
    <s v="EU"/>
    <m/>
    <b v="1"/>
    <x v="31"/>
    <x v="2"/>
    <b v="0"/>
    <n v="39.86"/>
    <n v="19.32"/>
    <n v="89.1"/>
    <n v="8.66"/>
    <n v="27.76"/>
    <n v="4.1500000000000004"/>
    <n v="19.36"/>
    <n v="253.98"/>
    <n v="18.52"/>
    <n v="567.72"/>
  </r>
  <r>
    <s v="EU"/>
    <m/>
    <b v="1"/>
    <x v="31"/>
    <x v="3"/>
    <b v="0"/>
    <n v="31.08"/>
    <n v="15.07"/>
    <n v="69.47"/>
    <n v="-0.64"/>
    <n v="-2.02"/>
    <n v="-0.36"/>
    <n v="-1.43"/>
    <n v="163.18"/>
    <n v="11.9"/>
    <n v="364.75"/>
  </r>
  <r>
    <s v="EU"/>
    <m/>
    <b v="1"/>
    <x v="31"/>
    <x v="4"/>
    <b v="0"/>
    <n v="55.24"/>
    <n v="26.78"/>
    <n v="123.48"/>
    <n v="0.85"/>
    <n v="1.56"/>
    <n v="0.33"/>
    <n v="1.9"/>
    <n v="377.13"/>
    <n v="27.5"/>
    <n v="843"/>
  </r>
  <r>
    <s v="EU"/>
    <m/>
    <b v="1"/>
    <x v="31"/>
    <x v="5"/>
    <b v="0"/>
    <n v="5.61"/>
    <n v="2.72"/>
    <n v="12.54"/>
    <n v="-0.24"/>
    <n v="-4.0999999999999996"/>
    <n v="-0.12"/>
    <n v="-0.54"/>
    <n v="40.57"/>
    <n v="2.96"/>
    <n v="90.69"/>
  </r>
  <r>
    <s v="EU"/>
    <m/>
    <b v="1"/>
    <x v="31"/>
    <x v="6"/>
    <b v="0"/>
    <n v="1.25"/>
    <n v="0.61"/>
    <n v="2.79"/>
    <n v="-0.03"/>
    <n v="-2.34"/>
    <n v="-0.01"/>
    <n v="-7.0000000000000007E-2"/>
    <n v="9.16"/>
    <n v="0.67"/>
    <n v="20.48"/>
  </r>
  <r>
    <s v="EU"/>
    <m/>
    <b v="1"/>
    <x v="31"/>
    <x v="7"/>
    <b v="0"/>
    <n v="16.260000000000002"/>
    <n v="7.88"/>
    <n v="36.35"/>
    <n v="2.82"/>
    <n v="20.98"/>
    <n v="1.34"/>
    <n v="6.3"/>
    <n v="61.93"/>
    <n v="4.5199999999999996"/>
    <n v="138.43"/>
  </r>
  <r>
    <s v="EU"/>
    <m/>
    <b v="1"/>
    <x v="31"/>
    <x v="8"/>
    <b v="1"/>
    <n v="206.3"/>
    <n v="100"/>
    <n v="461.14"/>
    <n v="0.67"/>
    <n v="0.33"/>
    <n v="0"/>
    <n v="1.5"/>
    <n v="1371.31"/>
    <n v="100"/>
    <n v="3065.28"/>
  </r>
  <r>
    <s v="EU"/>
    <m/>
    <b v="1"/>
    <x v="31"/>
    <x v="9"/>
    <b v="0"/>
    <n v="20.28"/>
    <n v="9.83"/>
    <n v="45.33"/>
    <n v="1.96"/>
    <n v="10.7"/>
    <n v="0.92"/>
    <n v="4.38"/>
    <n v="184.5"/>
    <n v="13.45"/>
    <n v="412.41"/>
  </r>
  <r>
    <s v="EU"/>
    <m/>
    <b v="1"/>
    <x v="32"/>
    <x v="0"/>
    <b v="0"/>
    <n v="8.5500000000000007"/>
    <n v="3.92"/>
    <n v="19.11"/>
    <n v="-0.1"/>
    <n v="-1.1599999999999999"/>
    <n v="-0.04"/>
    <n v="-0.22"/>
    <n v="65.36"/>
    <n v="4.1100000000000003"/>
    <n v="146.1"/>
  </r>
  <r>
    <s v="EU"/>
    <m/>
    <b v="1"/>
    <x v="32"/>
    <x v="1"/>
    <b v="0"/>
    <n v="32.08"/>
    <n v="14.72"/>
    <n v="71.709999999999994"/>
    <n v="-16.41"/>
    <n v="-33.840000000000003"/>
    <n v="-7.47"/>
    <n v="-36.68"/>
    <n v="256.13"/>
    <n v="16.12"/>
    <n v="572.52"/>
  </r>
  <r>
    <s v="EU"/>
    <m/>
    <b v="1"/>
    <x v="32"/>
    <x v="2"/>
    <b v="0"/>
    <n v="50.6"/>
    <n v="23.22"/>
    <n v="113.11"/>
    <n v="11.78"/>
    <n v="30.35"/>
    <n v="5.45"/>
    <n v="26.33"/>
    <n v="304.58"/>
    <n v="19.170000000000002"/>
    <n v="680.82"/>
  </r>
  <r>
    <s v="EU"/>
    <m/>
    <b v="1"/>
    <x v="32"/>
    <x v="3"/>
    <b v="0"/>
    <n v="26.09"/>
    <n v="11.98"/>
    <n v="58.32"/>
    <n v="-0.53"/>
    <n v="-1.99"/>
    <n v="-0.2"/>
    <n v="-1.18"/>
    <n v="189.27"/>
    <n v="11.91"/>
    <n v="423.07"/>
  </r>
  <r>
    <s v="EU"/>
    <m/>
    <b v="1"/>
    <x v="32"/>
    <x v="4"/>
    <b v="0"/>
    <n v="57.99"/>
    <n v="26.62"/>
    <n v="129.62"/>
    <n v="-7.0000000000000007E-2"/>
    <n v="-0.12"/>
    <n v="0.05"/>
    <n v="-0.16"/>
    <n v="435.12"/>
    <n v="27.38"/>
    <n v="972.62"/>
  </r>
  <r>
    <s v="EU"/>
    <m/>
    <b v="1"/>
    <x v="32"/>
    <x v="5"/>
    <b v="0"/>
    <n v="5.88"/>
    <n v="2.7"/>
    <n v="13.14"/>
    <n v="-0.5"/>
    <n v="-7.84"/>
    <n v="-0.22"/>
    <n v="-1.1200000000000001"/>
    <n v="46.45"/>
    <n v="2.92"/>
    <n v="103.83"/>
  </r>
  <r>
    <s v="EU"/>
    <m/>
    <b v="1"/>
    <x v="32"/>
    <x v="6"/>
    <b v="0"/>
    <n v="1.45"/>
    <n v="0.67"/>
    <n v="3.24"/>
    <n v="7.0000000000000007E-2"/>
    <n v="5.07"/>
    <n v="0.04"/>
    <n v="0.16"/>
    <n v="10.61"/>
    <n v="0.67"/>
    <n v="23.72"/>
  </r>
  <r>
    <s v="EU"/>
    <m/>
    <b v="1"/>
    <x v="32"/>
    <x v="7"/>
    <b v="0"/>
    <n v="15.55"/>
    <n v="7.14"/>
    <n v="34.76"/>
    <n v="-0.01"/>
    <n v="-0.06"/>
    <n v="0.02"/>
    <n v="-0.02"/>
    <n v="77.48"/>
    <n v="4.88"/>
    <n v="173.19"/>
  </r>
  <r>
    <s v="EU"/>
    <m/>
    <b v="1"/>
    <x v="32"/>
    <x v="8"/>
    <b v="1"/>
    <n v="217.87"/>
    <n v="100"/>
    <n v="487"/>
    <n v="-0.62"/>
    <n v="-0.28000000000000003"/>
    <n v="0"/>
    <n v="-1.39"/>
    <n v="1589.18"/>
    <n v="100"/>
    <n v="3552.28"/>
  </r>
  <r>
    <s v="EU"/>
    <m/>
    <b v="1"/>
    <x v="32"/>
    <x v="9"/>
    <b v="0"/>
    <n v="19.68"/>
    <n v="9.0299999999999994"/>
    <n v="43.99"/>
    <n v="5.15"/>
    <n v="35.44"/>
    <n v="2.38"/>
    <n v="11.51"/>
    <n v="204.18"/>
    <n v="12.85"/>
    <n v="456.4"/>
  </r>
  <r>
    <s v="EU"/>
    <m/>
    <b v="1"/>
    <x v="33"/>
    <x v="0"/>
    <b v="0"/>
    <n v="8.61"/>
    <n v="4.16"/>
    <n v="19.25"/>
    <n v="-0.23"/>
    <n v="-2.6"/>
    <n v="-0.01"/>
    <n v="-0.51"/>
    <n v="73.97"/>
    <n v="4.12"/>
    <n v="165.34"/>
  </r>
  <r>
    <s v="EU"/>
    <m/>
    <b v="1"/>
    <x v="33"/>
    <x v="1"/>
    <b v="0"/>
    <n v="29.86"/>
    <n v="14.41"/>
    <n v="66.75"/>
    <n v="-16.690000000000001"/>
    <n v="-35.85"/>
    <n v="-7.57"/>
    <n v="-37.31"/>
    <n v="285.99"/>
    <n v="15.92"/>
    <n v="639.27"/>
  </r>
  <r>
    <s v="EU"/>
    <m/>
    <b v="1"/>
    <x v="33"/>
    <x v="2"/>
    <b v="0"/>
    <n v="48.15"/>
    <n v="23.24"/>
    <n v="107.63"/>
    <n v="9.11"/>
    <n v="23.34"/>
    <n v="4.8099999999999996"/>
    <n v="20.36"/>
    <n v="352.73"/>
    <n v="19.64"/>
    <n v="788.45"/>
  </r>
  <r>
    <s v="EU"/>
    <m/>
    <b v="1"/>
    <x v="33"/>
    <x v="3"/>
    <b v="0"/>
    <n v="22.19"/>
    <n v="10.71"/>
    <n v="49.6"/>
    <n v="-0.01"/>
    <n v="-0.05"/>
    <n v="0.23"/>
    <n v="-0.02"/>
    <n v="211.46"/>
    <n v="11.77"/>
    <n v="472.67"/>
  </r>
  <r>
    <s v="EU"/>
    <m/>
    <b v="1"/>
    <x v="33"/>
    <x v="4"/>
    <b v="0"/>
    <n v="57.29"/>
    <n v="27.65"/>
    <n v="128.06"/>
    <n v="2.3199999999999998"/>
    <n v="4.22"/>
    <n v="1.7"/>
    <n v="5.19"/>
    <n v="492.41"/>
    <n v="27.41"/>
    <n v="1100.68"/>
  </r>
  <r>
    <s v="EU"/>
    <m/>
    <b v="1"/>
    <x v="33"/>
    <x v="5"/>
    <b v="0"/>
    <n v="6.26"/>
    <n v="3.02"/>
    <n v="13.99"/>
    <n v="-0.23"/>
    <n v="-3.54"/>
    <n v="-0.04"/>
    <n v="-0.51"/>
    <n v="52.71"/>
    <n v="2.93"/>
    <n v="117.82"/>
  </r>
  <r>
    <s v="EU"/>
    <m/>
    <b v="1"/>
    <x v="33"/>
    <x v="6"/>
    <b v="0"/>
    <n v="1.44"/>
    <n v="0.7"/>
    <n v="3.22"/>
    <n v="0.05"/>
    <n v="3.6"/>
    <n v="0.04"/>
    <n v="0.11"/>
    <n v="12.05"/>
    <n v="0.67"/>
    <n v="26.94"/>
  </r>
  <r>
    <s v="EU"/>
    <m/>
    <b v="1"/>
    <x v="33"/>
    <x v="7"/>
    <b v="0"/>
    <n v="14.65"/>
    <n v="7.07"/>
    <n v="32.75"/>
    <n v="1.25"/>
    <n v="9.33"/>
    <n v="0.74"/>
    <n v="2.79"/>
    <n v="92.13"/>
    <n v="5.13"/>
    <n v="205.94"/>
  </r>
  <r>
    <s v="EU"/>
    <m/>
    <b v="1"/>
    <x v="33"/>
    <x v="8"/>
    <b v="1"/>
    <n v="207.18"/>
    <n v="100"/>
    <n v="463.11"/>
    <n v="-4.6100000000000003"/>
    <n v="-2.1800000000000002"/>
    <n v="0"/>
    <n v="-10.3"/>
    <n v="1796.36"/>
    <n v="100"/>
    <n v="4015.39"/>
  </r>
  <r>
    <s v="EU"/>
    <m/>
    <b v="1"/>
    <x v="33"/>
    <x v="9"/>
    <b v="0"/>
    <n v="18.73"/>
    <n v="9.0399999999999991"/>
    <n v="41.87"/>
    <n v="-0.18"/>
    <n v="-0.95"/>
    <n v="0.11"/>
    <n v="-0.4"/>
    <n v="222.91"/>
    <n v="12.41"/>
    <n v="498.27"/>
  </r>
  <r>
    <s v="EU"/>
    <m/>
    <b v="1"/>
    <x v="34"/>
    <x v="0"/>
    <b v="0"/>
    <n v="8.27"/>
    <n v="4"/>
    <n v="18.489999999999998"/>
    <n v="-0.62"/>
    <n v="-6.97"/>
    <n v="-0.25"/>
    <n v="-1.39"/>
    <n v="82.24"/>
    <n v="4.1100000000000003"/>
    <n v="183.83"/>
  </r>
  <r>
    <s v="EU"/>
    <m/>
    <b v="1"/>
    <x v="34"/>
    <x v="1"/>
    <b v="0"/>
    <n v="29.55"/>
    <n v="14.3"/>
    <n v="66.05"/>
    <n v="-16.989999999999998"/>
    <n v="-36.51"/>
    <n v="-7.93"/>
    <n v="-37.979999999999997"/>
    <n v="315.54000000000002"/>
    <n v="15.75"/>
    <n v="705.32"/>
  </r>
  <r>
    <s v="EU"/>
    <m/>
    <b v="1"/>
    <x v="34"/>
    <x v="2"/>
    <b v="0"/>
    <n v="47.71"/>
    <n v="23.09"/>
    <n v="106.65"/>
    <n v="10.07"/>
    <n v="26.75"/>
    <n v="5.1100000000000003"/>
    <n v="22.51"/>
    <n v="400.44"/>
    <n v="19.989999999999998"/>
    <n v="895.1"/>
  </r>
  <r>
    <s v="EU"/>
    <m/>
    <b v="1"/>
    <x v="34"/>
    <x v="3"/>
    <b v="0"/>
    <n v="19.78"/>
    <n v="9.57"/>
    <n v="44.21"/>
    <n v="-0.47"/>
    <n v="-2.3199999999999998"/>
    <n v="-0.1"/>
    <n v="-1.05"/>
    <n v="231.24"/>
    <n v="11.54"/>
    <n v="516.89"/>
  </r>
  <r>
    <s v="EU"/>
    <m/>
    <b v="1"/>
    <x v="34"/>
    <x v="4"/>
    <b v="0"/>
    <n v="55.87"/>
    <n v="27.04"/>
    <n v="124.89"/>
    <n v="0.73"/>
    <n v="1.32"/>
    <n v="0.7"/>
    <n v="1.63"/>
    <n v="548.28"/>
    <n v="27.37"/>
    <n v="1225.57"/>
  </r>
  <r>
    <s v="EU"/>
    <m/>
    <b v="1"/>
    <x v="34"/>
    <x v="5"/>
    <b v="0"/>
    <n v="6.44"/>
    <n v="3.12"/>
    <n v="14.4"/>
    <n v="0.15"/>
    <n v="2.38"/>
    <n v="0.12"/>
    <n v="0.34"/>
    <n v="59.15"/>
    <n v="2.95"/>
    <n v="132.22"/>
  </r>
  <r>
    <s v="EU"/>
    <m/>
    <b v="1"/>
    <x v="34"/>
    <x v="6"/>
    <b v="0"/>
    <n v="1.46"/>
    <n v="0.71"/>
    <n v="3.26"/>
    <n v="0.14000000000000001"/>
    <n v="10.61"/>
    <n v="0.08"/>
    <n v="0.31"/>
    <n v="13.51"/>
    <n v="0.67"/>
    <n v="30.2"/>
  </r>
  <r>
    <s v="EU"/>
    <m/>
    <b v="1"/>
    <x v="34"/>
    <x v="7"/>
    <b v="0"/>
    <n v="11.2"/>
    <n v="5.42"/>
    <n v="25.04"/>
    <n v="0.3"/>
    <n v="2.75"/>
    <n v="0.21"/>
    <n v="0.67"/>
    <n v="103.33"/>
    <n v="5.16"/>
    <n v="230.97"/>
  </r>
  <r>
    <s v="EU"/>
    <m/>
    <b v="1"/>
    <x v="34"/>
    <x v="8"/>
    <b v="1"/>
    <n v="206.64"/>
    <n v="100"/>
    <n v="461.9"/>
    <n v="-2.69"/>
    <n v="-1.29"/>
    <n v="0"/>
    <n v="-6.01"/>
    <n v="2003"/>
    <n v="100"/>
    <n v="4477.29"/>
  </r>
  <r>
    <s v="EU"/>
    <m/>
    <b v="1"/>
    <x v="34"/>
    <x v="9"/>
    <b v="0"/>
    <n v="26.36"/>
    <n v="12.76"/>
    <n v="58.92"/>
    <n v="4"/>
    <n v="17.89"/>
    <n v="2.08"/>
    <n v="8.94"/>
    <n v="249.27"/>
    <n v="12.44"/>
    <n v="557.19000000000005"/>
  </r>
  <r>
    <s v="EU"/>
    <m/>
    <b v="1"/>
    <x v="35"/>
    <x v="0"/>
    <b v="0"/>
    <n v="9.4499999999999993"/>
    <n v="4.26"/>
    <n v="21.12"/>
    <n v="-0.33"/>
    <n v="-3.37"/>
    <n v="-0.1"/>
    <n v="-0.74"/>
    <n v="91.69"/>
    <n v="4.12"/>
    <n v="204.95"/>
  </r>
  <r>
    <s v="EU"/>
    <m/>
    <b v="1"/>
    <x v="35"/>
    <x v="1"/>
    <b v="0"/>
    <n v="35.03"/>
    <n v="15.78"/>
    <n v="78.3"/>
    <n v="-13.92"/>
    <n v="-28.44"/>
    <n v="-6.05"/>
    <n v="-31.12"/>
    <n v="350.57"/>
    <n v="15.76"/>
    <n v="783.63"/>
  </r>
  <r>
    <s v="EU"/>
    <m/>
    <b v="1"/>
    <x v="35"/>
    <x v="2"/>
    <b v="0"/>
    <n v="52.01"/>
    <n v="23.43"/>
    <n v="116.26"/>
    <n v="9.56"/>
    <n v="22.52"/>
    <n v="4.5"/>
    <n v="21.37"/>
    <n v="452.45"/>
    <n v="20.329999999999998"/>
    <n v="1011.36"/>
  </r>
  <r>
    <s v="EU"/>
    <m/>
    <b v="1"/>
    <x v="35"/>
    <x v="3"/>
    <b v="0"/>
    <n v="20.89"/>
    <n v="9.41"/>
    <n v="46.7"/>
    <n v="2.6"/>
    <n v="14.22"/>
    <n v="1.25"/>
    <n v="5.81"/>
    <n v="252.13"/>
    <n v="11.33"/>
    <n v="563.58000000000004"/>
  </r>
  <r>
    <s v="EU"/>
    <m/>
    <b v="1"/>
    <x v="35"/>
    <x v="4"/>
    <b v="0"/>
    <n v="58.77"/>
    <n v="26.47"/>
    <n v="131.37"/>
    <n v="-0.03"/>
    <n v="-0.05"/>
    <n v="0.25"/>
    <n v="-7.0000000000000007E-2"/>
    <n v="607.04999999999995"/>
    <n v="27.28"/>
    <n v="1356.93"/>
  </r>
  <r>
    <s v="EU"/>
    <m/>
    <b v="1"/>
    <x v="35"/>
    <x v="5"/>
    <b v="0"/>
    <n v="6.85"/>
    <n v="3.09"/>
    <n v="15.31"/>
    <n v="0.3"/>
    <n v="4.58"/>
    <n v="0.17"/>
    <n v="0.67"/>
    <n v="66"/>
    <n v="2.97"/>
    <n v="147.53"/>
  </r>
  <r>
    <s v="EU"/>
    <m/>
    <b v="1"/>
    <x v="35"/>
    <x v="6"/>
    <b v="0"/>
    <n v="1.56"/>
    <n v="0.7"/>
    <n v="3.49"/>
    <n v="0.16"/>
    <n v="11.43"/>
    <n v="0.08"/>
    <n v="0.36"/>
    <n v="15.07"/>
    <n v="0.68"/>
    <n v="33.69"/>
  </r>
  <r>
    <s v="EU"/>
    <m/>
    <b v="1"/>
    <x v="35"/>
    <x v="7"/>
    <b v="0"/>
    <n v="7.76"/>
    <n v="3.5"/>
    <n v="17.350000000000001"/>
    <n v="0.23"/>
    <n v="3.05"/>
    <n v="0.14000000000000001"/>
    <n v="0.51"/>
    <n v="111.09"/>
    <n v="4.99"/>
    <n v="248.32"/>
  </r>
  <r>
    <s v="EU"/>
    <m/>
    <b v="1"/>
    <x v="35"/>
    <x v="8"/>
    <b v="1"/>
    <n v="221.99"/>
    <n v="100"/>
    <n v="496.21"/>
    <n v="-2.2599999999999998"/>
    <n v="-1.01"/>
    <n v="0"/>
    <n v="-5.05"/>
    <n v="2224.9899999999998"/>
    <n v="100"/>
    <n v="4973.5"/>
  </r>
  <r>
    <s v="EU"/>
    <m/>
    <b v="1"/>
    <x v="35"/>
    <x v="9"/>
    <b v="0"/>
    <n v="29.67"/>
    <n v="13.37"/>
    <n v="66.319999999999993"/>
    <n v="-0.83"/>
    <n v="-2.72"/>
    <n v="-0.23"/>
    <n v="-1.86"/>
    <n v="278.94"/>
    <n v="12.54"/>
    <n v="623.51"/>
  </r>
  <r>
    <s v="EU"/>
    <m/>
    <b v="1"/>
    <x v="36"/>
    <x v="0"/>
    <b v="0"/>
    <n v="10.01"/>
    <n v="4.3"/>
    <n v="22.38"/>
    <n v="-0.11"/>
    <n v="-1.0900000000000001"/>
    <n v="0"/>
    <n v="-0.25"/>
    <n v="101.7"/>
    <n v="4.1399999999999997"/>
    <n v="227.33"/>
  </r>
  <r>
    <s v="EU"/>
    <m/>
    <b v="1"/>
    <x v="36"/>
    <x v="1"/>
    <b v="0"/>
    <n v="39.58"/>
    <n v="17"/>
    <n v="88.47"/>
    <n v="-11.35"/>
    <n v="-22.29"/>
    <n v="-4.62"/>
    <n v="-25.37"/>
    <n v="390.15"/>
    <n v="15.87"/>
    <n v="872.1"/>
  </r>
  <r>
    <s v="EU"/>
    <m/>
    <b v="1"/>
    <x v="36"/>
    <x v="2"/>
    <b v="0"/>
    <n v="48.46"/>
    <n v="20.82"/>
    <n v="108.32"/>
    <n v="-0.94"/>
    <n v="-1.9"/>
    <n v="-0.15"/>
    <n v="-2.1"/>
    <n v="500.91"/>
    <n v="20.38"/>
    <n v="1119.68"/>
  </r>
  <r>
    <s v="EU"/>
    <m/>
    <b v="1"/>
    <x v="36"/>
    <x v="3"/>
    <b v="0"/>
    <n v="29.36"/>
    <n v="12.61"/>
    <n v="65.63"/>
    <n v="5.43"/>
    <n v="22.69"/>
    <n v="2.4500000000000002"/>
    <n v="12.14"/>
    <n v="281.49"/>
    <n v="11.45"/>
    <n v="629.21"/>
  </r>
  <r>
    <s v="EU"/>
    <m/>
    <b v="1"/>
    <x v="36"/>
    <x v="4"/>
    <b v="0"/>
    <n v="58.67"/>
    <n v="25.2"/>
    <n v="131.13999999999999"/>
    <n v="-1.1399999999999999"/>
    <n v="-1.91"/>
    <n v="-0.19"/>
    <n v="-2.5499999999999998"/>
    <n v="665.72"/>
    <n v="27.09"/>
    <n v="1488.08"/>
  </r>
  <r>
    <s v="EU"/>
    <m/>
    <b v="1"/>
    <x v="36"/>
    <x v="5"/>
    <b v="0"/>
    <n v="6.91"/>
    <n v="2.97"/>
    <n v="15.45"/>
    <n v="0.33"/>
    <n v="5.0199999999999996"/>
    <n v="0.18"/>
    <n v="0.74"/>
    <n v="72.91"/>
    <n v="2.97"/>
    <n v="162.97999999999999"/>
  </r>
  <r>
    <s v="EU"/>
    <m/>
    <b v="1"/>
    <x v="36"/>
    <x v="6"/>
    <b v="0"/>
    <n v="1.58"/>
    <n v="0.68"/>
    <n v="3.53"/>
    <n v="0.2"/>
    <n v="14.49"/>
    <n v="0.09"/>
    <n v="0.45"/>
    <n v="16.649999999999999"/>
    <n v="0.68"/>
    <n v="37.22"/>
  </r>
  <r>
    <s v="EU"/>
    <m/>
    <b v="1"/>
    <x v="36"/>
    <x v="7"/>
    <b v="0"/>
    <n v="3.84"/>
    <n v="1.65"/>
    <n v="8.58"/>
    <n v="0.08"/>
    <n v="2.13"/>
    <n v="0.05"/>
    <n v="0.18"/>
    <n v="114.93"/>
    <n v="4.68"/>
    <n v="256.89999999999998"/>
  </r>
  <r>
    <s v="EU"/>
    <m/>
    <b v="1"/>
    <x v="36"/>
    <x v="8"/>
    <b v="1"/>
    <n v="232.79"/>
    <n v="100"/>
    <n v="520.35"/>
    <n v="-2.76"/>
    <n v="-1.17"/>
    <n v="0"/>
    <n v="-6.17"/>
    <n v="2457.7800000000002"/>
    <n v="100"/>
    <n v="5493.85"/>
  </r>
  <r>
    <s v="EU"/>
    <m/>
    <b v="1"/>
    <x v="36"/>
    <x v="9"/>
    <b v="0"/>
    <n v="34.380000000000003"/>
    <n v="14.77"/>
    <n v="76.849999999999994"/>
    <n v="4.74"/>
    <n v="15.99"/>
    <n v="2.19"/>
    <n v="10.6"/>
    <n v="313.32"/>
    <n v="12.75"/>
    <n v="700.36"/>
  </r>
  <r>
    <s v="EU"/>
    <m/>
    <b v="1"/>
    <x v="37"/>
    <x v="0"/>
    <b v="0"/>
    <n v="10.5"/>
    <n v="4.37"/>
    <n v="23.47"/>
    <n v="-0.55000000000000004"/>
    <n v="-4.9800000000000004"/>
    <n v="-7.0000000000000007E-2"/>
    <n v="-1.23"/>
    <n v="112.2"/>
    <n v="4.16"/>
    <n v="250.8"/>
  </r>
  <r>
    <s v="EU"/>
    <m/>
    <b v="1"/>
    <x v="37"/>
    <x v="1"/>
    <b v="0"/>
    <n v="34.58"/>
    <n v="14.38"/>
    <n v="77.3"/>
    <n v="-12.77"/>
    <n v="-26.97"/>
    <n v="-4.63"/>
    <n v="-28.54"/>
    <n v="424.73"/>
    <n v="15.74"/>
    <n v="949.39"/>
  </r>
  <r>
    <s v="EU"/>
    <m/>
    <b v="1"/>
    <x v="37"/>
    <x v="2"/>
    <b v="0"/>
    <n v="42.91"/>
    <n v="17.850000000000001"/>
    <n v="95.92"/>
    <n v="-5.09"/>
    <n v="-10.6"/>
    <n v="-1.42"/>
    <n v="-11.38"/>
    <n v="543.82000000000005"/>
    <n v="20.149999999999999"/>
    <n v="1215.5999999999999"/>
  </r>
  <r>
    <s v="EU"/>
    <m/>
    <b v="1"/>
    <x v="37"/>
    <x v="3"/>
    <b v="0"/>
    <n v="33.840000000000003"/>
    <n v="14.07"/>
    <n v="75.64"/>
    <n v="7.48"/>
    <n v="28.38"/>
    <n v="3.49"/>
    <n v="16.72"/>
    <n v="315.33"/>
    <n v="11.69"/>
    <n v="704.85"/>
  </r>
  <r>
    <s v="EU"/>
    <m/>
    <b v="1"/>
    <x v="37"/>
    <x v="4"/>
    <b v="0"/>
    <n v="64.31"/>
    <n v="26.75"/>
    <n v="143.75"/>
    <n v="-4.38"/>
    <n v="-6.38"/>
    <n v="-0.83"/>
    <n v="-9.7899999999999991"/>
    <n v="730.03"/>
    <n v="27.06"/>
    <n v="1631.83"/>
  </r>
  <r>
    <s v="EU"/>
    <m/>
    <b v="1"/>
    <x v="37"/>
    <x v="5"/>
    <b v="0"/>
    <n v="6.95"/>
    <n v="2.89"/>
    <n v="15.54"/>
    <n v="0.16"/>
    <n v="2.36"/>
    <n v="0.16"/>
    <n v="0.36"/>
    <n v="79.86"/>
    <n v="2.96"/>
    <n v="178.51"/>
  </r>
  <r>
    <s v="EU"/>
    <m/>
    <b v="1"/>
    <x v="37"/>
    <x v="6"/>
    <b v="0"/>
    <n v="1.64"/>
    <n v="0.68"/>
    <n v="3.67"/>
    <n v="0.23"/>
    <n v="16.309999999999999"/>
    <n v="0.11"/>
    <n v="0.51"/>
    <n v="18.29"/>
    <n v="0.68"/>
    <n v="40.880000000000003"/>
  </r>
  <r>
    <s v="EU"/>
    <m/>
    <b v="1"/>
    <x v="37"/>
    <x v="7"/>
    <b v="0"/>
    <n v="3.57"/>
    <n v="1.48"/>
    <n v="7.98"/>
    <n v="0.69"/>
    <n v="23.96"/>
    <n v="0.32"/>
    <n v="1.54"/>
    <n v="118.5"/>
    <n v="4.3899999999999997"/>
    <n v="264.88"/>
  </r>
  <r>
    <s v="EU"/>
    <m/>
    <b v="1"/>
    <x v="37"/>
    <x v="8"/>
    <b v="1"/>
    <n v="240.45"/>
    <n v="100"/>
    <n v="537.48"/>
    <n v="-8.59"/>
    <n v="-3.45"/>
    <n v="0"/>
    <n v="-19.2"/>
    <n v="2698.23"/>
    <n v="100"/>
    <n v="6031.33"/>
  </r>
  <r>
    <s v="EU"/>
    <m/>
    <b v="1"/>
    <x v="37"/>
    <x v="9"/>
    <b v="0"/>
    <n v="42.15"/>
    <n v="17.53"/>
    <n v="94.22"/>
    <n v="5.64"/>
    <n v="15.45"/>
    <n v="2.87"/>
    <n v="12.61"/>
    <n v="355.47"/>
    <n v="13.17"/>
    <n v="794.58"/>
  </r>
  <r>
    <s v="EU"/>
    <m/>
    <b v="1"/>
    <x v="38"/>
    <x v="0"/>
    <b v="0"/>
    <n v="10.4"/>
    <n v="4.09"/>
    <n v="23.23"/>
    <n v="-0.63"/>
    <n v="-5.71"/>
    <n v="-0.03"/>
    <n v="-1.41"/>
    <n v="10.4"/>
    <n v="4.09"/>
    <n v="23.23"/>
  </r>
  <r>
    <s v="EU"/>
    <m/>
    <b v="1"/>
    <x v="38"/>
    <x v="1"/>
    <b v="0"/>
    <n v="35.31"/>
    <n v="13.89"/>
    <n v="78.86"/>
    <n v="-15.82"/>
    <n v="-30.94"/>
    <n v="-5.23"/>
    <n v="-35.33"/>
    <n v="35.31"/>
    <n v="13.89"/>
    <n v="78.86"/>
  </r>
  <r>
    <s v="EU"/>
    <m/>
    <b v="1"/>
    <x v="38"/>
    <x v="2"/>
    <b v="0"/>
    <n v="56.05"/>
    <n v="22.04"/>
    <n v="125.17"/>
    <n v="0"/>
    <n v="0"/>
    <n v="1.08"/>
    <n v="0"/>
    <n v="56.05"/>
    <n v="22.04"/>
    <n v="125.17"/>
  </r>
  <r>
    <s v="EU"/>
    <m/>
    <b v="1"/>
    <x v="38"/>
    <x v="3"/>
    <b v="0"/>
    <n v="29.43"/>
    <n v="11.57"/>
    <n v="65.72"/>
    <n v="4"/>
    <n v="15.73"/>
    <n v="2.06"/>
    <n v="8.93"/>
    <n v="29.43"/>
    <n v="11.57"/>
    <n v="65.72"/>
  </r>
  <r>
    <s v="EU"/>
    <m/>
    <b v="1"/>
    <x v="38"/>
    <x v="4"/>
    <b v="0"/>
    <n v="68.040000000000006"/>
    <n v="26.76"/>
    <n v="151.94999999999999"/>
    <n v="-3.8"/>
    <n v="-5.29"/>
    <n v="-0.11"/>
    <n v="-8.49"/>
    <n v="68.040000000000006"/>
    <n v="26.76"/>
    <n v="151.94999999999999"/>
  </r>
  <r>
    <s v="EU"/>
    <m/>
    <b v="1"/>
    <x v="38"/>
    <x v="5"/>
    <b v="0"/>
    <n v="6.9"/>
    <n v="2.71"/>
    <n v="15.41"/>
    <n v="-1.41"/>
    <n v="-16.97"/>
    <n v="-0.4"/>
    <n v="-3.15"/>
    <n v="6.9"/>
    <n v="2.71"/>
    <n v="15.41"/>
  </r>
  <r>
    <s v="EU"/>
    <m/>
    <b v="1"/>
    <x v="38"/>
    <x v="6"/>
    <b v="0"/>
    <n v="1.64"/>
    <n v="0.64"/>
    <n v="3.66"/>
    <n v="0"/>
    <n v="0"/>
    <n v="0.03"/>
    <n v="0"/>
    <n v="1.64"/>
    <n v="0.64"/>
    <n v="3.66"/>
  </r>
  <r>
    <s v="EU"/>
    <m/>
    <b v="1"/>
    <x v="38"/>
    <x v="7"/>
    <b v="0"/>
    <n v="4.46"/>
    <n v="1.75"/>
    <n v="9.9600000000000009"/>
    <n v="0.93"/>
    <n v="26.35"/>
    <n v="0.43"/>
    <n v="2.08"/>
    <n v="4.46"/>
    <n v="1.75"/>
    <n v="9.9600000000000009"/>
  </r>
  <r>
    <s v="EU"/>
    <m/>
    <b v="1"/>
    <x v="38"/>
    <x v="8"/>
    <b v="1"/>
    <n v="254.3"/>
    <n v="100"/>
    <n v="567.91999999999996"/>
    <n v="-13.11"/>
    <n v="-4.9000000000000004"/>
    <n v="0"/>
    <n v="-29.28"/>
    <n v="254.3"/>
    <n v="100"/>
    <n v="567.91999999999996"/>
  </r>
  <r>
    <s v="EU"/>
    <m/>
    <b v="1"/>
    <x v="38"/>
    <x v="9"/>
    <b v="0"/>
    <n v="42.07"/>
    <n v="16.54"/>
    <n v="93.95"/>
    <n v="3.62"/>
    <n v="9.41"/>
    <n v="2.16"/>
    <n v="8.08"/>
    <n v="42.07"/>
    <n v="16.54"/>
    <n v="93.95"/>
  </r>
  <r>
    <s v="EU"/>
    <m/>
    <b v="1"/>
    <x v="39"/>
    <x v="0"/>
    <b v="0"/>
    <n v="9.27"/>
    <n v="3.94"/>
    <n v="20.7"/>
    <n v="-0.3"/>
    <n v="-3.13"/>
    <n v="-0.2"/>
    <n v="-0.67"/>
    <n v="19.670000000000002"/>
    <n v="4.0199999999999996"/>
    <n v="43.93"/>
  </r>
  <r>
    <s v="EU"/>
    <m/>
    <b v="1"/>
    <x v="39"/>
    <x v="1"/>
    <b v="0"/>
    <n v="27.37"/>
    <n v="11.64"/>
    <n v="61.12"/>
    <n v="-14.85"/>
    <n v="-35.17"/>
    <n v="-6.61"/>
    <n v="-33.159999999999997"/>
    <n v="62.68"/>
    <n v="12.8"/>
    <n v="139.97999999999999"/>
  </r>
  <r>
    <s v="EU"/>
    <m/>
    <b v="1"/>
    <x v="39"/>
    <x v="2"/>
    <b v="0"/>
    <n v="45.31"/>
    <n v="19.260000000000002"/>
    <n v="101.19"/>
    <n v="1.36"/>
    <n v="3.09"/>
    <n v="0.26"/>
    <n v="3.04"/>
    <n v="101.36"/>
    <n v="20.71"/>
    <n v="226.36"/>
  </r>
  <r>
    <s v="EU"/>
    <m/>
    <b v="1"/>
    <x v="39"/>
    <x v="3"/>
    <b v="0"/>
    <n v="28.62"/>
    <n v="12.17"/>
    <n v="63.92"/>
    <n v="4.33"/>
    <n v="17.829999999999998"/>
    <n v="1.67"/>
    <n v="9.67"/>
    <n v="58.05"/>
    <n v="11.86"/>
    <n v="129.63999999999999"/>
  </r>
  <r>
    <s v="EU"/>
    <m/>
    <b v="1"/>
    <x v="39"/>
    <x v="4"/>
    <b v="0"/>
    <n v="60.58"/>
    <n v="25.76"/>
    <n v="135.29"/>
    <n v="-4.34"/>
    <n v="-6.69"/>
    <n v="-2.31"/>
    <n v="-9.69"/>
    <n v="128.62"/>
    <n v="26.28"/>
    <n v="287.24"/>
  </r>
  <r>
    <s v="EU"/>
    <m/>
    <b v="1"/>
    <x v="39"/>
    <x v="5"/>
    <b v="0"/>
    <n v="6.37"/>
    <n v="2.71"/>
    <n v="14.23"/>
    <n v="-0.53"/>
    <n v="-7.68"/>
    <n v="-0.27"/>
    <n v="-1.18"/>
    <n v="13.27"/>
    <n v="2.71"/>
    <n v="29.64"/>
  </r>
  <r>
    <s v="EU"/>
    <m/>
    <b v="1"/>
    <x v="39"/>
    <x v="6"/>
    <b v="0"/>
    <n v="1.49"/>
    <n v="0.63"/>
    <n v="3.33"/>
    <n v="-0.02"/>
    <n v="-1.32"/>
    <n v="-0.02"/>
    <n v="-0.04"/>
    <n v="3.13"/>
    <n v="0.64"/>
    <n v="6.99"/>
  </r>
  <r>
    <s v="EU"/>
    <m/>
    <b v="1"/>
    <x v="39"/>
    <x v="7"/>
    <b v="0"/>
    <n v="6.73"/>
    <n v="2.86"/>
    <n v="15.03"/>
    <n v="-0.05"/>
    <n v="-0.74"/>
    <n v="-7.0000000000000007E-2"/>
    <n v="-0.11"/>
    <n v="11.19"/>
    <n v="2.29"/>
    <n v="24.99"/>
  </r>
  <r>
    <s v="EU"/>
    <m/>
    <b v="1"/>
    <x v="39"/>
    <x v="8"/>
    <b v="1"/>
    <n v="235.21"/>
    <n v="100"/>
    <n v="525.28"/>
    <n v="3.92"/>
    <n v="1.69"/>
    <n v="0"/>
    <n v="8.75"/>
    <n v="489.51"/>
    <n v="100"/>
    <n v="1093.2"/>
  </r>
  <r>
    <s v="EU"/>
    <m/>
    <b v="1"/>
    <x v="39"/>
    <x v="9"/>
    <b v="0"/>
    <n v="49.47"/>
    <n v="21.03"/>
    <n v="110.48"/>
    <n v="18.32"/>
    <n v="58.81"/>
    <n v="7.56"/>
    <n v="40.909999999999997"/>
    <n v="91.54"/>
    <n v="18.7"/>
    <n v="204.43"/>
  </r>
  <r>
    <s v="EU"/>
    <m/>
    <b v="1"/>
    <x v="40"/>
    <x v="0"/>
    <b v="0"/>
    <n v="10.130000000000001"/>
    <n v="4.38"/>
    <n v="22.62"/>
    <n v="-0.14000000000000001"/>
    <n v="-1.36"/>
    <n v="0.08"/>
    <n v="-0.31"/>
    <n v="29.8"/>
    <n v="4.13"/>
    <n v="66.55"/>
  </r>
  <r>
    <s v="EU"/>
    <m/>
    <b v="1"/>
    <x v="40"/>
    <x v="1"/>
    <b v="0"/>
    <n v="27.88"/>
    <n v="12.06"/>
    <n v="62.26"/>
    <n v="-7.67"/>
    <n v="-21.58"/>
    <n v="-2.84"/>
    <n v="-17.13"/>
    <n v="90.56"/>
    <n v="12.57"/>
    <n v="202.24"/>
  </r>
  <r>
    <s v="EU"/>
    <m/>
    <b v="1"/>
    <x v="40"/>
    <x v="2"/>
    <b v="0"/>
    <n v="41.5"/>
    <n v="17.95"/>
    <n v="92.68"/>
    <n v="1.62"/>
    <n v="4.0599999999999996"/>
    <n v="1.24"/>
    <n v="3.62"/>
    <n v="142.86000000000001"/>
    <n v="19.82"/>
    <n v="319.04000000000002"/>
  </r>
  <r>
    <s v="EU"/>
    <m/>
    <b v="1"/>
    <x v="40"/>
    <x v="3"/>
    <b v="0"/>
    <n v="31.76"/>
    <n v="13.74"/>
    <n v="70.930000000000007"/>
    <n v="5.66"/>
    <n v="21.69"/>
    <n v="2.8"/>
    <n v="12.64"/>
    <n v="89.81"/>
    <n v="12.46"/>
    <n v="200.57"/>
  </r>
  <r>
    <s v="EU"/>
    <m/>
    <b v="1"/>
    <x v="40"/>
    <x v="4"/>
    <b v="0"/>
    <n v="59.85"/>
    <n v="25.88"/>
    <n v="133.66"/>
    <n v="-6.99"/>
    <n v="-10.46"/>
    <n v="-2.13"/>
    <n v="-15.61"/>
    <n v="188.47"/>
    <n v="26.15"/>
    <n v="420.9"/>
  </r>
  <r>
    <s v="EU"/>
    <m/>
    <b v="1"/>
    <x v="40"/>
    <x v="5"/>
    <b v="0"/>
    <n v="6.42"/>
    <n v="2.78"/>
    <n v="14.34"/>
    <n v="-0.6"/>
    <n v="-8.5500000000000007"/>
    <n v="-0.16"/>
    <n v="-1.34"/>
    <n v="19.690000000000001"/>
    <n v="2.73"/>
    <n v="43.97"/>
  </r>
  <r>
    <s v="EU"/>
    <m/>
    <b v="1"/>
    <x v="40"/>
    <x v="6"/>
    <b v="0"/>
    <n v="1.6"/>
    <n v="0.69"/>
    <n v="3.57"/>
    <n v="-0.04"/>
    <n v="-2.44"/>
    <n v="0"/>
    <n v="-0.09"/>
    <n v="4.7300000000000004"/>
    <n v="0.66"/>
    <n v="10.56"/>
  </r>
  <r>
    <s v="EU"/>
    <m/>
    <b v="1"/>
    <x v="40"/>
    <x v="7"/>
    <b v="0"/>
    <n v="11.43"/>
    <n v="4.9400000000000004"/>
    <n v="25.53"/>
    <n v="1.65"/>
    <n v="16.87"/>
    <n v="0.84"/>
    <n v="3.68"/>
    <n v="22.62"/>
    <n v="3.14"/>
    <n v="50.52"/>
  </r>
  <r>
    <s v="EU"/>
    <m/>
    <b v="1"/>
    <x v="40"/>
    <x v="8"/>
    <b v="1"/>
    <n v="231.22"/>
    <n v="100"/>
    <n v="516.37"/>
    <n v="-7.42"/>
    <n v="-3.11"/>
    <n v="0"/>
    <n v="-16.57"/>
    <n v="720.73"/>
    <n v="100"/>
    <n v="1609.57"/>
  </r>
  <r>
    <s v="EU"/>
    <m/>
    <b v="1"/>
    <x v="40"/>
    <x v="9"/>
    <b v="0"/>
    <n v="40.65"/>
    <n v="17.579999999999998"/>
    <n v="90.78"/>
    <n v="-0.91"/>
    <n v="-2.19"/>
    <n v="0.16"/>
    <n v="-2.0299999999999998"/>
    <n v="132.19"/>
    <n v="18.34"/>
    <n v="295.20999999999998"/>
  </r>
  <r>
    <s v="EU"/>
    <m/>
    <b v="1"/>
    <x v="41"/>
    <x v="0"/>
    <b v="0"/>
    <n v="9.2200000000000006"/>
    <n v="4.84"/>
    <n v="20.59"/>
    <n v="0.11"/>
    <n v="1.21"/>
    <n v="0.57999999999999996"/>
    <n v="0.25"/>
    <n v="39.020000000000003"/>
    <n v="4.28"/>
    <n v="87.14"/>
  </r>
  <r>
    <s v="EU"/>
    <m/>
    <b v="1"/>
    <x v="41"/>
    <x v="1"/>
    <b v="0"/>
    <n v="20.12"/>
    <n v="10.57"/>
    <n v="44.93"/>
    <n v="-14.09"/>
    <n v="-41.19"/>
    <n v="-5.42"/>
    <n v="-31.47"/>
    <n v="110.68"/>
    <n v="12.15"/>
    <n v="247.18"/>
  </r>
  <r>
    <s v="EU"/>
    <m/>
    <b v="1"/>
    <x v="41"/>
    <x v="2"/>
    <b v="0"/>
    <n v="32.35"/>
    <n v="17"/>
    <n v="72.25"/>
    <n v="-4.5999999999999996"/>
    <n v="-12.45"/>
    <n v="-0.27"/>
    <n v="-10.27"/>
    <n v="175.21"/>
    <n v="19.23"/>
    <n v="391.29"/>
  </r>
  <r>
    <s v="EU"/>
    <m/>
    <b v="1"/>
    <x v="41"/>
    <x v="3"/>
    <b v="0"/>
    <n v="27.56"/>
    <n v="14.48"/>
    <n v="61.55"/>
    <n v="1.62"/>
    <n v="6.25"/>
    <n v="2.36"/>
    <n v="3.62"/>
    <n v="117.37"/>
    <n v="12.88"/>
    <n v="262.12"/>
  </r>
  <r>
    <s v="EU"/>
    <m/>
    <b v="1"/>
    <x v="41"/>
    <x v="4"/>
    <b v="0"/>
    <n v="51.59"/>
    <n v="27.1"/>
    <n v="115.21"/>
    <n v="-8.99"/>
    <n v="-14.84"/>
    <n v="-1.21"/>
    <n v="-20.079999999999998"/>
    <n v="240.06"/>
    <n v="26.35"/>
    <n v="536.11"/>
  </r>
  <r>
    <s v="EU"/>
    <m/>
    <b v="1"/>
    <x v="41"/>
    <x v="5"/>
    <b v="0"/>
    <n v="5.52"/>
    <n v="2.9"/>
    <n v="12.33"/>
    <n v="-0.92"/>
    <n v="-14.29"/>
    <n v="-0.11"/>
    <n v="-2.0499999999999998"/>
    <n v="25.21"/>
    <n v="2.77"/>
    <n v="56.3"/>
  </r>
  <r>
    <s v="EU"/>
    <m/>
    <b v="1"/>
    <x v="41"/>
    <x v="6"/>
    <b v="0"/>
    <n v="1.47"/>
    <n v="0.77"/>
    <n v="3.28"/>
    <n v="-0.1"/>
    <n v="-6.37"/>
    <n v="0.04"/>
    <n v="-0.22"/>
    <n v="6.2"/>
    <n v="0.68"/>
    <n v="13.85"/>
  </r>
  <r>
    <s v="EU"/>
    <m/>
    <b v="1"/>
    <x v="41"/>
    <x v="7"/>
    <b v="0"/>
    <n v="16.03"/>
    <n v="8.42"/>
    <n v="35.799999999999997"/>
    <n v="3.84"/>
    <n v="31.5"/>
    <n v="2.72"/>
    <n v="8.58"/>
    <n v="38.65"/>
    <n v="4.24"/>
    <n v="86.32"/>
  </r>
  <r>
    <s v="EU"/>
    <m/>
    <b v="1"/>
    <x v="41"/>
    <x v="8"/>
    <b v="1"/>
    <n v="190.34"/>
    <n v="100"/>
    <n v="425.08"/>
    <n v="-23.66"/>
    <n v="-11.06"/>
    <n v="0"/>
    <n v="-52.84"/>
    <n v="911.07"/>
    <n v="100"/>
    <n v="2034.65"/>
  </r>
  <r>
    <s v="EU"/>
    <m/>
    <b v="1"/>
    <x v="41"/>
    <x v="9"/>
    <b v="0"/>
    <n v="26.48"/>
    <n v="13.91"/>
    <n v="59.14"/>
    <n v="-0.53"/>
    <n v="-1.96"/>
    <n v="1.29"/>
    <n v="-1.18"/>
    <n v="158.66999999999999"/>
    <n v="17.420000000000002"/>
    <n v="354.35"/>
  </r>
  <r>
    <s v="EU"/>
    <m/>
    <b v="1"/>
    <x v="42"/>
    <x v="0"/>
    <b v="0"/>
    <n v="9.26"/>
    <n v="4.84"/>
    <n v="20.68"/>
    <n v="0.54"/>
    <n v="6.19"/>
    <n v="0.76"/>
    <n v="1.21"/>
    <n v="48.28"/>
    <n v="4.38"/>
    <n v="107.82"/>
  </r>
  <r>
    <s v="EU"/>
    <m/>
    <b v="1"/>
    <x v="42"/>
    <x v="1"/>
    <b v="0"/>
    <n v="19.8"/>
    <n v="10.35"/>
    <n v="44.22"/>
    <n v="-12.53"/>
    <n v="-38.76"/>
    <n v="-4.78"/>
    <n v="-27.98"/>
    <n v="130.47999999999999"/>
    <n v="11.84"/>
    <n v="291.39"/>
  </r>
  <r>
    <s v="EU"/>
    <m/>
    <b v="1"/>
    <x v="42"/>
    <x v="2"/>
    <b v="0"/>
    <n v="32.97"/>
    <n v="17.239999999999998"/>
    <n v="73.63"/>
    <n v="-4.32"/>
    <n v="-11.58"/>
    <n v="-0.21"/>
    <n v="-9.65"/>
    <n v="208.18"/>
    <n v="18.89"/>
    <n v="464.92"/>
  </r>
  <r>
    <s v="EU"/>
    <m/>
    <b v="1"/>
    <x v="42"/>
    <x v="3"/>
    <b v="0"/>
    <n v="31.36"/>
    <n v="16.399999999999999"/>
    <n v="70.03"/>
    <n v="1.02"/>
    <n v="3.36"/>
    <n v="2.2000000000000002"/>
    <n v="2.2799999999999998"/>
    <n v="148.72999999999999"/>
    <n v="13.49"/>
    <n v="332.15"/>
  </r>
  <r>
    <s v="EU"/>
    <m/>
    <b v="1"/>
    <x v="42"/>
    <x v="4"/>
    <b v="0"/>
    <n v="47.87"/>
    <n v="25.03"/>
    <n v="106.91"/>
    <n v="-9.84"/>
    <n v="-17.05"/>
    <n v="-1.98"/>
    <n v="-21.98"/>
    <n v="287.93"/>
    <n v="26.12"/>
    <n v="643.02"/>
  </r>
  <r>
    <s v="EU"/>
    <m/>
    <b v="1"/>
    <x v="42"/>
    <x v="5"/>
    <b v="0"/>
    <n v="5.53"/>
    <n v="2.89"/>
    <n v="12.35"/>
    <n v="-0.76"/>
    <n v="-12.08"/>
    <n v="-0.05"/>
    <n v="-1.7"/>
    <n v="30.74"/>
    <n v="2.79"/>
    <n v="68.650000000000006"/>
  </r>
  <r>
    <s v="EU"/>
    <m/>
    <b v="1"/>
    <x v="42"/>
    <x v="6"/>
    <b v="0"/>
    <n v="1.47"/>
    <n v="0.77"/>
    <n v="3.28"/>
    <n v="-0.08"/>
    <n v="-5.16"/>
    <n v="0.04"/>
    <n v="-0.18"/>
    <n v="7.67"/>
    <n v="0.7"/>
    <n v="17.13"/>
  </r>
  <r>
    <s v="EU"/>
    <m/>
    <b v="1"/>
    <x v="42"/>
    <x v="7"/>
    <b v="0"/>
    <n v="17.489999999999998"/>
    <n v="9.15"/>
    <n v="39.06"/>
    <n v="4.0999999999999996"/>
    <n v="30.62"/>
    <n v="2.88"/>
    <n v="9.16"/>
    <n v="56.14"/>
    <n v="5.09"/>
    <n v="125.37"/>
  </r>
  <r>
    <s v="EU"/>
    <m/>
    <b v="1"/>
    <x v="42"/>
    <x v="8"/>
    <b v="1"/>
    <n v="191.24"/>
    <n v="100"/>
    <n v="427.09"/>
    <n v="-22.43"/>
    <n v="-10.5"/>
    <n v="0"/>
    <n v="-50.09"/>
    <n v="1102.31"/>
    <n v="100"/>
    <n v="2461.7399999999998"/>
  </r>
  <r>
    <s v="EU"/>
    <m/>
    <b v="1"/>
    <x v="42"/>
    <x v="9"/>
    <b v="0"/>
    <n v="25.49"/>
    <n v="13.33"/>
    <n v="56.93"/>
    <n v="-0.56000000000000005"/>
    <n v="-2.15"/>
    <n v="1.1399999999999999"/>
    <n v="-1.25"/>
    <n v="184.16"/>
    <n v="16.71"/>
    <n v="411.28"/>
  </r>
  <r>
    <s v="EU"/>
    <m/>
    <b v="1"/>
    <x v="43"/>
    <x v="0"/>
    <b v="0"/>
    <n v="8.3699999999999992"/>
    <n v="4.41"/>
    <n v="18.690000000000001"/>
    <n v="0.26"/>
    <n v="3.21"/>
    <n v="0.48"/>
    <n v="0.57999999999999996"/>
    <n v="56.65"/>
    <n v="4.38"/>
    <n v="126.51"/>
  </r>
  <r>
    <s v="EU"/>
    <m/>
    <b v="1"/>
    <x v="43"/>
    <x v="1"/>
    <b v="0"/>
    <n v="22.01"/>
    <n v="11.6"/>
    <n v="49.15"/>
    <n v="-6.6"/>
    <n v="-23.07"/>
    <n v="-2.27"/>
    <n v="-14.74"/>
    <n v="152.49"/>
    <n v="11.8"/>
    <n v="340.55"/>
  </r>
  <r>
    <s v="EU"/>
    <m/>
    <b v="1"/>
    <x v="43"/>
    <x v="2"/>
    <b v="0"/>
    <n v="40.21"/>
    <n v="21.2"/>
    <n v="89.8"/>
    <n v="0.35"/>
    <n v="0.88"/>
    <n v="1.88"/>
    <n v="0.78"/>
    <n v="248.39"/>
    <n v="19.23"/>
    <n v="554.72"/>
  </r>
  <r>
    <s v="EU"/>
    <m/>
    <b v="1"/>
    <x v="43"/>
    <x v="3"/>
    <b v="0"/>
    <n v="30.8"/>
    <n v="16.239999999999998"/>
    <n v="68.78"/>
    <n v="-0.28000000000000003"/>
    <n v="-0.9"/>
    <n v="1.17"/>
    <n v="-0.63"/>
    <n v="179.53"/>
    <n v="13.9"/>
    <n v="400.94"/>
  </r>
  <r>
    <s v="EU"/>
    <m/>
    <b v="1"/>
    <x v="43"/>
    <x v="4"/>
    <b v="0"/>
    <n v="43.96"/>
    <n v="23.18"/>
    <n v="98.17"/>
    <n v="-11.28"/>
    <n v="-20.420000000000002"/>
    <n v="-3.6"/>
    <n v="-25.19"/>
    <n v="331.89"/>
    <n v="25.69"/>
    <n v="741.19"/>
  </r>
  <r>
    <s v="EU"/>
    <m/>
    <b v="1"/>
    <x v="43"/>
    <x v="5"/>
    <b v="0"/>
    <n v="5.33"/>
    <n v="2.81"/>
    <n v="11.9"/>
    <n v="-0.28000000000000003"/>
    <n v="-4.99"/>
    <n v="0.09"/>
    <n v="-0.63"/>
    <n v="36.07"/>
    <n v="2.79"/>
    <n v="80.55"/>
  </r>
  <r>
    <s v="EU"/>
    <m/>
    <b v="1"/>
    <x v="43"/>
    <x v="6"/>
    <b v="0"/>
    <n v="1.33"/>
    <n v="0.7"/>
    <n v="2.97"/>
    <n v="0.08"/>
    <n v="6.4"/>
    <n v="0.09"/>
    <n v="0.18"/>
    <n v="9"/>
    <n v="0.7"/>
    <n v="20.100000000000001"/>
  </r>
  <r>
    <s v="EU"/>
    <m/>
    <b v="1"/>
    <x v="43"/>
    <x v="7"/>
    <b v="0"/>
    <n v="16.809999999999999"/>
    <n v="8.86"/>
    <n v="37.54"/>
    <n v="0.55000000000000004"/>
    <n v="3.38"/>
    <n v="0.98"/>
    <n v="1.23"/>
    <n v="72.95"/>
    <n v="5.65"/>
    <n v="162.91999999999999"/>
  </r>
  <r>
    <s v="EU"/>
    <m/>
    <b v="1"/>
    <x v="43"/>
    <x v="8"/>
    <b v="1"/>
    <n v="189.67"/>
    <n v="100"/>
    <n v="423.58"/>
    <n v="-16.63"/>
    <n v="-8.06"/>
    <n v="0"/>
    <n v="-37.14"/>
    <n v="1291.98"/>
    <n v="100"/>
    <n v="2885.32"/>
  </r>
  <r>
    <s v="EU"/>
    <m/>
    <b v="1"/>
    <x v="43"/>
    <x v="9"/>
    <b v="0"/>
    <n v="20.85"/>
    <n v="10.99"/>
    <n v="46.56"/>
    <n v="0.56999999999999995"/>
    <n v="2.81"/>
    <n v="1.1599999999999999"/>
    <n v="1.27"/>
    <n v="205.01"/>
    <n v="15.87"/>
    <n v="457.84"/>
  </r>
  <r>
    <s v="EU"/>
    <m/>
    <b v="1"/>
    <x v="44"/>
    <x v="0"/>
    <b v="0"/>
    <n v="8.3699999999999992"/>
    <n v="4.09"/>
    <n v="18.690000000000001"/>
    <n v="-0.18"/>
    <n v="-2.11"/>
    <n v="0.17"/>
    <n v="-0.4"/>
    <n v="65.02"/>
    <n v="4.34"/>
    <n v="145.21"/>
  </r>
  <r>
    <s v="EU"/>
    <m/>
    <b v="1"/>
    <x v="44"/>
    <x v="1"/>
    <b v="0"/>
    <n v="23.87"/>
    <n v="11.67"/>
    <n v="53.31"/>
    <n v="-8.2100000000000009"/>
    <n v="-25.59"/>
    <n v="-3.05"/>
    <n v="-18.329999999999998"/>
    <n v="176.36"/>
    <n v="11.78"/>
    <n v="393.86"/>
  </r>
  <r>
    <s v="EU"/>
    <m/>
    <b v="1"/>
    <x v="44"/>
    <x v="2"/>
    <b v="0"/>
    <n v="48.97"/>
    <n v="23.95"/>
    <n v="109.36"/>
    <n v="-1.63"/>
    <n v="-3.22"/>
    <n v="0.73"/>
    <n v="-3.64"/>
    <n v="297.36"/>
    <n v="19.87"/>
    <n v="664.08"/>
  </r>
  <r>
    <s v="EU"/>
    <m/>
    <b v="1"/>
    <x v="44"/>
    <x v="3"/>
    <b v="0"/>
    <n v="27.42"/>
    <n v="13.41"/>
    <n v="61.24"/>
    <n v="1.33"/>
    <n v="5.0999999999999996"/>
    <n v="1.43"/>
    <n v="2.97"/>
    <n v="206.95"/>
    <n v="13.83"/>
    <n v="462.17"/>
  </r>
  <r>
    <s v="EU"/>
    <m/>
    <b v="1"/>
    <x v="44"/>
    <x v="4"/>
    <b v="0"/>
    <n v="47.27"/>
    <n v="23.11"/>
    <n v="105.57"/>
    <n v="-10.72"/>
    <n v="-18.489999999999998"/>
    <n v="-3.51"/>
    <n v="-23.94"/>
    <n v="379.16"/>
    <n v="25.34"/>
    <n v="846.76"/>
  </r>
  <r>
    <s v="EU"/>
    <m/>
    <b v="1"/>
    <x v="44"/>
    <x v="5"/>
    <b v="0"/>
    <n v="5.73"/>
    <n v="2.8"/>
    <n v="12.8"/>
    <n v="-0.15"/>
    <n v="-2.5499999999999998"/>
    <n v="0.1"/>
    <n v="-0.33"/>
    <n v="41.8"/>
    <n v="2.79"/>
    <n v="93.35"/>
  </r>
  <r>
    <s v="EU"/>
    <m/>
    <b v="1"/>
    <x v="44"/>
    <x v="6"/>
    <b v="0"/>
    <n v="1.42"/>
    <n v="0.69"/>
    <n v="3.17"/>
    <n v="-0.03"/>
    <n v="-2.0699999999999998"/>
    <n v="0.02"/>
    <n v="-7.0000000000000007E-2"/>
    <n v="10.42"/>
    <n v="0.7"/>
    <n v="23.27"/>
  </r>
  <r>
    <s v="EU"/>
    <m/>
    <b v="1"/>
    <x v="44"/>
    <x v="7"/>
    <b v="0"/>
    <n v="18.350000000000001"/>
    <n v="8.9700000000000006"/>
    <n v="40.98"/>
    <n v="2.8"/>
    <n v="18.010000000000002"/>
    <n v="1.83"/>
    <n v="6.25"/>
    <n v="91.3"/>
    <n v="6.1"/>
    <n v="203.9"/>
  </r>
  <r>
    <s v="EU"/>
    <m/>
    <b v="1"/>
    <x v="44"/>
    <x v="8"/>
    <b v="1"/>
    <n v="204.5"/>
    <n v="100"/>
    <n v="456.7"/>
    <n v="-13.37"/>
    <n v="-6.14"/>
    <n v="0"/>
    <n v="-29.86"/>
    <n v="1496.48"/>
    <n v="100"/>
    <n v="3342.02"/>
  </r>
  <r>
    <s v="EU"/>
    <m/>
    <b v="1"/>
    <x v="44"/>
    <x v="9"/>
    <b v="0"/>
    <n v="23.1"/>
    <n v="11.3"/>
    <n v="51.59"/>
    <n v="3.42"/>
    <n v="17.38"/>
    <n v="2.27"/>
    <n v="7.64"/>
    <n v="228.11"/>
    <n v="15.24"/>
    <n v="509.43"/>
  </r>
  <r>
    <s v="EU"/>
    <m/>
    <b v="1"/>
    <x v="45"/>
    <x v="0"/>
    <b v="0"/>
    <n v="8.64"/>
    <n v="4.32"/>
    <n v="19.3"/>
    <n v="0.03"/>
    <n v="0.35"/>
    <n v="0.16"/>
    <n v="7.0000000000000007E-2"/>
    <n v="73.66"/>
    <n v="4.34"/>
    <n v="164.5"/>
  </r>
  <r>
    <s v="EU"/>
    <m/>
    <b v="1"/>
    <x v="45"/>
    <x v="1"/>
    <b v="0"/>
    <n v="26.65"/>
    <n v="13.31"/>
    <n v="59.52"/>
    <n v="-3.21"/>
    <n v="-10.75"/>
    <n v="-1.1000000000000001"/>
    <n v="-7.17"/>
    <n v="203.01"/>
    <n v="11.97"/>
    <n v="453.37"/>
  </r>
  <r>
    <s v="EU"/>
    <m/>
    <b v="1"/>
    <x v="45"/>
    <x v="2"/>
    <b v="0"/>
    <n v="45.95"/>
    <n v="22.95"/>
    <n v="102.62"/>
    <n v="-2.2000000000000002"/>
    <n v="-4.57"/>
    <n v="-0.28999999999999998"/>
    <n v="-4.91"/>
    <n v="343.31"/>
    <n v="20.23"/>
    <n v="766.7"/>
  </r>
  <r>
    <s v="EU"/>
    <m/>
    <b v="1"/>
    <x v="45"/>
    <x v="3"/>
    <b v="0"/>
    <n v="25.79"/>
    <n v="12.88"/>
    <n v="57.6"/>
    <n v="3.6"/>
    <n v="16.22"/>
    <n v="2.17"/>
    <n v="8.0399999999999991"/>
    <n v="232.74"/>
    <n v="13.72"/>
    <n v="519.77"/>
  </r>
  <r>
    <s v="EU"/>
    <m/>
    <b v="1"/>
    <x v="45"/>
    <x v="4"/>
    <b v="0"/>
    <n v="48.04"/>
    <n v="24"/>
    <n v="107.29"/>
    <n v="-9.25"/>
    <n v="-16.149999999999999"/>
    <n v="-3.65"/>
    <n v="-20.66"/>
    <n v="427.2"/>
    <n v="25.18"/>
    <n v="954.05"/>
  </r>
  <r>
    <s v="EU"/>
    <m/>
    <b v="1"/>
    <x v="45"/>
    <x v="5"/>
    <b v="0"/>
    <n v="6.18"/>
    <n v="3.09"/>
    <n v="13.8"/>
    <n v="-0.08"/>
    <n v="-1.28"/>
    <n v="7.0000000000000007E-2"/>
    <n v="-0.18"/>
    <n v="47.98"/>
    <n v="2.83"/>
    <n v="107.15"/>
  </r>
  <r>
    <s v="EU"/>
    <m/>
    <b v="1"/>
    <x v="45"/>
    <x v="6"/>
    <b v="0"/>
    <n v="1.39"/>
    <n v="0.69"/>
    <n v="3.1"/>
    <n v="-0.05"/>
    <n v="-3.47"/>
    <n v="-0.01"/>
    <n v="-0.11"/>
    <n v="11.81"/>
    <n v="0.7"/>
    <n v="26.37"/>
  </r>
  <r>
    <s v="EU"/>
    <m/>
    <b v="1"/>
    <x v="45"/>
    <x v="7"/>
    <b v="0"/>
    <n v="16.59"/>
    <n v="8.2899999999999991"/>
    <n v="37.049999999999997"/>
    <n v="1.94"/>
    <n v="13.24"/>
    <n v="1.22"/>
    <n v="4.33"/>
    <n v="107.89"/>
    <n v="6.36"/>
    <n v="240.95"/>
  </r>
  <r>
    <s v="EU"/>
    <m/>
    <b v="1"/>
    <x v="45"/>
    <x v="8"/>
    <b v="1"/>
    <n v="200.2"/>
    <n v="100"/>
    <n v="447.1"/>
    <n v="-6.98"/>
    <n v="-3.37"/>
    <n v="0"/>
    <n v="-15.59"/>
    <n v="1696.68"/>
    <n v="100"/>
    <n v="3789.11"/>
  </r>
  <r>
    <s v="EU"/>
    <m/>
    <b v="1"/>
    <x v="45"/>
    <x v="9"/>
    <b v="0"/>
    <n v="20.97"/>
    <n v="10.47"/>
    <n v="46.83"/>
    <n v="2.2400000000000002"/>
    <n v="11.96"/>
    <n v="1.43"/>
    <n v="5"/>
    <n v="249.08"/>
    <n v="14.68"/>
    <n v="556.26"/>
  </r>
  <r>
    <s v="EU"/>
    <m/>
    <b v="1"/>
    <x v="46"/>
    <x v="0"/>
    <b v="0"/>
    <n v="8.7100000000000009"/>
    <n v="4.3499999999999996"/>
    <n v="19.45"/>
    <n v="0.44"/>
    <n v="5.32"/>
    <n v="0.35"/>
    <n v="0.98"/>
    <n v="82.37"/>
    <n v="4.34"/>
    <n v="183.95"/>
  </r>
  <r>
    <s v="EU"/>
    <m/>
    <b v="1"/>
    <x v="46"/>
    <x v="1"/>
    <b v="0"/>
    <n v="30.35"/>
    <n v="15.14"/>
    <n v="67.78"/>
    <n v="0.8"/>
    <n v="2.71"/>
    <n v="0.84"/>
    <n v="1.79"/>
    <n v="233.36"/>
    <n v="12.3"/>
    <n v="521.15"/>
  </r>
  <r>
    <s v="EU"/>
    <m/>
    <b v="1"/>
    <x v="46"/>
    <x v="2"/>
    <b v="0"/>
    <n v="45.26"/>
    <n v="22.58"/>
    <n v="101.08"/>
    <n v="-2.4500000000000002"/>
    <n v="-5.14"/>
    <n v="-0.51"/>
    <n v="-5.47"/>
    <n v="388.57"/>
    <n v="20.48"/>
    <n v="867.77"/>
  </r>
  <r>
    <s v="EU"/>
    <m/>
    <b v="1"/>
    <x v="46"/>
    <x v="3"/>
    <b v="0"/>
    <n v="23.22"/>
    <n v="11.59"/>
    <n v="51.86"/>
    <n v="3.44"/>
    <n v="17.39"/>
    <n v="2.02"/>
    <n v="7.68"/>
    <n v="255.96"/>
    <n v="13.49"/>
    <n v="571.62"/>
  </r>
  <r>
    <s v="EU"/>
    <m/>
    <b v="1"/>
    <x v="46"/>
    <x v="4"/>
    <b v="0"/>
    <n v="47.42"/>
    <n v="23.66"/>
    <n v="105.9"/>
    <n v="-8.4499999999999993"/>
    <n v="-15.12"/>
    <n v="-3.38"/>
    <n v="-18.87"/>
    <n v="474.62"/>
    <n v="25.02"/>
    <n v="1059.95"/>
  </r>
  <r>
    <s v="EU"/>
    <m/>
    <b v="1"/>
    <x v="46"/>
    <x v="5"/>
    <b v="0"/>
    <n v="6.3"/>
    <n v="3.14"/>
    <n v="14.07"/>
    <n v="-0.14000000000000001"/>
    <n v="-2.17"/>
    <n v="0.02"/>
    <n v="-0.31"/>
    <n v="54.28"/>
    <n v="2.86"/>
    <n v="121.22"/>
  </r>
  <r>
    <s v="EU"/>
    <m/>
    <b v="1"/>
    <x v="46"/>
    <x v="6"/>
    <b v="0"/>
    <n v="1.45"/>
    <n v="0.72"/>
    <n v="3.24"/>
    <n v="-0.01"/>
    <n v="-0.68"/>
    <n v="0.01"/>
    <n v="-0.02"/>
    <n v="13.26"/>
    <n v="0.7"/>
    <n v="29.61"/>
  </r>
  <r>
    <s v="EU"/>
    <m/>
    <b v="1"/>
    <x v="46"/>
    <x v="7"/>
    <b v="0"/>
    <n v="13.53"/>
    <n v="6.75"/>
    <n v="30.22"/>
    <n v="2.33"/>
    <n v="20.8"/>
    <n v="1.33"/>
    <n v="5.2"/>
    <n v="121.42"/>
    <n v="6.4"/>
    <n v="271.16000000000003"/>
  </r>
  <r>
    <s v="EU"/>
    <m/>
    <b v="1"/>
    <x v="46"/>
    <x v="8"/>
    <b v="1"/>
    <n v="200.43"/>
    <n v="100"/>
    <n v="447.61"/>
    <n v="-6.21"/>
    <n v="-3.01"/>
    <n v="0"/>
    <n v="-13.87"/>
    <n v="1897.11"/>
    <n v="100"/>
    <n v="4236.72"/>
  </r>
  <r>
    <s v="EU"/>
    <m/>
    <b v="1"/>
    <x v="46"/>
    <x v="9"/>
    <b v="0"/>
    <n v="24.19"/>
    <n v="12.07"/>
    <n v="54.02"/>
    <n v="-2.17"/>
    <n v="-8.23"/>
    <n v="-0.69"/>
    <n v="-4.8499999999999996"/>
    <n v="273.27"/>
    <n v="14.4"/>
    <n v="610.28"/>
  </r>
  <r>
    <s v="EU"/>
    <m/>
    <b v="1"/>
    <x v="47"/>
    <x v="0"/>
    <b v="0"/>
    <n v="9.39"/>
    <n v="4.3"/>
    <n v="20.97"/>
    <n v="-0.06"/>
    <n v="-0.63"/>
    <n v="0.04"/>
    <n v="-0.13"/>
    <n v="91.76"/>
    <n v="4.34"/>
    <n v="204.92"/>
  </r>
  <r>
    <s v="EU"/>
    <m/>
    <b v="1"/>
    <x v="47"/>
    <x v="1"/>
    <b v="0"/>
    <n v="32.119999999999997"/>
    <n v="14.71"/>
    <n v="71.73"/>
    <n v="-2.91"/>
    <n v="-8.31"/>
    <n v="-1.07"/>
    <n v="-6.5"/>
    <n v="265.48"/>
    <n v="12.55"/>
    <n v="592.88"/>
  </r>
  <r>
    <s v="EU"/>
    <m/>
    <b v="1"/>
    <x v="47"/>
    <x v="2"/>
    <b v="0"/>
    <n v="39.590000000000003"/>
    <n v="18.13"/>
    <n v="88.41"/>
    <n v="-12.42"/>
    <n v="-23.88"/>
    <n v="-5.3"/>
    <n v="-27.74"/>
    <n v="428.16"/>
    <n v="20.239999999999998"/>
    <n v="956.19"/>
  </r>
  <r>
    <s v="EU"/>
    <m/>
    <b v="1"/>
    <x v="47"/>
    <x v="3"/>
    <b v="0"/>
    <n v="28.2"/>
    <n v="12.91"/>
    <n v="62.98"/>
    <n v="7.31"/>
    <n v="34.99"/>
    <n v="3.5"/>
    <n v="16.329999999999998"/>
    <n v="284.16000000000003"/>
    <n v="13.43"/>
    <n v="634.6"/>
  </r>
  <r>
    <s v="EU"/>
    <m/>
    <b v="1"/>
    <x v="47"/>
    <x v="4"/>
    <b v="0"/>
    <n v="54.19"/>
    <n v="24.81"/>
    <n v="121.02"/>
    <n v="-4.58"/>
    <n v="-7.79"/>
    <n v="-1.66"/>
    <n v="-10.23"/>
    <n v="528.80999999999995"/>
    <n v="25"/>
    <n v="1180.97"/>
  </r>
  <r>
    <s v="EU"/>
    <m/>
    <b v="1"/>
    <x v="47"/>
    <x v="5"/>
    <b v="0"/>
    <n v="6.25"/>
    <n v="2.86"/>
    <n v="13.96"/>
    <n v="-0.6"/>
    <n v="-8.76"/>
    <n v="-0.23"/>
    <n v="-1.34"/>
    <n v="60.53"/>
    <n v="2.86"/>
    <n v="135.18"/>
  </r>
  <r>
    <s v="EU"/>
    <m/>
    <b v="1"/>
    <x v="47"/>
    <x v="6"/>
    <b v="0"/>
    <n v="1.58"/>
    <n v="0.72"/>
    <n v="3.53"/>
    <n v="0.02"/>
    <n v="1.28"/>
    <n v="0.02"/>
    <n v="0.04"/>
    <n v="14.84"/>
    <n v="0.7"/>
    <n v="33.14"/>
  </r>
  <r>
    <s v="EU"/>
    <m/>
    <b v="1"/>
    <x v="47"/>
    <x v="7"/>
    <b v="0"/>
    <n v="8.2100000000000009"/>
    <n v="3.76"/>
    <n v="18.329999999999998"/>
    <n v="0.45"/>
    <n v="5.8"/>
    <n v="0.26"/>
    <n v="1"/>
    <n v="129.63"/>
    <n v="6.13"/>
    <n v="289.5"/>
  </r>
  <r>
    <s v="EU"/>
    <m/>
    <b v="1"/>
    <x v="47"/>
    <x v="8"/>
    <b v="1"/>
    <n v="218.39"/>
    <n v="100"/>
    <n v="487.72"/>
    <n v="-3.6"/>
    <n v="-1.62"/>
    <n v="0"/>
    <n v="-8.0399999999999991"/>
    <n v="2115.5"/>
    <n v="100"/>
    <n v="4724.4399999999996"/>
  </r>
  <r>
    <s v="EU"/>
    <m/>
    <b v="1"/>
    <x v="47"/>
    <x v="9"/>
    <b v="0"/>
    <n v="38.86"/>
    <n v="17.79"/>
    <n v="86.78"/>
    <n v="9.19"/>
    <n v="30.97"/>
    <n v="4.42"/>
    <n v="20.52"/>
    <n v="312.13"/>
    <n v="14.75"/>
    <n v="697.06"/>
  </r>
  <r>
    <s v="EU"/>
    <m/>
    <b v="1"/>
    <x v="48"/>
    <x v="0"/>
    <b v="0"/>
    <n v="9.7799999999999994"/>
    <n v="4.33"/>
    <n v="21.84"/>
    <n v="-0.23"/>
    <n v="-2.2999999999999998"/>
    <n v="0.03"/>
    <n v="-0.51"/>
    <n v="101.54"/>
    <n v="4.34"/>
    <n v="226.76"/>
  </r>
  <r>
    <s v="EU"/>
    <m/>
    <b v="1"/>
    <x v="48"/>
    <x v="1"/>
    <b v="0"/>
    <n v="35.43"/>
    <n v="15.7"/>
    <n v="79.12"/>
    <n v="-4.1500000000000004"/>
    <n v="-10.49"/>
    <n v="-1.3"/>
    <n v="-9.27"/>
    <n v="300.91000000000003"/>
    <n v="12.85"/>
    <n v="672.01"/>
  </r>
  <r>
    <s v="EU"/>
    <m/>
    <b v="1"/>
    <x v="48"/>
    <x v="2"/>
    <b v="0"/>
    <n v="48.54"/>
    <n v="21.5"/>
    <n v="108.4"/>
    <n v="0.08"/>
    <n v="0.17"/>
    <n v="0.68"/>
    <n v="0.18"/>
    <n v="476.7"/>
    <n v="20.36"/>
    <n v="1064.5899999999999"/>
  </r>
  <r>
    <s v="EU"/>
    <m/>
    <b v="1"/>
    <x v="48"/>
    <x v="3"/>
    <b v="0"/>
    <n v="27.24"/>
    <n v="12.07"/>
    <n v="60.83"/>
    <n v="-2.12"/>
    <n v="-7.22"/>
    <n v="-0.54"/>
    <n v="-4.7300000000000004"/>
    <n v="311.39999999999998"/>
    <n v="13.3"/>
    <n v="695.43"/>
  </r>
  <r>
    <s v="EU"/>
    <m/>
    <b v="1"/>
    <x v="48"/>
    <x v="4"/>
    <b v="0"/>
    <n v="57.76"/>
    <n v="25.59"/>
    <n v="128.99"/>
    <n v="-0.91"/>
    <n v="-1.55"/>
    <n v="0.39"/>
    <n v="-2.0299999999999998"/>
    <n v="586.57000000000005"/>
    <n v="25.05"/>
    <n v="1309.96"/>
  </r>
  <r>
    <s v="EU"/>
    <m/>
    <b v="1"/>
    <x v="48"/>
    <x v="5"/>
    <b v="0"/>
    <n v="6.46"/>
    <n v="2.86"/>
    <n v="14.43"/>
    <n v="-0.45"/>
    <n v="-6.51"/>
    <n v="-0.11"/>
    <n v="-1"/>
    <n v="66.989999999999995"/>
    <n v="2.86"/>
    <n v="149.61000000000001"/>
  </r>
  <r>
    <s v="EU"/>
    <m/>
    <b v="1"/>
    <x v="48"/>
    <x v="6"/>
    <b v="0"/>
    <n v="1.56"/>
    <n v="0.69"/>
    <n v="3.48"/>
    <n v="-0.02"/>
    <n v="-1.27"/>
    <n v="0.01"/>
    <n v="-0.04"/>
    <n v="16.399999999999999"/>
    <n v="0.7"/>
    <n v="36.630000000000003"/>
  </r>
  <r>
    <s v="EU"/>
    <m/>
    <b v="1"/>
    <x v="48"/>
    <x v="7"/>
    <b v="0"/>
    <n v="5.59"/>
    <n v="2.48"/>
    <n v="12.48"/>
    <n v="1.75"/>
    <n v="45.57"/>
    <n v="0.83"/>
    <n v="3.91"/>
    <n v="135.22"/>
    <n v="5.78"/>
    <n v="301.98"/>
  </r>
  <r>
    <s v="EU"/>
    <m/>
    <b v="1"/>
    <x v="48"/>
    <x v="8"/>
    <b v="1"/>
    <n v="225.72"/>
    <n v="100"/>
    <n v="504.09"/>
    <n v="-7.07"/>
    <n v="-3.04"/>
    <n v="0"/>
    <n v="-15.79"/>
    <n v="2341.2199999999998"/>
    <n v="100"/>
    <n v="5228.53"/>
  </r>
  <r>
    <s v="EU"/>
    <m/>
    <b v="1"/>
    <x v="48"/>
    <x v="9"/>
    <b v="0"/>
    <n v="33.36"/>
    <n v="14.78"/>
    <n v="74.5"/>
    <n v="-1.02"/>
    <n v="-2.97"/>
    <n v="0.01"/>
    <n v="-2.2799999999999998"/>
    <n v="345.49"/>
    <n v="14.76"/>
    <n v="771.57"/>
  </r>
  <r>
    <s v="EU"/>
    <m/>
    <b v="1"/>
    <x v="49"/>
    <x v="0"/>
    <b v="0"/>
    <n v="10.79"/>
    <n v="4.47"/>
    <n v="24.1"/>
    <n v="0.28999999999999998"/>
    <n v="2.76"/>
    <n v="0.1"/>
    <n v="0.65"/>
    <n v="112.33"/>
    <n v="4.3499999999999996"/>
    <n v="250.86"/>
  </r>
  <r>
    <s v="EU"/>
    <m/>
    <b v="1"/>
    <x v="49"/>
    <x v="1"/>
    <b v="0"/>
    <n v="34.979999999999997"/>
    <n v="14.49"/>
    <n v="78.12"/>
    <n v="0.4"/>
    <n v="1.1599999999999999"/>
    <n v="0.11"/>
    <n v="0.89"/>
    <n v="335.89"/>
    <n v="13.01"/>
    <n v="750.13"/>
  </r>
  <r>
    <s v="EU"/>
    <m/>
    <b v="1"/>
    <x v="49"/>
    <x v="2"/>
    <b v="0"/>
    <n v="50.07"/>
    <n v="20.74"/>
    <n v="111.82"/>
    <n v="7.16"/>
    <n v="16.690000000000001"/>
    <n v="2.89"/>
    <n v="15.99"/>
    <n v="526.77"/>
    <n v="20.399999999999999"/>
    <n v="1176.4100000000001"/>
  </r>
  <r>
    <s v="EU"/>
    <m/>
    <b v="1"/>
    <x v="49"/>
    <x v="3"/>
    <b v="0"/>
    <n v="30.12"/>
    <n v="12.47"/>
    <n v="67.27"/>
    <n v="-3.72"/>
    <n v="-10.99"/>
    <n v="-1.6"/>
    <n v="-8.31"/>
    <n v="341.52"/>
    <n v="13.22"/>
    <n v="762.7"/>
  </r>
  <r>
    <s v="EU"/>
    <m/>
    <b v="1"/>
    <x v="49"/>
    <x v="4"/>
    <b v="0"/>
    <n v="63.96"/>
    <n v="26.49"/>
    <n v="142.84"/>
    <n v="-0.35"/>
    <n v="-0.54"/>
    <n v="-0.26"/>
    <n v="-0.78"/>
    <n v="650.53"/>
    <n v="25.19"/>
    <n v="1452.8"/>
  </r>
  <r>
    <s v="EU"/>
    <m/>
    <b v="1"/>
    <x v="49"/>
    <x v="5"/>
    <b v="0"/>
    <n v="6.61"/>
    <n v="2.74"/>
    <n v="14.76"/>
    <n v="-0.34"/>
    <n v="-4.8899999999999997"/>
    <n v="-0.15"/>
    <n v="-0.76"/>
    <n v="73.599999999999994"/>
    <n v="2.85"/>
    <n v="164.37"/>
  </r>
  <r>
    <s v="EU"/>
    <m/>
    <b v="1"/>
    <x v="49"/>
    <x v="6"/>
    <b v="0"/>
    <n v="1.64"/>
    <n v="0.68"/>
    <n v="3.66"/>
    <n v="0"/>
    <n v="0"/>
    <n v="0"/>
    <n v="0"/>
    <n v="18.04"/>
    <n v="0.7"/>
    <n v="40.29"/>
  </r>
  <r>
    <s v="EU"/>
    <m/>
    <b v="1"/>
    <x v="49"/>
    <x v="7"/>
    <b v="0"/>
    <n v="3.39"/>
    <n v="1.4"/>
    <n v="7.57"/>
    <n v="-0.18"/>
    <n v="-5.04"/>
    <n v="-0.08"/>
    <n v="-0.4"/>
    <n v="138.61000000000001"/>
    <n v="5.37"/>
    <n v="309.55"/>
  </r>
  <r>
    <s v="EU"/>
    <m/>
    <b v="1"/>
    <x v="49"/>
    <x v="8"/>
    <b v="1"/>
    <n v="241.47"/>
    <n v="100"/>
    <n v="539.26"/>
    <n v="1.02"/>
    <n v="0.42"/>
    <n v="0"/>
    <n v="2.2799999999999998"/>
    <n v="2582.69"/>
    <n v="100"/>
    <n v="5767.8"/>
  </r>
  <r>
    <s v="EU"/>
    <m/>
    <b v="1"/>
    <x v="49"/>
    <x v="9"/>
    <b v="0"/>
    <n v="39.909999999999997"/>
    <n v="16.53"/>
    <n v="89.13"/>
    <n v="-2.2400000000000002"/>
    <n v="-5.31"/>
    <n v="-1"/>
    <n v="-5"/>
    <n v="385.4"/>
    <n v="14.92"/>
    <n v="860.7"/>
  </r>
  <r>
    <s v="EU"/>
    <m/>
    <b v="1"/>
    <x v="50"/>
    <x v="0"/>
    <b v="0"/>
    <n v="11.37"/>
    <n v="4.43"/>
    <n v="25.4"/>
    <n v="0.97"/>
    <n v="9.33"/>
    <n v="0.34"/>
    <n v="2.17"/>
    <n v="11.37"/>
    <n v="4.43"/>
    <n v="25.4"/>
  </r>
  <r>
    <s v="EU"/>
    <m/>
    <b v="1"/>
    <x v="50"/>
    <x v="1"/>
    <b v="0"/>
    <n v="39.81"/>
    <n v="15.5"/>
    <n v="88.92"/>
    <n v="4.5"/>
    <n v="12.74"/>
    <n v="1.61"/>
    <n v="10.050000000000001"/>
    <n v="39.81"/>
    <n v="15.5"/>
    <n v="88.92"/>
  </r>
  <r>
    <s v="EU"/>
    <m/>
    <b v="1"/>
    <x v="50"/>
    <x v="2"/>
    <b v="0"/>
    <n v="52.18"/>
    <n v="20.32"/>
    <n v="116.55"/>
    <n v="-3.87"/>
    <n v="-6.9"/>
    <n v="-1.72"/>
    <n v="-8.64"/>
    <n v="52.18"/>
    <n v="20.32"/>
    <n v="116.55"/>
  </r>
  <r>
    <s v="EU"/>
    <m/>
    <b v="1"/>
    <x v="50"/>
    <x v="3"/>
    <b v="0"/>
    <n v="34.729999999999997"/>
    <n v="13.52"/>
    <n v="77.569999999999993"/>
    <n v="5.3"/>
    <n v="18.010000000000002"/>
    <n v="1.95"/>
    <n v="11.84"/>
    <n v="34.729999999999997"/>
    <n v="13.52"/>
    <n v="77.569999999999993"/>
  </r>
  <r>
    <s v="EU"/>
    <m/>
    <b v="1"/>
    <x v="50"/>
    <x v="4"/>
    <b v="0"/>
    <n v="67.98"/>
    <n v="26.47"/>
    <n v="151.84"/>
    <n v="-0.06"/>
    <n v="-0.09"/>
    <n v="-0.28999999999999998"/>
    <n v="-0.13"/>
    <n v="67.98"/>
    <n v="26.47"/>
    <n v="151.84"/>
  </r>
  <r>
    <s v="EU"/>
    <m/>
    <b v="1"/>
    <x v="50"/>
    <x v="5"/>
    <b v="0"/>
    <n v="6.84"/>
    <n v="2.66"/>
    <n v="15.28"/>
    <n v="-0.06"/>
    <n v="-0.87"/>
    <n v="-0.05"/>
    <n v="-0.13"/>
    <n v="6.84"/>
    <n v="2.66"/>
    <n v="15.28"/>
  </r>
  <r>
    <s v="EU"/>
    <m/>
    <b v="1"/>
    <x v="50"/>
    <x v="6"/>
    <b v="0"/>
    <n v="1.69"/>
    <n v="0.66"/>
    <n v="3.77"/>
    <n v="0.05"/>
    <n v="3.05"/>
    <n v="0.02"/>
    <n v="0.11"/>
    <n v="1.69"/>
    <n v="0.66"/>
    <n v="3.77"/>
  </r>
  <r>
    <s v="EU"/>
    <m/>
    <b v="1"/>
    <x v="50"/>
    <x v="7"/>
    <b v="0"/>
    <n v="4.08"/>
    <n v="1.59"/>
    <n v="9.11"/>
    <n v="-0.38"/>
    <n v="-8.52"/>
    <n v="-0.16"/>
    <n v="-0.85"/>
    <n v="4.08"/>
    <n v="1.59"/>
    <n v="9.11"/>
  </r>
  <r>
    <s v="EU"/>
    <m/>
    <b v="1"/>
    <x v="50"/>
    <x v="8"/>
    <b v="1"/>
    <n v="256.83"/>
    <n v="100"/>
    <n v="573.66"/>
    <n v="2.5299999999999998"/>
    <n v="0.99"/>
    <n v="0"/>
    <n v="5.65"/>
    <n v="256.83"/>
    <n v="100"/>
    <n v="573.66"/>
  </r>
  <r>
    <s v="EU"/>
    <m/>
    <b v="1"/>
    <x v="50"/>
    <x v="9"/>
    <b v="0"/>
    <n v="38.15"/>
    <n v="14.85"/>
    <n v="85.21"/>
    <n v="-3.92"/>
    <n v="-9.32"/>
    <n v="-1.69"/>
    <n v="-8.76"/>
    <n v="38.15"/>
    <n v="14.85"/>
    <n v="85.21"/>
  </r>
  <r>
    <s v="EU"/>
    <m/>
    <b v="1"/>
    <x v="51"/>
    <x v="0"/>
    <b v="0"/>
    <n v="10.220000000000001"/>
    <n v="4.45"/>
    <n v="22.83"/>
    <n v="0.95"/>
    <n v="10.25"/>
    <n v="0.51"/>
    <n v="2.12"/>
    <n v="21.59"/>
    <n v="4.4400000000000004"/>
    <n v="48.22"/>
  </r>
  <r>
    <s v="EU"/>
    <m/>
    <b v="1"/>
    <x v="51"/>
    <x v="1"/>
    <b v="0"/>
    <n v="31.25"/>
    <n v="13.62"/>
    <n v="69.8"/>
    <n v="3.88"/>
    <n v="14.18"/>
    <n v="1.98"/>
    <n v="8.67"/>
    <n v="71.06"/>
    <n v="14.61"/>
    <n v="158.72"/>
  </r>
  <r>
    <s v="EU"/>
    <m/>
    <b v="1"/>
    <x v="51"/>
    <x v="2"/>
    <b v="0"/>
    <n v="42.3"/>
    <n v="18.440000000000001"/>
    <n v="94.48"/>
    <n v="-3.01"/>
    <n v="-6.64"/>
    <n v="-0.82"/>
    <n v="-6.72"/>
    <n v="94.48"/>
    <n v="19.43"/>
    <n v="211.03"/>
  </r>
  <r>
    <s v="EU"/>
    <m/>
    <b v="1"/>
    <x v="51"/>
    <x v="3"/>
    <b v="0"/>
    <n v="35"/>
    <n v="15.25"/>
    <n v="78.180000000000007"/>
    <n v="6.38"/>
    <n v="22.29"/>
    <n v="3.08"/>
    <n v="14.25"/>
    <n v="69.73"/>
    <n v="14.34"/>
    <n v="155.75"/>
  </r>
  <r>
    <s v="EU"/>
    <m/>
    <b v="1"/>
    <x v="51"/>
    <x v="4"/>
    <b v="0"/>
    <n v="58.64"/>
    <n v="25.56"/>
    <n v="130.97999999999999"/>
    <n v="-1.94"/>
    <n v="-3.2"/>
    <n v="-0.2"/>
    <n v="-4.33"/>
    <n v="126.62"/>
    <n v="26.04"/>
    <n v="282.82"/>
  </r>
  <r>
    <s v="EU"/>
    <m/>
    <b v="1"/>
    <x v="51"/>
    <x v="5"/>
    <b v="0"/>
    <n v="6.2"/>
    <n v="2.7"/>
    <n v="13.85"/>
    <n v="-0.17"/>
    <n v="-2.67"/>
    <n v="-0.01"/>
    <n v="-0.38"/>
    <n v="13.04"/>
    <n v="2.68"/>
    <n v="29.13"/>
  </r>
  <r>
    <s v="EU"/>
    <m/>
    <b v="1"/>
    <x v="51"/>
    <x v="6"/>
    <b v="0"/>
    <n v="1.48"/>
    <n v="0.65"/>
    <n v="3.31"/>
    <n v="-0.01"/>
    <n v="-0.67"/>
    <n v="0.02"/>
    <n v="-0.02"/>
    <n v="3.17"/>
    <n v="0.65"/>
    <n v="7.08"/>
  </r>
  <r>
    <s v="EU"/>
    <m/>
    <b v="1"/>
    <x v="51"/>
    <x v="7"/>
    <b v="0"/>
    <n v="7.29"/>
    <n v="3.18"/>
    <n v="16.28"/>
    <n v="0.56000000000000005"/>
    <n v="8.32"/>
    <n v="0.32"/>
    <n v="1.25"/>
    <n v="11.37"/>
    <n v="2.34"/>
    <n v="25.4"/>
  </r>
  <r>
    <s v="EU"/>
    <m/>
    <b v="1"/>
    <x v="51"/>
    <x v="8"/>
    <b v="1"/>
    <n v="229.44"/>
    <n v="100"/>
    <n v="512.48"/>
    <n v="-5.77"/>
    <n v="-2.4500000000000002"/>
    <n v="0"/>
    <n v="-12.89"/>
    <n v="486.27"/>
    <n v="100"/>
    <n v="1086.1400000000001"/>
  </r>
  <r>
    <s v="EU"/>
    <m/>
    <b v="1"/>
    <x v="51"/>
    <x v="9"/>
    <b v="0"/>
    <n v="37.06"/>
    <n v="16.149999999999999"/>
    <n v="82.78"/>
    <n v="-12.41"/>
    <n v="-25.09"/>
    <n v="-4.88"/>
    <n v="-27.72"/>
    <n v="75.209999999999994"/>
    <n v="15.47"/>
    <n v="167.99"/>
  </r>
  <r>
    <s v="EU"/>
    <m/>
    <b v="1"/>
    <x v="52"/>
    <x v="0"/>
    <b v="0"/>
    <n v="10.66"/>
    <n v="4.4400000000000004"/>
    <n v="23.81"/>
    <n v="0.53"/>
    <n v="5.23"/>
    <n v="0.06"/>
    <n v="1.18"/>
    <n v="32.25"/>
    <n v="4.4400000000000004"/>
    <n v="72.03"/>
  </r>
  <r>
    <s v="EU"/>
    <m/>
    <b v="1"/>
    <x v="52"/>
    <x v="1"/>
    <b v="0"/>
    <n v="31.75"/>
    <n v="13.23"/>
    <n v="70.92"/>
    <n v="3.87"/>
    <n v="13.88"/>
    <n v="1.17"/>
    <n v="8.64"/>
    <n v="102.81"/>
    <n v="14.16"/>
    <n v="229.64"/>
  </r>
  <r>
    <s v="EU"/>
    <m/>
    <b v="1"/>
    <x v="52"/>
    <x v="2"/>
    <b v="0"/>
    <n v="46.72"/>
    <n v="19.47"/>
    <n v="104.35"/>
    <n v="5.22"/>
    <n v="12.58"/>
    <n v="1.52"/>
    <n v="11.66"/>
    <n v="141.19999999999999"/>
    <n v="19.440000000000001"/>
    <n v="315.39"/>
  </r>
  <r>
    <s v="EU"/>
    <m/>
    <b v="1"/>
    <x v="52"/>
    <x v="3"/>
    <b v="0"/>
    <n v="30.55"/>
    <n v="12.73"/>
    <n v="68.239999999999995"/>
    <n v="-1.21"/>
    <n v="-3.81"/>
    <n v="-1.01"/>
    <n v="-2.7"/>
    <n v="100.28"/>
    <n v="13.81"/>
    <n v="223.99"/>
  </r>
  <r>
    <s v="EU"/>
    <m/>
    <b v="1"/>
    <x v="52"/>
    <x v="4"/>
    <b v="0"/>
    <n v="62.14"/>
    <n v="25.9"/>
    <n v="138.80000000000001"/>
    <n v="2.29"/>
    <n v="3.83"/>
    <n v="0.02"/>
    <n v="5.1100000000000003"/>
    <n v="188.76"/>
    <n v="25.99"/>
    <n v="421.62"/>
  </r>
  <r>
    <s v="EU"/>
    <m/>
    <b v="1"/>
    <x v="52"/>
    <x v="5"/>
    <b v="0"/>
    <n v="6.21"/>
    <n v="2.59"/>
    <n v="13.87"/>
    <n v="-0.21"/>
    <n v="-3.27"/>
    <n v="-0.19"/>
    <n v="-0.47"/>
    <n v="19.25"/>
    <n v="2.65"/>
    <n v="43"/>
  </r>
  <r>
    <s v="EU"/>
    <m/>
    <b v="1"/>
    <x v="52"/>
    <x v="6"/>
    <b v="0"/>
    <n v="1.63"/>
    <n v="0.68"/>
    <n v="3.64"/>
    <n v="0.03"/>
    <n v="1.88"/>
    <n v="-0.01"/>
    <n v="7.0000000000000007E-2"/>
    <n v="4.8"/>
    <n v="0.66"/>
    <n v="10.72"/>
  </r>
  <r>
    <s v="EU"/>
    <m/>
    <b v="1"/>
    <x v="52"/>
    <x v="7"/>
    <b v="0"/>
    <n v="13.52"/>
    <n v="5.64"/>
    <n v="30.2"/>
    <n v="2.09"/>
    <n v="18.29"/>
    <n v="0.7"/>
    <n v="4.67"/>
    <n v="24.89"/>
    <n v="3.43"/>
    <n v="55.59"/>
  </r>
  <r>
    <s v="EU"/>
    <m/>
    <b v="1"/>
    <x v="52"/>
    <x v="8"/>
    <b v="1"/>
    <n v="239.91"/>
    <n v="100"/>
    <n v="535.86"/>
    <n v="8.69"/>
    <n v="3.76"/>
    <n v="0"/>
    <n v="19.41"/>
    <n v="726.18"/>
    <n v="100"/>
    <n v="1622"/>
  </r>
  <r>
    <s v="EU"/>
    <m/>
    <b v="1"/>
    <x v="52"/>
    <x v="9"/>
    <b v="0"/>
    <n v="36.729999999999997"/>
    <n v="15.31"/>
    <n v="82.04"/>
    <n v="-3.92"/>
    <n v="-9.64"/>
    <n v="-2.27"/>
    <n v="-8.76"/>
    <n v="111.94"/>
    <n v="15.41"/>
    <n v="250.03"/>
  </r>
  <r>
    <s v="EU"/>
    <m/>
    <b v="1"/>
    <x v="53"/>
    <x v="0"/>
    <b v="0"/>
    <n v="10.14"/>
    <n v="4.7"/>
    <n v="22.65"/>
    <n v="0.92"/>
    <n v="9.98"/>
    <n v="-0.14000000000000001"/>
    <n v="2.0499999999999998"/>
    <n v="42.39"/>
    <n v="4.5"/>
    <n v="94.68"/>
  </r>
  <r>
    <s v="EU"/>
    <m/>
    <b v="1"/>
    <x v="53"/>
    <x v="1"/>
    <b v="0"/>
    <n v="28.73"/>
    <n v="13.31"/>
    <n v="64.17"/>
    <n v="8.61"/>
    <n v="42.79"/>
    <n v="2.74"/>
    <n v="19.23"/>
    <n v="131.54"/>
    <n v="13.96"/>
    <n v="293.81"/>
  </r>
  <r>
    <s v="EU"/>
    <m/>
    <b v="1"/>
    <x v="53"/>
    <x v="2"/>
    <b v="0"/>
    <n v="43.02"/>
    <n v="19.940000000000001"/>
    <n v="96.09"/>
    <n v="10.67"/>
    <n v="32.979999999999997"/>
    <n v="2.94"/>
    <n v="23.83"/>
    <n v="184.22"/>
    <n v="19.559999999999999"/>
    <n v="411.48"/>
  </r>
  <r>
    <s v="EU"/>
    <m/>
    <b v="1"/>
    <x v="53"/>
    <x v="3"/>
    <b v="0"/>
    <n v="26.54"/>
    <n v="12.3"/>
    <n v="59.28"/>
    <n v="-1.02"/>
    <n v="-3.7"/>
    <n v="-2.1800000000000002"/>
    <n v="-2.2799999999999998"/>
    <n v="126.82"/>
    <n v="13.46"/>
    <n v="283.27"/>
  </r>
  <r>
    <s v="EU"/>
    <m/>
    <b v="1"/>
    <x v="53"/>
    <x v="4"/>
    <b v="0"/>
    <n v="54.03"/>
    <n v="25.04"/>
    <n v="120.68"/>
    <n v="2.44"/>
    <n v="4.7300000000000004"/>
    <n v="-2.06"/>
    <n v="5.45"/>
    <n v="242.79"/>
    <n v="25.77"/>
    <n v="542.29999999999995"/>
  </r>
  <r>
    <s v="EU"/>
    <m/>
    <b v="1"/>
    <x v="53"/>
    <x v="5"/>
    <b v="0"/>
    <n v="5.78"/>
    <n v="2.68"/>
    <n v="12.91"/>
    <n v="0.26"/>
    <n v="4.71"/>
    <n v="-0.22"/>
    <n v="0.57999999999999996"/>
    <n v="25.03"/>
    <n v="2.66"/>
    <n v="55.91"/>
  </r>
  <r>
    <s v="EU"/>
    <m/>
    <b v="1"/>
    <x v="53"/>
    <x v="6"/>
    <b v="0"/>
    <n v="1.46"/>
    <n v="0.68"/>
    <n v="3.26"/>
    <n v="-0.01"/>
    <n v="-0.68"/>
    <n v="-0.09"/>
    <n v="-0.02"/>
    <n v="6.26"/>
    <n v="0.66"/>
    <n v="13.98"/>
  </r>
  <r>
    <s v="EU"/>
    <m/>
    <b v="1"/>
    <x v="53"/>
    <x v="7"/>
    <b v="0"/>
    <n v="16.190000000000001"/>
    <n v="7.5"/>
    <n v="36.159999999999997"/>
    <n v="0.16"/>
    <n v="1"/>
    <n v="-0.92"/>
    <n v="0.36"/>
    <n v="41.08"/>
    <n v="4.3600000000000003"/>
    <n v="91.76"/>
  </r>
  <r>
    <s v="EU"/>
    <m/>
    <b v="1"/>
    <x v="53"/>
    <x v="8"/>
    <b v="1"/>
    <n v="215.8"/>
    <n v="100"/>
    <n v="482.01"/>
    <n v="25.46"/>
    <n v="13.38"/>
    <n v="0"/>
    <n v="56.87"/>
    <n v="941.98"/>
    <n v="100"/>
    <n v="2104.0100000000002"/>
  </r>
  <r>
    <s v="EU"/>
    <m/>
    <b v="1"/>
    <x v="53"/>
    <x v="9"/>
    <b v="0"/>
    <n v="29.91"/>
    <n v="13.86"/>
    <n v="66.81"/>
    <n v="3.43"/>
    <n v="12.95"/>
    <n v="-0.05"/>
    <n v="7.66"/>
    <n v="141.85"/>
    <n v="15.06"/>
    <n v="316.83999999999997"/>
  </r>
  <r>
    <s v="EU"/>
    <m/>
    <b v="1"/>
    <x v="54"/>
    <x v="0"/>
    <b v="0"/>
    <n v="9.64"/>
    <n v="4.62"/>
    <n v="21.53"/>
    <n v="0.38"/>
    <n v="4.0999999999999996"/>
    <n v="-0.22"/>
    <n v="0.85"/>
    <n v="52.03"/>
    <n v="4.5199999999999996"/>
    <n v="116.21"/>
  </r>
  <r>
    <s v="EU"/>
    <m/>
    <b v="1"/>
    <x v="54"/>
    <x v="1"/>
    <b v="0"/>
    <n v="23.5"/>
    <n v="11.25"/>
    <n v="52.49"/>
    <n v="3.7"/>
    <n v="18.690000000000001"/>
    <n v="0.9"/>
    <n v="8.26"/>
    <n v="155.04"/>
    <n v="13.47"/>
    <n v="346.3"/>
  </r>
  <r>
    <s v="EU"/>
    <m/>
    <b v="1"/>
    <x v="54"/>
    <x v="2"/>
    <b v="0"/>
    <n v="31.72"/>
    <n v="15.19"/>
    <n v="70.849999999999994"/>
    <n v="-1.25"/>
    <n v="-3.79"/>
    <n v="-2.0499999999999998"/>
    <n v="-2.79"/>
    <n v="215.94"/>
    <n v="18.760000000000002"/>
    <n v="482.33"/>
  </r>
  <r>
    <s v="EU"/>
    <m/>
    <b v="1"/>
    <x v="54"/>
    <x v="3"/>
    <b v="0"/>
    <n v="33.24"/>
    <n v="15.92"/>
    <n v="74.25"/>
    <n v="1.88"/>
    <n v="5.99"/>
    <n v="-0.48"/>
    <n v="4.2"/>
    <n v="160.06"/>
    <n v="13.91"/>
    <n v="357.51"/>
  </r>
  <r>
    <s v="EU"/>
    <m/>
    <b v="1"/>
    <x v="54"/>
    <x v="4"/>
    <b v="0"/>
    <n v="52.94"/>
    <n v="25.35"/>
    <n v="118.25"/>
    <n v="5.07"/>
    <n v="10.59"/>
    <n v="0.32"/>
    <n v="11.32"/>
    <n v="295.73"/>
    <n v="25.7"/>
    <n v="660.55"/>
  </r>
  <r>
    <s v="EU"/>
    <m/>
    <b v="1"/>
    <x v="54"/>
    <x v="5"/>
    <b v="0"/>
    <n v="5.87"/>
    <n v="2.81"/>
    <n v="13.11"/>
    <n v="0.34"/>
    <n v="6.15"/>
    <n v="-0.08"/>
    <n v="0.76"/>
    <n v="30.9"/>
    <n v="2.69"/>
    <n v="69.02"/>
  </r>
  <r>
    <s v="EU"/>
    <m/>
    <b v="1"/>
    <x v="54"/>
    <x v="6"/>
    <b v="0"/>
    <n v="1.48"/>
    <n v="0.71"/>
    <n v="3.31"/>
    <n v="0.01"/>
    <n v="0.68"/>
    <n v="-0.06"/>
    <n v="0.02"/>
    <n v="7.74"/>
    <n v="0.67"/>
    <n v="17.29"/>
  </r>
  <r>
    <s v="EU"/>
    <m/>
    <b v="1"/>
    <x v="54"/>
    <x v="7"/>
    <b v="0"/>
    <n v="19.02"/>
    <n v="9.11"/>
    <n v="42.48"/>
    <n v="1.53"/>
    <n v="8.75"/>
    <n v="-0.04"/>
    <n v="3.42"/>
    <n v="60.1"/>
    <n v="5.22"/>
    <n v="134.24"/>
  </r>
  <r>
    <s v="EU"/>
    <m/>
    <b v="1"/>
    <x v="54"/>
    <x v="8"/>
    <b v="1"/>
    <n v="208.83"/>
    <n v="100"/>
    <n v="466.44"/>
    <n v="17.59"/>
    <n v="9.1999999999999993"/>
    <n v="0"/>
    <n v="39.29"/>
    <n v="1150.81"/>
    <n v="100"/>
    <n v="2570.46"/>
  </r>
  <r>
    <s v="EU"/>
    <m/>
    <b v="1"/>
    <x v="54"/>
    <x v="9"/>
    <b v="0"/>
    <n v="31.42"/>
    <n v="15.05"/>
    <n v="70.180000000000007"/>
    <n v="5.93"/>
    <n v="23.26"/>
    <n v="1.72"/>
    <n v="13.25"/>
    <n v="173.27"/>
    <n v="15.06"/>
    <n v="387.02"/>
  </r>
  <r>
    <s v="EU"/>
    <m/>
    <b v="1"/>
    <x v="55"/>
    <x v="0"/>
    <b v="0"/>
    <n v="8.42"/>
    <n v="4.1100000000000003"/>
    <n v="18.809999999999999"/>
    <n v="0.05"/>
    <n v="0.6"/>
    <n v="-0.3"/>
    <n v="0.11"/>
    <n v="60.45"/>
    <n v="4.46"/>
    <n v="135.02000000000001"/>
  </r>
  <r>
    <s v="EU"/>
    <m/>
    <b v="1"/>
    <x v="55"/>
    <x v="1"/>
    <b v="0"/>
    <n v="27.07"/>
    <n v="13.2"/>
    <n v="60.46"/>
    <n v="5.0599999999999996"/>
    <n v="22.99"/>
    <n v="1.6"/>
    <n v="11.3"/>
    <n v="182.11"/>
    <n v="13.43"/>
    <n v="406.76"/>
  </r>
  <r>
    <s v="EU"/>
    <m/>
    <b v="1"/>
    <x v="55"/>
    <x v="2"/>
    <b v="0"/>
    <n v="38.68"/>
    <n v="18.87"/>
    <n v="86.4"/>
    <n v="-1.53"/>
    <n v="-3.81"/>
    <n v="-2.33"/>
    <n v="-3.42"/>
    <n v="254.62"/>
    <n v="18.78"/>
    <n v="568.72"/>
  </r>
  <r>
    <s v="EU"/>
    <m/>
    <b v="1"/>
    <x v="55"/>
    <x v="3"/>
    <b v="0"/>
    <n v="32.4"/>
    <n v="15.8"/>
    <n v="72.37"/>
    <n v="1.6"/>
    <n v="5.19"/>
    <n v="-0.44"/>
    <n v="3.57"/>
    <n v="192.46"/>
    <n v="14.19"/>
    <n v="429.88"/>
  </r>
  <r>
    <s v="EU"/>
    <m/>
    <b v="1"/>
    <x v="55"/>
    <x v="4"/>
    <b v="0"/>
    <n v="52.65"/>
    <n v="25.68"/>
    <n v="117.6"/>
    <n v="8.69"/>
    <n v="19.77"/>
    <n v="2.5"/>
    <n v="19.41"/>
    <n v="348.38"/>
    <n v="25.69"/>
    <n v="778.14"/>
  </r>
  <r>
    <s v="EU"/>
    <m/>
    <b v="1"/>
    <x v="55"/>
    <x v="5"/>
    <b v="0"/>
    <n v="5.71"/>
    <n v="2.79"/>
    <n v="12.75"/>
    <n v="0.38"/>
    <n v="7.13"/>
    <n v="-0.02"/>
    <n v="0.85"/>
    <n v="36.61"/>
    <n v="2.7"/>
    <n v="81.77"/>
  </r>
  <r>
    <s v="EU"/>
    <m/>
    <b v="1"/>
    <x v="55"/>
    <x v="6"/>
    <b v="0"/>
    <n v="1.39"/>
    <n v="0.68"/>
    <n v="3.1"/>
    <n v="0.06"/>
    <n v="4.51"/>
    <n v="-0.02"/>
    <n v="0.13"/>
    <n v="9.1300000000000008"/>
    <n v="0.67"/>
    <n v="20.39"/>
  </r>
  <r>
    <s v="EU"/>
    <m/>
    <b v="1"/>
    <x v="55"/>
    <x v="7"/>
    <b v="0"/>
    <n v="21.28"/>
    <n v="10.38"/>
    <n v="47.53"/>
    <n v="4.47"/>
    <n v="26.59"/>
    <n v="1.52"/>
    <n v="9.98"/>
    <n v="81.38"/>
    <n v="6"/>
    <n v="181.77"/>
  </r>
  <r>
    <s v="EU"/>
    <m/>
    <b v="1"/>
    <x v="55"/>
    <x v="8"/>
    <b v="1"/>
    <n v="205.02"/>
    <n v="100"/>
    <n v="457.93"/>
    <n v="15.35"/>
    <n v="8.09"/>
    <n v="0"/>
    <n v="34.29"/>
    <n v="1355.83"/>
    <n v="100"/>
    <n v="3028.39"/>
  </r>
  <r>
    <s v="EU"/>
    <m/>
    <b v="1"/>
    <x v="55"/>
    <x v="9"/>
    <b v="0"/>
    <n v="17.420000000000002"/>
    <n v="8.5"/>
    <n v="38.909999999999997"/>
    <n v="-3.43"/>
    <n v="-16.45"/>
    <n v="-2.4900000000000002"/>
    <n v="-7.66"/>
    <n v="190.69"/>
    <n v="14.06"/>
    <n v="425.93"/>
  </r>
  <r>
    <s v="EU"/>
    <m/>
    <b v="1"/>
    <x v="56"/>
    <x v="0"/>
    <b v="0"/>
    <n v="8.77"/>
    <n v="4.0599999999999996"/>
    <n v="19.59"/>
    <n v="0.4"/>
    <n v="4.78"/>
    <n v="-0.03"/>
    <n v="0.89"/>
    <n v="69.22"/>
    <n v="4.4000000000000004"/>
    <n v="154.61000000000001"/>
  </r>
  <r>
    <s v="EU"/>
    <m/>
    <b v="1"/>
    <x v="56"/>
    <x v="1"/>
    <b v="0"/>
    <n v="30.26"/>
    <n v="14.01"/>
    <n v="67.59"/>
    <n v="6.39"/>
    <n v="26.77"/>
    <n v="2.34"/>
    <n v="14.27"/>
    <n v="212.37"/>
    <n v="13.51"/>
    <n v="474.35"/>
  </r>
  <r>
    <s v="EU"/>
    <m/>
    <b v="1"/>
    <x v="56"/>
    <x v="2"/>
    <b v="0"/>
    <n v="39.51"/>
    <n v="18.29"/>
    <n v="88.25"/>
    <n v="-9.4600000000000009"/>
    <n v="-19.32"/>
    <n v="-5.66"/>
    <n v="-21.13"/>
    <n v="294.13"/>
    <n v="18.71"/>
    <n v="656.97"/>
  </r>
  <r>
    <s v="EU"/>
    <m/>
    <b v="1"/>
    <x v="56"/>
    <x v="3"/>
    <b v="0"/>
    <n v="30.26"/>
    <n v="14.01"/>
    <n v="67.59"/>
    <n v="2.84"/>
    <n v="10.36"/>
    <n v="0.6"/>
    <n v="6.34"/>
    <n v="222.72"/>
    <n v="14.17"/>
    <n v="497.47"/>
  </r>
  <r>
    <s v="EU"/>
    <m/>
    <b v="1"/>
    <x v="56"/>
    <x v="4"/>
    <b v="0"/>
    <n v="56.69"/>
    <n v="26.25"/>
    <n v="126.62"/>
    <n v="9.42"/>
    <n v="19.93"/>
    <n v="3.14"/>
    <n v="21.04"/>
    <n v="405.07"/>
    <n v="25.77"/>
    <n v="904.77"/>
  </r>
  <r>
    <s v="EU"/>
    <m/>
    <b v="1"/>
    <x v="56"/>
    <x v="5"/>
    <b v="0"/>
    <n v="6.19"/>
    <n v="2.87"/>
    <n v="13.83"/>
    <n v="0.46"/>
    <n v="8.0299999999999994"/>
    <n v="7.0000000000000007E-2"/>
    <n v="1.03"/>
    <n v="42.8"/>
    <n v="2.72"/>
    <n v="95.6"/>
  </r>
  <r>
    <s v="EU"/>
    <m/>
    <b v="1"/>
    <x v="56"/>
    <x v="6"/>
    <b v="0"/>
    <n v="1.44"/>
    <n v="0.67"/>
    <n v="3.22"/>
    <n v="0.02"/>
    <n v="1.41"/>
    <n v="-0.02"/>
    <n v="0.04"/>
    <n v="10.57"/>
    <n v="0.67"/>
    <n v="23.61"/>
  </r>
  <r>
    <s v="EU"/>
    <m/>
    <b v="1"/>
    <x v="56"/>
    <x v="7"/>
    <b v="0"/>
    <n v="20.55"/>
    <n v="9.51"/>
    <n v="45.9"/>
    <n v="2.2000000000000002"/>
    <n v="11.99"/>
    <n v="0.54"/>
    <n v="4.91"/>
    <n v="101.93"/>
    <n v="6.48"/>
    <n v="227.67"/>
  </r>
  <r>
    <s v="EU"/>
    <m/>
    <b v="1"/>
    <x v="56"/>
    <x v="8"/>
    <b v="1"/>
    <n v="215.99"/>
    <n v="100"/>
    <n v="482.44"/>
    <n v="11.49"/>
    <n v="5.62"/>
    <n v="0"/>
    <n v="25.66"/>
    <n v="1571.82"/>
    <n v="100"/>
    <n v="3510.83"/>
  </r>
  <r>
    <s v="EU"/>
    <m/>
    <b v="1"/>
    <x v="56"/>
    <x v="9"/>
    <b v="0"/>
    <n v="22.32"/>
    <n v="10.33"/>
    <n v="49.85"/>
    <n v="-0.78"/>
    <n v="-3.38"/>
    <n v="-0.97"/>
    <n v="-1.74"/>
    <n v="213.01"/>
    <n v="13.55"/>
    <n v="475.78"/>
  </r>
  <r>
    <s v="EU"/>
    <m/>
    <b v="1"/>
    <x v="57"/>
    <x v="0"/>
    <b v="0"/>
    <n v="9.0399999999999991"/>
    <n v="4.33"/>
    <n v="20.190000000000001"/>
    <n v="0.4"/>
    <n v="4.63"/>
    <n v="0.01"/>
    <n v="0.89"/>
    <n v="78.260000000000005"/>
    <n v="4.3899999999999997"/>
    <n v="174.8"/>
  </r>
  <r>
    <s v="EU"/>
    <m/>
    <b v="1"/>
    <x v="57"/>
    <x v="1"/>
    <b v="0"/>
    <n v="30.17"/>
    <n v="14.45"/>
    <n v="67.39"/>
    <n v="3.52"/>
    <n v="13.21"/>
    <n v="1.1399999999999999"/>
    <n v="7.86"/>
    <n v="242.54"/>
    <n v="13.62"/>
    <n v="541.74"/>
  </r>
  <r>
    <s v="EU"/>
    <m/>
    <b v="1"/>
    <x v="57"/>
    <x v="2"/>
    <b v="0"/>
    <n v="33.01"/>
    <n v="15.8"/>
    <n v="73.73"/>
    <n v="-12.94"/>
    <n v="-28.16"/>
    <n v="-7.15"/>
    <n v="-28.9"/>
    <n v="327.14"/>
    <n v="18.37"/>
    <n v="730.7"/>
  </r>
  <r>
    <s v="EU"/>
    <m/>
    <b v="1"/>
    <x v="57"/>
    <x v="3"/>
    <b v="0"/>
    <n v="27.85"/>
    <n v="13.33"/>
    <n v="62.21"/>
    <n v="2.06"/>
    <n v="7.99"/>
    <n v="0.45"/>
    <n v="4.5999999999999996"/>
    <n v="250.57"/>
    <n v="14.07"/>
    <n v="559.67999999999995"/>
  </r>
  <r>
    <s v="EU"/>
    <m/>
    <b v="1"/>
    <x v="57"/>
    <x v="4"/>
    <b v="0"/>
    <n v="57.38"/>
    <n v="27.47"/>
    <n v="128.16"/>
    <n v="9.34"/>
    <n v="19.440000000000001"/>
    <n v="3.47"/>
    <n v="20.86"/>
    <n v="462.45"/>
    <n v="25.97"/>
    <n v="1032.93"/>
  </r>
  <r>
    <s v="EU"/>
    <m/>
    <b v="1"/>
    <x v="57"/>
    <x v="5"/>
    <b v="0"/>
    <n v="6.29"/>
    <n v="3.01"/>
    <n v="14.05"/>
    <n v="0.11"/>
    <n v="1.78"/>
    <n v="-0.08"/>
    <n v="0.25"/>
    <n v="49.09"/>
    <n v="2.76"/>
    <n v="109.65"/>
  </r>
  <r>
    <s v="EU"/>
    <m/>
    <b v="1"/>
    <x v="57"/>
    <x v="6"/>
    <b v="0"/>
    <n v="1.41"/>
    <n v="0.68"/>
    <n v="3.15"/>
    <n v="0.02"/>
    <n v="1.44"/>
    <n v="-0.01"/>
    <n v="0.04"/>
    <n v="11.98"/>
    <n v="0.67"/>
    <n v="26.76"/>
  </r>
  <r>
    <s v="EU"/>
    <m/>
    <b v="1"/>
    <x v="57"/>
    <x v="7"/>
    <b v="0"/>
    <n v="18.350000000000001"/>
    <n v="8.7899999999999991"/>
    <n v="40.99"/>
    <n v="1.76"/>
    <n v="10.61"/>
    <n v="0.5"/>
    <n v="3.93"/>
    <n v="120.28"/>
    <n v="6.75"/>
    <n v="268.66000000000003"/>
  </r>
  <r>
    <s v="EU"/>
    <m/>
    <b v="1"/>
    <x v="57"/>
    <x v="8"/>
    <b v="1"/>
    <n v="208.86"/>
    <n v="100"/>
    <n v="466.51"/>
    <n v="8.66"/>
    <n v="4.33"/>
    <n v="0"/>
    <n v="19.34"/>
    <n v="1780.68"/>
    <n v="100"/>
    <n v="3977.34"/>
  </r>
  <r>
    <s v="EU"/>
    <m/>
    <b v="1"/>
    <x v="57"/>
    <x v="9"/>
    <b v="0"/>
    <n v="25.36"/>
    <n v="12.14"/>
    <n v="56.64"/>
    <n v="4.3899999999999997"/>
    <n v="20.93"/>
    <n v="1.67"/>
    <n v="9.81"/>
    <n v="238.37"/>
    <n v="13.39"/>
    <n v="532.42999999999995"/>
  </r>
  <r>
    <s v="EU"/>
    <m/>
    <b v="1"/>
    <x v="58"/>
    <x v="0"/>
    <b v="0"/>
    <n v="9.2100000000000009"/>
    <n v="4.43"/>
    <n v="20.57"/>
    <n v="0.5"/>
    <n v="5.74"/>
    <n v="0.08"/>
    <n v="1.1200000000000001"/>
    <n v="87.47"/>
    <n v="4.4000000000000004"/>
    <n v="195.37"/>
  </r>
  <r>
    <s v="EU"/>
    <m/>
    <b v="1"/>
    <x v="58"/>
    <x v="1"/>
    <b v="0"/>
    <n v="36.74"/>
    <n v="17.670000000000002"/>
    <n v="82.06"/>
    <n v="6.39"/>
    <n v="21.05"/>
    <n v="2.5299999999999998"/>
    <n v="14.27"/>
    <n v="279.27999999999997"/>
    <n v="14.04"/>
    <n v="623.79999999999995"/>
  </r>
  <r>
    <s v="EU"/>
    <m/>
    <b v="1"/>
    <x v="58"/>
    <x v="2"/>
    <b v="0"/>
    <n v="40.07"/>
    <n v="19.27"/>
    <n v="89.5"/>
    <n v="-5.19"/>
    <n v="-11.47"/>
    <n v="-3.31"/>
    <n v="-11.59"/>
    <n v="367.21"/>
    <n v="18.47"/>
    <n v="820.2"/>
  </r>
  <r>
    <s v="EU"/>
    <m/>
    <b v="1"/>
    <x v="58"/>
    <x v="3"/>
    <b v="0"/>
    <n v="21.6"/>
    <n v="10.39"/>
    <n v="48.25"/>
    <n v="-1.62"/>
    <n v="-6.98"/>
    <n v="-1.2"/>
    <n v="-3.62"/>
    <n v="272.17"/>
    <n v="13.69"/>
    <n v="607.91999999999996"/>
  </r>
  <r>
    <s v="EU"/>
    <m/>
    <b v="1"/>
    <x v="58"/>
    <x v="4"/>
    <b v="0"/>
    <n v="56.54"/>
    <n v="27.19"/>
    <n v="126.29"/>
    <n v="9.1199999999999992"/>
    <n v="19.23"/>
    <n v="3.53"/>
    <n v="20.37"/>
    <n v="518.99"/>
    <n v="26.1"/>
    <n v="1159.22"/>
  </r>
  <r>
    <s v="EU"/>
    <m/>
    <b v="1"/>
    <x v="58"/>
    <x v="5"/>
    <b v="0"/>
    <n v="5.97"/>
    <n v="2.87"/>
    <n v="13.33"/>
    <n v="-0.33"/>
    <n v="-5.24"/>
    <n v="-0.27"/>
    <n v="-0.74"/>
    <n v="55.06"/>
    <n v="2.77"/>
    <n v="122.98"/>
  </r>
  <r>
    <s v="EU"/>
    <m/>
    <b v="1"/>
    <x v="58"/>
    <x v="6"/>
    <b v="0"/>
    <n v="1.39"/>
    <n v="0.67"/>
    <n v="3.1"/>
    <n v="-0.06"/>
    <n v="-4.1399999999999997"/>
    <n v="-0.05"/>
    <n v="-0.13"/>
    <n v="13.37"/>
    <n v="0.67"/>
    <n v="29.86"/>
  </r>
  <r>
    <s v="EU"/>
    <m/>
    <b v="1"/>
    <x v="58"/>
    <x v="7"/>
    <b v="0"/>
    <n v="15.47"/>
    <n v="7.44"/>
    <n v="34.549999999999997"/>
    <n v="1.94"/>
    <n v="14.34"/>
    <n v="0.69"/>
    <n v="4.33"/>
    <n v="135.75"/>
    <n v="6.83"/>
    <n v="303.20999999999998"/>
  </r>
  <r>
    <s v="EU"/>
    <m/>
    <b v="1"/>
    <x v="58"/>
    <x v="8"/>
    <b v="1"/>
    <n v="207.96"/>
    <n v="100"/>
    <n v="464.5"/>
    <n v="7.53"/>
    <n v="3.76"/>
    <n v="0"/>
    <n v="16.82"/>
    <n v="1988.64"/>
    <n v="100"/>
    <n v="4441.84"/>
  </r>
  <r>
    <s v="EU"/>
    <m/>
    <b v="1"/>
    <x v="58"/>
    <x v="9"/>
    <b v="0"/>
    <n v="20.97"/>
    <n v="10.08"/>
    <n v="46.84"/>
    <n v="-3.22"/>
    <n v="-13.31"/>
    <n v="-1.99"/>
    <n v="-7.19"/>
    <n v="259.33999999999997"/>
    <n v="13.04"/>
    <n v="579.26"/>
  </r>
  <r>
    <s v="EU"/>
    <m/>
    <b v="1"/>
    <x v="59"/>
    <x v="0"/>
    <b v="0"/>
    <n v="10.01"/>
    <n v="4.49"/>
    <n v="22.36"/>
    <n v="0.62"/>
    <n v="6.6"/>
    <n v="0.19"/>
    <n v="1.38"/>
    <n v="97.48"/>
    <n v="4.41"/>
    <n v="217.73"/>
  </r>
  <r>
    <s v="EU"/>
    <m/>
    <b v="1"/>
    <x v="59"/>
    <x v="1"/>
    <b v="0"/>
    <n v="36.71"/>
    <n v="16.47"/>
    <n v="82"/>
    <n v="4.59"/>
    <n v="14.29"/>
    <n v="1.76"/>
    <n v="10.25"/>
    <n v="315.99"/>
    <n v="14.29"/>
    <n v="705.8"/>
  </r>
  <r>
    <s v="EU"/>
    <m/>
    <b v="1"/>
    <x v="59"/>
    <x v="2"/>
    <b v="0"/>
    <n v="39.07"/>
    <n v="17.53"/>
    <n v="87.27"/>
    <n v="-0.52"/>
    <n v="-1.31"/>
    <n v="-0.6"/>
    <n v="-1.1599999999999999"/>
    <n v="406.28"/>
    <n v="18.37"/>
    <n v="907.47"/>
  </r>
  <r>
    <s v="EU"/>
    <m/>
    <b v="1"/>
    <x v="59"/>
    <x v="3"/>
    <b v="0"/>
    <n v="20.309999999999999"/>
    <n v="9.11"/>
    <n v="45.36"/>
    <n v="-7.89"/>
    <n v="-27.98"/>
    <n v="-3.8"/>
    <n v="-17.62"/>
    <n v="292.48"/>
    <n v="13.23"/>
    <n v="653.29"/>
  </r>
  <r>
    <s v="EU"/>
    <m/>
    <b v="1"/>
    <x v="59"/>
    <x v="4"/>
    <b v="0"/>
    <n v="59.28"/>
    <n v="26.6"/>
    <n v="132.41"/>
    <n v="5.09"/>
    <n v="9.39"/>
    <n v="1.79"/>
    <n v="11.37"/>
    <n v="578.27"/>
    <n v="26.15"/>
    <n v="1291.6300000000001"/>
  </r>
  <r>
    <s v="EU"/>
    <m/>
    <b v="1"/>
    <x v="59"/>
    <x v="5"/>
    <b v="0"/>
    <n v="6.26"/>
    <n v="2.81"/>
    <n v="13.98"/>
    <n v="0.01"/>
    <n v="0.16"/>
    <n v="-0.05"/>
    <n v="0.02"/>
    <n v="61.32"/>
    <n v="2.77"/>
    <n v="136.96"/>
  </r>
  <r>
    <s v="EU"/>
    <m/>
    <b v="1"/>
    <x v="59"/>
    <x v="6"/>
    <b v="0"/>
    <n v="1.51"/>
    <n v="0.68"/>
    <n v="3.37"/>
    <n v="-7.0000000000000007E-2"/>
    <n v="-4.43"/>
    <n v="-0.04"/>
    <n v="-0.16"/>
    <n v="14.88"/>
    <n v="0.67"/>
    <n v="33.24"/>
  </r>
  <r>
    <s v="EU"/>
    <m/>
    <b v="1"/>
    <x v="59"/>
    <x v="7"/>
    <b v="0"/>
    <n v="11.45"/>
    <n v="5.14"/>
    <n v="25.57"/>
    <n v="3.24"/>
    <n v="39.46"/>
    <n v="1.38"/>
    <n v="7.24"/>
    <n v="147.19999999999999"/>
    <n v="6.66"/>
    <n v="328.79"/>
  </r>
  <r>
    <s v="EU"/>
    <m/>
    <b v="1"/>
    <x v="59"/>
    <x v="8"/>
    <b v="1"/>
    <n v="222.85"/>
    <n v="100"/>
    <n v="497.76"/>
    <n v="4.46"/>
    <n v="2.04"/>
    <n v="0"/>
    <n v="9.9600000000000009"/>
    <n v="2211.4899999999998"/>
    <n v="100"/>
    <n v="4939.6000000000004"/>
  </r>
  <r>
    <s v="EU"/>
    <m/>
    <b v="1"/>
    <x v="59"/>
    <x v="9"/>
    <b v="0"/>
    <n v="38.25"/>
    <n v="17.16"/>
    <n v="85.44"/>
    <n v="-0.61"/>
    <n v="-1.57"/>
    <n v="-0.63"/>
    <n v="-1.36"/>
    <n v="297.58999999999997"/>
    <n v="13.46"/>
    <n v="664.7"/>
  </r>
  <r>
    <s v="EU"/>
    <m/>
    <b v="1"/>
    <x v="60"/>
    <x v="0"/>
    <b v="0"/>
    <n v="10.61"/>
    <n v="4.49"/>
    <n v="23.7"/>
    <n v="0.83"/>
    <n v="8.49"/>
    <n v="0.16"/>
    <n v="1.85"/>
    <n v="108.09"/>
    <n v="4.42"/>
    <n v="241.43"/>
  </r>
  <r>
    <s v="EU"/>
    <m/>
    <b v="1"/>
    <x v="60"/>
    <x v="1"/>
    <b v="0"/>
    <n v="40.49"/>
    <n v="17.149999999999999"/>
    <n v="90.44"/>
    <n v="5.0599999999999996"/>
    <n v="14.28"/>
    <n v="1.45"/>
    <n v="11.3"/>
    <n v="356.48"/>
    <n v="14.56"/>
    <n v="796.24"/>
  </r>
  <r>
    <s v="EU"/>
    <m/>
    <b v="1"/>
    <x v="60"/>
    <x v="2"/>
    <b v="0"/>
    <n v="54.94"/>
    <n v="23.27"/>
    <n v="122.71"/>
    <n v="6.4"/>
    <n v="13.19"/>
    <n v="1.77"/>
    <n v="14.3"/>
    <n v="461.22"/>
    <n v="18.84"/>
    <n v="1030.18"/>
  </r>
  <r>
    <s v="EU"/>
    <m/>
    <b v="1"/>
    <x v="60"/>
    <x v="3"/>
    <b v="0"/>
    <n v="22.27"/>
    <n v="9.43"/>
    <n v="49.74"/>
    <n v="-4.97"/>
    <n v="-18.25"/>
    <n v="-2.64"/>
    <n v="-11.1"/>
    <n v="314.75"/>
    <n v="12.86"/>
    <n v="703.03"/>
  </r>
  <r>
    <s v="EU"/>
    <m/>
    <b v="1"/>
    <x v="60"/>
    <x v="4"/>
    <b v="0"/>
    <n v="58.55"/>
    <n v="24.8"/>
    <n v="130.78"/>
    <n v="0.79"/>
    <n v="1.37"/>
    <n v="-0.79"/>
    <n v="1.76"/>
    <n v="636.82000000000005"/>
    <n v="26.02"/>
    <n v="1422.41"/>
  </r>
  <r>
    <s v="EU"/>
    <m/>
    <b v="1"/>
    <x v="60"/>
    <x v="5"/>
    <b v="0"/>
    <n v="6.74"/>
    <n v="2.86"/>
    <n v="15.05"/>
    <n v="0.28000000000000003"/>
    <n v="4.33"/>
    <n v="0"/>
    <n v="0.63"/>
    <n v="68.06"/>
    <n v="2.78"/>
    <n v="152.02000000000001"/>
  </r>
  <r>
    <s v="EU"/>
    <m/>
    <b v="1"/>
    <x v="60"/>
    <x v="6"/>
    <b v="0"/>
    <n v="1.53"/>
    <n v="0.65"/>
    <n v="3.42"/>
    <n v="-0.03"/>
    <n v="-1.92"/>
    <n v="-0.04"/>
    <n v="-7.0000000000000007E-2"/>
    <n v="16.41"/>
    <n v="0.67"/>
    <n v="36.65"/>
  </r>
  <r>
    <s v="EU"/>
    <m/>
    <b v="1"/>
    <x v="60"/>
    <x v="7"/>
    <b v="0"/>
    <n v="5.83"/>
    <n v="2.4700000000000002"/>
    <n v="13.02"/>
    <n v="0.24"/>
    <n v="4.29"/>
    <n v="-0.01"/>
    <n v="0.54"/>
    <n v="153.03"/>
    <n v="6.25"/>
    <n v="341.81"/>
  </r>
  <r>
    <s v="EU"/>
    <m/>
    <b v="1"/>
    <x v="60"/>
    <x v="8"/>
    <b v="1"/>
    <n v="236.07"/>
    <n v="100"/>
    <n v="527.29"/>
    <n v="10.35"/>
    <n v="4.59"/>
    <n v="0"/>
    <n v="23.12"/>
    <n v="2447.56"/>
    <n v="100"/>
    <n v="5466.89"/>
  </r>
  <r>
    <s v="EU"/>
    <m/>
    <b v="1"/>
    <x v="60"/>
    <x v="9"/>
    <b v="0"/>
    <n v="35.11"/>
    <n v="14.87"/>
    <n v="78.42"/>
    <n v="1.75"/>
    <n v="5.25"/>
    <n v="0.09"/>
    <n v="3.91"/>
    <n v="332.7"/>
    <n v="13.59"/>
    <n v="743.12"/>
  </r>
  <r>
    <s v="EU"/>
    <m/>
    <b v="1"/>
    <x v="61"/>
    <x v="0"/>
    <b v="0"/>
    <n v="11.71"/>
    <n v="4.6399999999999997"/>
    <n v="26.16"/>
    <n v="0.92"/>
    <n v="8.5299999999999994"/>
    <n v="0.17"/>
    <n v="2.0499999999999998"/>
    <n v="119.8"/>
    <n v="4.4400000000000004"/>
    <n v="267.58999999999997"/>
  </r>
  <r>
    <s v="EU"/>
    <m/>
    <b v="1"/>
    <x v="61"/>
    <x v="1"/>
    <b v="0"/>
    <n v="42.48"/>
    <n v="16.82"/>
    <n v="94.88"/>
    <n v="7.5"/>
    <n v="21.44"/>
    <n v="2.33"/>
    <n v="16.75"/>
    <n v="398.96"/>
    <n v="14.78"/>
    <n v="891.12"/>
  </r>
  <r>
    <s v="EU"/>
    <m/>
    <b v="1"/>
    <x v="61"/>
    <x v="2"/>
    <b v="0"/>
    <n v="52.83"/>
    <n v="20.92"/>
    <n v="118"/>
    <n v="2.76"/>
    <n v="5.51"/>
    <n v="0.18"/>
    <n v="6.16"/>
    <n v="514.04999999999995"/>
    <n v="19.04"/>
    <n v="1148.19"/>
  </r>
  <r>
    <s v="EU"/>
    <m/>
    <b v="1"/>
    <x v="61"/>
    <x v="3"/>
    <b v="0"/>
    <n v="27.87"/>
    <n v="11.03"/>
    <n v="62.25"/>
    <n v="-2.25"/>
    <n v="-7.47"/>
    <n v="-1.44"/>
    <n v="-5.03"/>
    <n v="342.62"/>
    <n v="12.69"/>
    <n v="765.28"/>
  </r>
  <r>
    <s v="EU"/>
    <m/>
    <b v="1"/>
    <x v="61"/>
    <x v="4"/>
    <b v="0"/>
    <n v="61.27"/>
    <n v="24.26"/>
    <n v="136.85"/>
    <n v="-2.69"/>
    <n v="-4.21"/>
    <n v="-2.23"/>
    <n v="-6.01"/>
    <n v="698.09"/>
    <n v="25.85"/>
    <n v="1559.26"/>
  </r>
  <r>
    <s v="EU"/>
    <m/>
    <b v="1"/>
    <x v="61"/>
    <x v="5"/>
    <b v="0"/>
    <n v="7.41"/>
    <n v="2.93"/>
    <n v="16.55"/>
    <n v="0.8"/>
    <n v="12.1"/>
    <n v="0.19"/>
    <n v="1.79"/>
    <n v="75.47"/>
    <n v="2.8"/>
    <n v="168.57"/>
  </r>
  <r>
    <s v="EU"/>
    <m/>
    <b v="1"/>
    <x v="61"/>
    <x v="6"/>
    <b v="0"/>
    <n v="1.57"/>
    <n v="0.62"/>
    <n v="3.51"/>
    <n v="-7.0000000000000007E-2"/>
    <n v="-4.2699999999999996"/>
    <n v="-0.06"/>
    <n v="-0.16"/>
    <n v="17.98"/>
    <n v="0.67"/>
    <n v="40.159999999999997"/>
  </r>
  <r>
    <s v="EU"/>
    <m/>
    <b v="1"/>
    <x v="61"/>
    <x v="7"/>
    <b v="0"/>
    <n v="4.5"/>
    <n v="1.78"/>
    <n v="10.050000000000001"/>
    <n v="1.1100000000000001"/>
    <n v="32.74"/>
    <n v="0.38"/>
    <n v="2.48"/>
    <n v="157.53"/>
    <n v="5.83"/>
    <n v="351.86"/>
  </r>
  <r>
    <s v="EU"/>
    <m/>
    <b v="1"/>
    <x v="61"/>
    <x v="8"/>
    <b v="1"/>
    <n v="252.58"/>
    <n v="100"/>
    <n v="564.16"/>
    <n v="11.11"/>
    <n v="4.5999999999999996"/>
    <n v="0"/>
    <n v="24.82"/>
    <n v="2700.14"/>
    <n v="100"/>
    <n v="6031.06"/>
  </r>
  <r>
    <s v="EU"/>
    <m/>
    <b v="1"/>
    <x v="61"/>
    <x v="9"/>
    <b v="0"/>
    <n v="42.94"/>
    <n v="17"/>
    <n v="95.91"/>
    <n v="3.03"/>
    <n v="7.59"/>
    <n v="0.47"/>
    <n v="6.77"/>
    <n v="375.64"/>
    <n v="13.91"/>
    <n v="839.03"/>
  </r>
  <r>
    <s v="EU"/>
    <m/>
    <b v="1"/>
    <x v="62"/>
    <x v="0"/>
    <b v="0"/>
    <n v="11.39"/>
    <n v="4.41"/>
    <n v="25.36"/>
    <n v="0.02"/>
    <n v="0.18"/>
    <n v="-0.02"/>
    <n v="0.04"/>
    <n v="11.39"/>
    <n v="4.41"/>
    <n v="25.36"/>
  </r>
  <r>
    <s v="EU"/>
    <m/>
    <b v="1"/>
    <x v="62"/>
    <x v="1"/>
    <b v="0"/>
    <n v="40.090000000000003"/>
    <n v="15.52"/>
    <n v="89.26"/>
    <n v="0.28000000000000003"/>
    <n v="0.7"/>
    <n v="0.02"/>
    <n v="0.62"/>
    <n v="40.090000000000003"/>
    <n v="15.52"/>
    <n v="89.26"/>
  </r>
  <r>
    <s v="EU"/>
    <m/>
    <b v="1"/>
    <x v="62"/>
    <x v="2"/>
    <b v="0"/>
    <n v="54.66"/>
    <n v="21.16"/>
    <n v="121.71"/>
    <n v="2.48"/>
    <n v="4.75"/>
    <n v="0.84"/>
    <n v="5.52"/>
    <n v="54.66"/>
    <n v="21.16"/>
    <n v="121.71"/>
  </r>
  <r>
    <s v="EU"/>
    <m/>
    <b v="1"/>
    <x v="62"/>
    <x v="3"/>
    <b v="0"/>
    <n v="26.68"/>
    <n v="10.33"/>
    <n v="59.41"/>
    <n v="-8.0500000000000007"/>
    <n v="-23.18"/>
    <n v="-3.19"/>
    <n v="-17.920000000000002"/>
    <n v="26.68"/>
    <n v="10.33"/>
    <n v="59.41"/>
  </r>
  <r>
    <s v="EU"/>
    <m/>
    <b v="1"/>
    <x v="62"/>
    <x v="4"/>
    <b v="0"/>
    <n v="63.61"/>
    <n v="24.62"/>
    <n v="141.63"/>
    <n v="-4.37"/>
    <n v="-6.43"/>
    <n v="-1.85"/>
    <n v="-9.73"/>
    <n v="63.61"/>
    <n v="24.62"/>
    <n v="141.63"/>
  </r>
  <r>
    <s v="EU"/>
    <m/>
    <b v="1"/>
    <x v="62"/>
    <x v="5"/>
    <b v="0"/>
    <n v="7.29"/>
    <n v="2.82"/>
    <n v="16.23"/>
    <n v="0.45"/>
    <n v="6.58"/>
    <n v="0.16"/>
    <n v="1"/>
    <n v="7.29"/>
    <n v="2.82"/>
    <n v="16.23"/>
  </r>
  <r>
    <s v="EU"/>
    <m/>
    <b v="1"/>
    <x v="62"/>
    <x v="6"/>
    <b v="0"/>
    <n v="1.71"/>
    <n v="0.66"/>
    <n v="3.81"/>
    <n v="0.02"/>
    <n v="1.18"/>
    <n v="0"/>
    <n v="0.04"/>
    <n v="1.71"/>
    <n v="0.66"/>
    <n v="3.81"/>
  </r>
  <r>
    <s v="EU"/>
    <m/>
    <b v="1"/>
    <x v="62"/>
    <x v="7"/>
    <b v="0"/>
    <n v="6.68"/>
    <n v="2.59"/>
    <n v="14.87"/>
    <n v="2.6"/>
    <n v="63.73"/>
    <n v="1"/>
    <n v="5.79"/>
    <n v="6.68"/>
    <n v="2.59"/>
    <n v="14.87"/>
  </r>
  <r>
    <s v="EU"/>
    <m/>
    <b v="1"/>
    <x v="62"/>
    <x v="8"/>
    <b v="1"/>
    <n v="258.37"/>
    <n v="100"/>
    <n v="575.29"/>
    <n v="1.54"/>
    <n v="0.6"/>
    <n v="0"/>
    <n v="3.43"/>
    <n v="258.37"/>
    <n v="100"/>
    <n v="575.29"/>
  </r>
  <r>
    <s v="EU"/>
    <m/>
    <b v="1"/>
    <x v="62"/>
    <x v="9"/>
    <b v="0"/>
    <n v="46.26"/>
    <n v="17.899999999999999"/>
    <n v="103"/>
    <n v="8.11"/>
    <n v="21.26"/>
    <n v="3.05"/>
    <n v="18.059999999999999"/>
    <n v="46.26"/>
    <n v="17.899999999999999"/>
    <n v="103"/>
  </r>
  <r>
    <s v="EU"/>
    <m/>
    <b v="1"/>
    <x v="63"/>
    <x v="0"/>
    <b v="0"/>
    <n v="10.15"/>
    <n v="4.4000000000000004"/>
    <n v="22.6"/>
    <n v="-7.0000000000000007E-2"/>
    <n v="-0.68"/>
    <n v="-0.05"/>
    <n v="-0.16"/>
    <n v="21.54"/>
    <n v="4.4000000000000004"/>
    <n v="47.96"/>
  </r>
  <r>
    <s v="EU"/>
    <m/>
    <b v="1"/>
    <x v="63"/>
    <x v="1"/>
    <b v="0"/>
    <n v="31.99"/>
    <n v="13.87"/>
    <n v="71.23"/>
    <n v="0.74"/>
    <n v="2.37"/>
    <n v="0.25"/>
    <n v="1.65"/>
    <n v="72.08"/>
    <n v="14.74"/>
    <n v="160.49"/>
  </r>
  <r>
    <s v="EU"/>
    <m/>
    <b v="1"/>
    <x v="63"/>
    <x v="2"/>
    <b v="0"/>
    <n v="42.86"/>
    <n v="18.579999999999998"/>
    <n v="95.43"/>
    <n v="0.56000000000000005"/>
    <n v="1.32"/>
    <n v="0.14000000000000001"/>
    <n v="1.25"/>
    <n v="97.52"/>
    <n v="19.940000000000001"/>
    <n v="217.14"/>
  </r>
  <r>
    <s v="EU"/>
    <m/>
    <b v="1"/>
    <x v="63"/>
    <x v="3"/>
    <b v="0"/>
    <n v="21.41"/>
    <n v="9.2799999999999994"/>
    <n v="47.67"/>
    <n v="-13.59"/>
    <n v="-38.83"/>
    <n v="-5.97"/>
    <n v="-30.26"/>
    <n v="48.09"/>
    <n v="9.83"/>
    <n v="107.08"/>
  </r>
  <r>
    <s v="EU"/>
    <m/>
    <b v="1"/>
    <x v="63"/>
    <x v="4"/>
    <b v="0"/>
    <n v="54.74"/>
    <n v="23.73"/>
    <n v="121.88"/>
    <n v="-3.9"/>
    <n v="-6.65"/>
    <n v="-1.83"/>
    <n v="-8.68"/>
    <n v="118.35"/>
    <n v="24.2"/>
    <n v="263.52"/>
  </r>
  <r>
    <s v="EU"/>
    <m/>
    <b v="1"/>
    <x v="63"/>
    <x v="5"/>
    <b v="0"/>
    <n v="6.17"/>
    <n v="2.67"/>
    <n v="13.74"/>
    <n v="-0.03"/>
    <n v="-0.48"/>
    <n v="-0.03"/>
    <n v="-7.0000000000000007E-2"/>
    <n v="13.46"/>
    <n v="2.75"/>
    <n v="29.97"/>
  </r>
  <r>
    <s v="EU"/>
    <m/>
    <b v="1"/>
    <x v="63"/>
    <x v="6"/>
    <b v="0"/>
    <n v="1.49"/>
    <n v="0.65"/>
    <n v="3.32"/>
    <n v="0.01"/>
    <n v="0.68"/>
    <n v="0"/>
    <n v="0.02"/>
    <n v="3.2"/>
    <n v="0.65"/>
    <n v="7.13"/>
  </r>
  <r>
    <s v="EU"/>
    <m/>
    <b v="1"/>
    <x v="63"/>
    <x v="7"/>
    <b v="0"/>
    <n v="9.92"/>
    <n v="4.3"/>
    <n v="22.09"/>
    <n v="2.63"/>
    <n v="36.08"/>
    <n v="1.1200000000000001"/>
    <n v="5.86"/>
    <n v="16.600000000000001"/>
    <n v="3.39"/>
    <n v="36.96"/>
  </r>
  <r>
    <s v="EU"/>
    <m/>
    <b v="1"/>
    <x v="63"/>
    <x v="8"/>
    <b v="1"/>
    <n v="230.72"/>
    <n v="100"/>
    <n v="513.72"/>
    <n v="1.28"/>
    <n v="0.56000000000000005"/>
    <n v="0"/>
    <n v="2.85"/>
    <n v="489.09"/>
    <n v="100"/>
    <n v="1089.01"/>
  </r>
  <r>
    <s v="EU"/>
    <m/>
    <b v="1"/>
    <x v="63"/>
    <x v="9"/>
    <b v="0"/>
    <n v="51.99"/>
    <n v="22.53"/>
    <n v="115.76"/>
    <n v="14.93"/>
    <n v="40.29"/>
    <n v="6.38"/>
    <n v="33.24"/>
    <n v="98.25"/>
    <n v="20.09"/>
    <n v="218.76"/>
  </r>
  <r>
    <s v="EU"/>
    <m/>
    <b v="1"/>
    <x v="64"/>
    <x v="0"/>
    <b v="0"/>
    <n v="11.21"/>
    <n v="4.72"/>
    <n v="24.96"/>
    <n v="0.55000000000000004"/>
    <n v="5.16"/>
    <n v="0.28000000000000003"/>
    <n v="1.22"/>
    <n v="32.75"/>
    <n v="4.51"/>
    <n v="72.92"/>
  </r>
  <r>
    <s v="EU"/>
    <m/>
    <b v="1"/>
    <x v="64"/>
    <x v="1"/>
    <b v="0"/>
    <n v="42.42"/>
    <n v="17.850000000000001"/>
    <n v="94.45"/>
    <n v="10.67"/>
    <n v="33.61"/>
    <n v="4.62"/>
    <n v="23.76"/>
    <n v="114.5"/>
    <n v="15.75"/>
    <n v="254.95"/>
  </r>
  <r>
    <s v="EU"/>
    <m/>
    <b v="1"/>
    <x v="64"/>
    <x v="2"/>
    <b v="0"/>
    <n v="47.6"/>
    <n v="20.03"/>
    <n v="105.99"/>
    <n v="0.88"/>
    <n v="1.88"/>
    <n v="0.56000000000000005"/>
    <n v="1.96"/>
    <n v="145.12"/>
    <n v="19.97"/>
    <n v="323.13"/>
  </r>
  <r>
    <s v="EU"/>
    <m/>
    <b v="1"/>
    <x v="64"/>
    <x v="3"/>
    <b v="0"/>
    <n v="22.81"/>
    <n v="9.6"/>
    <n v="50.79"/>
    <n v="-7.74"/>
    <n v="-25.34"/>
    <n v="-3.13"/>
    <n v="-17.23"/>
    <n v="70.900000000000006"/>
    <n v="9.76"/>
    <n v="157.87"/>
  </r>
  <r>
    <s v="EU"/>
    <m/>
    <b v="1"/>
    <x v="64"/>
    <x v="4"/>
    <b v="0"/>
    <n v="54.51"/>
    <n v="22.93"/>
    <n v="121.37"/>
    <n v="-7.63"/>
    <n v="-12.28"/>
    <n v="-2.97"/>
    <n v="-16.989999999999998"/>
    <n v="172.86"/>
    <n v="23.78"/>
    <n v="384.89"/>
  </r>
  <r>
    <s v="EU"/>
    <m/>
    <b v="1"/>
    <x v="64"/>
    <x v="5"/>
    <b v="0"/>
    <n v="7.1"/>
    <n v="2.99"/>
    <n v="15.81"/>
    <n v="0.89"/>
    <n v="14.33"/>
    <n v="0.4"/>
    <n v="1.98"/>
    <n v="20.56"/>
    <n v="2.83"/>
    <n v="45.78"/>
  </r>
  <r>
    <s v="EU"/>
    <m/>
    <b v="1"/>
    <x v="64"/>
    <x v="6"/>
    <b v="0"/>
    <n v="1.66"/>
    <n v="0.7"/>
    <n v="3.7"/>
    <n v="0.03"/>
    <n v="1.84"/>
    <n v="0.02"/>
    <n v="7.0000000000000007E-2"/>
    <n v="4.8600000000000003"/>
    <n v="0.67"/>
    <n v="10.82"/>
  </r>
  <r>
    <s v="EU"/>
    <m/>
    <b v="1"/>
    <x v="64"/>
    <x v="7"/>
    <b v="0"/>
    <n v="16.690000000000001"/>
    <n v="7.02"/>
    <n v="37.159999999999997"/>
    <n v="3.17"/>
    <n v="23.45"/>
    <n v="1.38"/>
    <n v="7.06"/>
    <n v="33.29"/>
    <n v="4.58"/>
    <n v="74.12"/>
  </r>
  <r>
    <s v="EU"/>
    <m/>
    <b v="1"/>
    <x v="64"/>
    <x v="8"/>
    <b v="1"/>
    <n v="237.69"/>
    <n v="100"/>
    <n v="529.24"/>
    <n v="-2.2200000000000002"/>
    <n v="-0.93"/>
    <n v="0"/>
    <n v="-4.9400000000000004"/>
    <n v="726.78"/>
    <n v="100"/>
    <n v="1618.26"/>
  </r>
  <r>
    <s v="EU"/>
    <m/>
    <b v="1"/>
    <x v="64"/>
    <x v="9"/>
    <b v="0"/>
    <n v="33.69"/>
    <n v="14.17"/>
    <n v="75.010000000000005"/>
    <n v="-3.04"/>
    <n v="-8.2799999999999994"/>
    <n v="-1.1399999999999999"/>
    <n v="-6.77"/>
    <n v="131.94"/>
    <n v="18.149999999999999"/>
    <n v="293.77999999999997"/>
  </r>
  <r>
    <s v="EU"/>
    <m/>
    <b v="1"/>
    <x v="65"/>
    <x v="0"/>
    <b v="0"/>
    <n v="10.09"/>
    <n v="4.75"/>
    <n v="22.47"/>
    <n v="-0.05"/>
    <n v="-0.49"/>
    <n v="0.05"/>
    <n v="-0.11"/>
    <n v="42.84"/>
    <n v="4.5599999999999996"/>
    <n v="95.39"/>
  </r>
  <r>
    <s v="EU"/>
    <m/>
    <b v="1"/>
    <x v="65"/>
    <x v="1"/>
    <b v="0"/>
    <n v="32.33"/>
    <n v="15.21"/>
    <n v="71.989999999999995"/>
    <n v="3.6"/>
    <n v="12.53"/>
    <n v="1.9"/>
    <n v="8.02"/>
    <n v="146.83000000000001"/>
    <n v="15.63"/>
    <n v="326.93"/>
  </r>
  <r>
    <s v="EU"/>
    <m/>
    <b v="1"/>
    <x v="65"/>
    <x v="2"/>
    <b v="0"/>
    <n v="34.590000000000003"/>
    <n v="16.28"/>
    <n v="77.02"/>
    <n v="-8.43"/>
    <n v="-19.600000000000001"/>
    <n v="-3.66"/>
    <n v="-18.77"/>
    <n v="179.71"/>
    <n v="19.13"/>
    <n v="400.14"/>
  </r>
  <r>
    <s v="EU"/>
    <m/>
    <b v="1"/>
    <x v="65"/>
    <x v="3"/>
    <b v="0"/>
    <n v="24.54"/>
    <n v="11.55"/>
    <n v="54.64"/>
    <n v="-2"/>
    <n v="-7.54"/>
    <n v="-0.75"/>
    <n v="-4.45"/>
    <n v="95.44"/>
    <n v="10.16"/>
    <n v="212.51"/>
  </r>
  <r>
    <s v="EU"/>
    <m/>
    <b v="1"/>
    <x v="65"/>
    <x v="4"/>
    <b v="0"/>
    <n v="47.32"/>
    <n v="22.27"/>
    <n v="105.36"/>
    <n v="-6.71"/>
    <n v="-12.42"/>
    <n v="-2.77"/>
    <n v="-14.94"/>
    <n v="220.18"/>
    <n v="23.44"/>
    <n v="490.25"/>
  </r>
  <r>
    <s v="EU"/>
    <m/>
    <b v="1"/>
    <x v="65"/>
    <x v="5"/>
    <b v="0"/>
    <n v="5.82"/>
    <n v="2.74"/>
    <n v="12.96"/>
    <n v="0.04"/>
    <n v="0.69"/>
    <n v="0.06"/>
    <n v="0.09"/>
    <n v="26.38"/>
    <n v="2.81"/>
    <n v="58.74"/>
  </r>
  <r>
    <s v="EU"/>
    <m/>
    <b v="1"/>
    <x v="65"/>
    <x v="6"/>
    <b v="0"/>
    <n v="1.5"/>
    <n v="0.71"/>
    <n v="3.34"/>
    <n v="0.04"/>
    <n v="2.74"/>
    <n v="0.03"/>
    <n v="0.09"/>
    <n v="6.36"/>
    <n v="0.68"/>
    <n v="14.16"/>
  </r>
  <r>
    <s v="EU"/>
    <m/>
    <b v="1"/>
    <x v="65"/>
    <x v="7"/>
    <b v="0"/>
    <n v="20.100000000000001"/>
    <n v="9.4600000000000009"/>
    <n v="44.75"/>
    <n v="3.91"/>
    <n v="24.15"/>
    <n v="1.96"/>
    <n v="8.7100000000000009"/>
    <n v="53.39"/>
    <n v="5.68"/>
    <n v="118.88"/>
  </r>
  <r>
    <s v="EU"/>
    <m/>
    <b v="1"/>
    <x v="65"/>
    <x v="8"/>
    <b v="1"/>
    <n v="212.49"/>
    <n v="100"/>
    <n v="473.13"/>
    <n v="-3.31"/>
    <n v="-1.53"/>
    <n v="0"/>
    <n v="-7.37"/>
    <n v="939.27"/>
    <n v="100"/>
    <n v="2091.39"/>
  </r>
  <r>
    <s v="EU"/>
    <m/>
    <b v="1"/>
    <x v="65"/>
    <x v="9"/>
    <b v="0"/>
    <n v="36.200000000000003"/>
    <n v="17.04"/>
    <n v="80.599999999999994"/>
    <n v="6.29"/>
    <n v="21.03"/>
    <n v="3.18"/>
    <n v="14.01"/>
    <n v="168.14"/>
    <n v="17.899999999999999"/>
    <n v="374.38"/>
  </r>
  <r>
    <s v="EU"/>
    <m/>
    <b v="1"/>
    <x v="66"/>
    <x v="0"/>
    <b v="0"/>
    <n v="9.74"/>
    <n v="4.75"/>
    <n v="21.69"/>
    <n v="0.1"/>
    <n v="1.04"/>
    <n v="0.13"/>
    <n v="0.22"/>
    <n v="52.58"/>
    <n v="4.59"/>
    <n v="117.08"/>
  </r>
  <r>
    <s v="EU"/>
    <m/>
    <b v="1"/>
    <x v="66"/>
    <x v="1"/>
    <b v="0"/>
    <n v="29.99"/>
    <n v="14.62"/>
    <n v="66.78"/>
    <n v="6.49"/>
    <n v="27.62"/>
    <n v="3.37"/>
    <n v="14.45"/>
    <n v="176.82"/>
    <n v="15.45"/>
    <n v="393.71"/>
  </r>
  <r>
    <s v="EU"/>
    <m/>
    <b v="1"/>
    <x v="66"/>
    <x v="2"/>
    <b v="0"/>
    <n v="35.549999999999997"/>
    <n v="17.329999999999998"/>
    <n v="79.16"/>
    <n v="3.83"/>
    <n v="12.07"/>
    <n v="2.14"/>
    <n v="8.5299999999999994"/>
    <n v="215.26"/>
    <n v="18.809999999999999"/>
    <n v="479.3"/>
  </r>
  <r>
    <s v="EU"/>
    <m/>
    <b v="1"/>
    <x v="66"/>
    <x v="3"/>
    <b v="0"/>
    <n v="26.72"/>
    <n v="13.02"/>
    <n v="59.49"/>
    <n v="-6.52"/>
    <n v="-19.61"/>
    <n v="-2.9"/>
    <n v="-14.52"/>
    <n v="122.16"/>
    <n v="10.67"/>
    <n v="272"/>
  </r>
  <r>
    <s v="EU"/>
    <m/>
    <b v="1"/>
    <x v="66"/>
    <x v="4"/>
    <b v="0"/>
    <n v="42.74"/>
    <n v="20.83"/>
    <n v="95.17"/>
    <n v="-10.199999999999999"/>
    <n v="-19.27"/>
    <n v="-4.5199999999999996"/>
    <n v="-22.71"/>
    <n v="262.92"/>
    <n v="22.97"/>
    <n v="585.41999999999996"/>
  </r>
  <r>
    <s v="EU"/>
    <m/>
    <b v="1"/>
    <x v="66"/>
    <x v="5"/>
    <b v="0"/>
    <n v="6"/>
    <n v="2.92"/>
    <n v="13.36"/>
    <n v="0.13"/>
    <n v="2.21"/>
    <n v="0.11"/>
    <n v="0.28999999999999998"/>
    <n v="32.380000000000003"/>
    <n v="2.83"/>
    <n v="72.099999999999994"/>
  </r>
  <r>
    <s v="EU"/>
    <m/>
    <b v="1"/>
    <x v="66"/>
    <x v="6"/>
    <b v="0"/>
    <n v="1.44"/>
    <n v="0.7"/>
    <n v="3.21"/>
    <n v="-0.04"/>
    <n v="-2.7"/>
    <n v="-0.01"/>
    <n v="-0.09"/>
    <n v="7.8"/>
    <n v="0.68"/>
    <n v="17.37"/>
  </r>
  <r>
    <s v="EU"/>
    <m/>
    <b v="1"/>
    <x v="66"/>
    <x v="7"/>
    <b v="0"/>
    <n v="25.69"/>
    <n v="12.52"/>
    <n v="57.2"/>
    <n v="6.67"/>
    <n v="35.07"/>
    <n v="3.41"/>
    <n v="14.85"/>
    <n v="79.08"/>
    <n v="6.91"/>
    <n v="176.08"/>
  </r>
  <r>
    <s v="EU"/>
    <m/>
    <b v="1"/>
    <x v="66"/>
    <x v="8"/>
    <b v="1"/>
    <n v="205.17"/>
    <n v="100"/>
    <n v="456.83"/>
    <n v="-3.66"/>
    <n v="-1.75"/>
    <n v="0"/>
    <n v="-8.15"/>
    <n v="1144.44"/>
    <n v="100"/>
    <n v="2548.2199999999998"/>
  </r>
  <r>
    <s v="EU"/>
    <m/>
    <b v="1"/>
    <x v="66"/>
    <x v="9"/>
    <b v="0"/>
    <n v="27.3"/>
    <n v="13.31"/>
    <n v="60.79"/>
    <n v="-4.12"/>
    <n v="-13.11"/>
    <n v="-1.74"/>
    <n v="-9.17"/>
    <n v="195.44"/>
    <n v="17.079999999999998"/>
    <n v="435.17"/>
  </r>
  <r>
    <s v="EU"/>
    <m/>
    <b v="1"/>
    <x v="67"/>
    <x v="0"/>
    <b v="0"/>
    <n v="9.11"/>
    <n v="4.49"/>
    <n v="20.28"/>
    <n v="0.69"/>
    <n v="8.19"/>
    <n v="0.38"/>
    <n v="1.54"/>
    <n v="61.69"/>
    <n v="4.58"/>
    <n v="137.36000000000001"/>
  </r>
  <r>
    <s v="EU"/>
    <m/>
    <b v="1"/>
    <x v="67"/>
    <x v="1"/>
    <b v="0"/>
    <n v="31.96"/>
    <n v="15.74"/>
    <n v="71.16"/>
    <n v="4.8899999999999997"/>
    <n v="18.059999999999999"/>
    <n v="2.54"/>
    <n v="10.89"/>
    <n v="208.78"/>
    <n v="15.49"/>
    <n v="464.87"/>
  </r>
  <r>
    <s v="EU"/>
    <m/>
    <b v="1"/>
    <x v="67"/>
    <x v="2"/>
    <b v="0"/>
    <n v="39.83"/>
    <n v="19.61"/>
    <n v="88.69"/>
    <n v="1.1499999999999999"/>
    <n v="2.97"/>
    <n v="0.74"/>
    <n v="2.56"/>
    <n v="255.09"/>
    <n v="18.93"/>
    <n v="567.99"/>
  </r>
  <r>
    <s v="EU"/>
    <m/>
    <b v="1"/>
    <x v="67"/>
    <x v="3"/>
    <b v="0"/>
    <n v="24.45"/>
    <n v="12.04"/>
    <n v="54.44"/>
    <n v="-7.95"/>
    <n v="-24.54"/>
    <n v="-3.76"/>
    <n v="-17.7"/>
    <n v="146.61000000000001"/>
    <n v="10.88"/>
    <n v="326.44"/>
  </r>
  <r>
    <s v="EU"/>
    <m/>
    <b v="1"/>
    <x v="67"/>
    <x v="4"/>
    <b v="0"/>
    <n v="42.67"/>
    <n v="21.01"/>
    <n v="95.01"/>
    <n v="-9.98"/>
    <n v="-18.96"/>
    <n v="-4.67"/>
    <n v="-22.22"/>
    <n v="305.58999999999997"/>
    <n v="22.68"/>
    <n v="680.43"/>
  </r>
  <r>
    <s v="EU"/>
    <m/>
    <b v="1"/>
    <x v="67"/>
    <x v="5"/>
    <b v="0"/>
    <n v="5.85"/>
    <n v="2.88"/>
    <n v="13.03"/>
    <n v="0.14000000000000001"/>
    <n v="2.4500000000000002"/>
    <n v="0.09"/>
    <n v="0.31"/>
    <n v="38.229999999999997"/>
    <n v="2.84"/>
    <n v="85.12"/>
  </r>
  <r>
    <s v="EU"/>
    <m/>
    <b v="1"/>
    <x v="67"/>
    <x v="6"/>
    <b v="0"/>
    <n v="1.32"/>
    <n v="0.65"/>
    <n v="2.94"/>
    <n v="-7.0000000000000007E-2"/>
    <n v="-5.04"/>
    <n v="-0.03"/>
    <n v="-0.16"/>
    <n v="9.1199999999999992"/>
    <n v="0.68"/>
    <n v="20.309999999999999"/>
  </r>
  <r>
    <s v="EU"/>
    <m/>
    <b v="1"/>
    <x v="67"/>
    <x v="7"/>
    <b v="0"/>
    <n v="26.18"/>
    <n v="12.89"/>
    <n v="58.29"/>
    <n v="4.9000000000000004"/>
    <n v="23.03"/>
    <n v="2.5099999999999998"/>
    <n v="10.91"/>
    <n v="105.26"/>
    <n v="7.81"/>
    <n v="234.37"/>
  </r>
  <r>
    <s v="EU"/>
    <m/>
    <b v="1"/>
    <x v="67"/>
    <x v="8"/>
    <b v="1"/>
    <n v="203.09"/>
    <n v="100"/>
    <n v="452.2"/>
    <n v="-1.93"/>
    <n v="-0.94"/>
    <n v="0"/>
    <n v="-4.3"/>
    <n v="1347.53"/>
    <n v="100"/>
    <n v="3000.42"/>
  </r>
  <r>
    <s v="EU"/>
    <m/>
    <b v="1"/>
    <x v="67"/>
    <x v="9"/>
    <b v="0"/>
    <n v="21.72"/>
    <n v="10.69"/>
    <n v="48.36"/>
    <n v="4.3"/>
    <n v="24.68"/>
    <n v="2.19"/>
    <n v="9.57"/>
    <n v="217.16"/>
    <n v="16.12"/>
    <n v="483.53"/>
  </r>
  <r>
    <s v="EU"/>
    <m/>
    <b v="1"/>
    <x v="68"/>
    <x v="0"/>
    <b v="0"/>
    <n v="9.16"/>
    <n v="4.3"/>
    <n v="20.399999999999999"/>
    <n v="0.39"/>
    <n v="4.45"/>
    <n v="0.24"/>
    <n v="0.87"/>
    <n v="70.849999999999994"/>
    <n v="4.54"/>
    <n v="157.76"/>
  </r>
  <r>
    <s v="EU"/>
    <m/>
    <b v="1"/>
    <x v="68"/>
    <x v="1"/>
    <b v="0"/>
    <n v="33.78"/>
    <n v="15.88"/>
    <n v="75.209999999999994"/>
    <n v="3.52"/>
    <n v="11.63"/>
    <n v="1.87"/>
    <n v="7.84"/>
    <n v="242.56"/>
    <n v="15.55"/>
    <n v="540.09"/>
  </r>
  <r>
    <s v="EU"/>
    <m/>
    <b v="1"/>
    <x v="68"/>
    <x v="2"/>
    <b v="0"/>
    <n v="44.04"/>
    <n v="20.7"/>
    <n v="98.06"/>
    <n v="4.53"/>
    <n v="11.47"/>
    <n v="2.41"/>
    <n v="10.09"/>
    <n v="299.13"/>
    <n v="19.170000000000002"/>
    <n v="666.05"/>
  </r>
  <r>
    <s v="EU"/>
    <m/>
    <b v="1"/>
    <x v="68"/>
    <x v="3"/>
    <b v="0"/>
    <n v="22.04"/>
    <n v="10.36"/>
    <n v="49.07"/>
    <n v="-8.2200000000000006"/>
    <n v="-27.16"/>
    <n v="-3.65"/>
    <n v="-18.3"/>
    <n v="168.65"/>
    <n v="10.81"/>
    <n v="375.52"/>
  </r>
  <r>
    <s v="EU"/>
    <m/>
    <b v="1"/>
    <x v="68"/>
    <x v="4"/>
    <b v="0"/>
    <n v="43.9"/>
    <n v="20.63"/>
    <n v="97.75"/>
    <n v="-12.79"/>
    <n v="-22.56"/>
    <n v="-5.62"/>
    <n v="-28.48"/>
    <n v="349.49"/>
    <n v="22.4"/>
    <n v="778.18"/>
  </r>
  <r>
    <s v="EU"/>
    <m/>
    <b v="1"/>
    <x v="68"/>
    <x v="5"/>
    <b v="0"/>
    <n v="6.16"/>
    <n v="2.9"/>
    <n v="13.72"/>
    <n v="-0.03"/>
    <n v="-0.48"/>
    <n v="0.03"/>
    <n v="-7.0000000000000007E-2"/>
    <n v="44.39"/>
    <n v="2.84"/>
    <n v="98.84"/>
  </r>
  <r>
    <s v="EU"/>
    <m/>
    <b v="1"/>
    <x v="68"/>
    <x v="6"/>
    <b v="0"/>
    <n v="1.36"/>
    <n v="0.64"/>
    <n v="3.03"/>
    <n v="-0.08"/>
    <n v="-5.56"/>
    <n v="-0.03"/>
    <n v="-0.18"/>
    <n v="10.48"/>
    <n v="0.67"/>
    <n v="23.33"/>
  </r>
  <r>
    <s v="EU"/>
    <m/>
    <b v="1"/>
    <x v="68"/>
    <x v="7"/>
    <b v="0"/>
    <n v="27.16"/>
    <n v="12.76"/>
    <n v="60.47"/>
    <n v="6.61"/>
    <n v="32.17"/>
    <n v="3.25"/>
    <n v="14.72"/>
    <n v="132.41999999999999"/>
    <n v="8.49"/>
    <n v="294.85000000000002"/>
  </r>
  <r>
    <s v="EU"/>
    <m/>
    <b v="1"/>
    <x v="68"/>
    <x v="8"/>
    <b v="1"/>
    <n v="212.78"/>
    <n v="100"/>
    <n v="473.78"/>
    <n v="-3.21"/>
    <n v="-1.49"/>
    <n v="0"/>
    <n v="-7.15"/>
    <n v="1560.31"/>
    <n v="100"/>
    <n v="3474.2"/>
  </r>
  <r>
    <s v="EU"/>
    <m/>
    <b v="1"/>
    <x v="68"/>
    <x v="9"/>
    <b v="0"/>
    <n v="25.18"/>
    <n v="11.83"/>
    <n v="56.07"/>
    <n v="2.86"/>
    <n v="12.81"/>
    <n v="1.5"/>
    <n v="6.37"/>
    <n v="242.34"/>
    <n v="15.53"/>
    <n v="539.6"/>
  </r>
  <r>
    <s v="EU"/>
    <m/>
    <b v="1"/>
    <x v="69"/>
    <x v="0"/>
    <b v="0"/>
    <n v="9.14"/>
    <n v="4.4800000000000004"/>
    <n v="20.350000000000001"/>
    <n v="0.1"/>
    <n v="1.1100000000000001"/>
    <n v="0.15"/>
    <n v="0.22"/>
    <n v="79.989999999999995"/>
    <n v="4.53"/>
    <n v="178.11"/>
  </r>
  <r>
    <s v="EU"/>
    <m/>
    <b v="1"/>
    <x v="69"/>
    <x v="1"/>
    <b v="0"/>
    <n v="35.67"/>
    <n v="17.47"/>
    <n v="79.42"/>
    <n v="5.5"/>
    <n v="18.23"/>
    <n v="3.02"/>
    <n v="12.25"/>
    <n v="278.23"/>
    <n v="15.77"/>
    <n v="619.51"/>
  </r>
  <r>
    <s v="EU"/>
    <m/>
    <b v="1"/>
    <x v="69"/>
    <x v="2"/>
    <b v="0"/>
    <n v="42.83"/>
    <n v="20.97"/>
    <n v="95.37"/>
    <n v="9.82"/>
    <n v="29.75"/>
    <n v="5.17"/>
    <n v="21.87"/>
    <n v="341.96"/>
    <n v="19.38"/>
    <n v="761.41"/>
  </r>
  <r>
    <s v="EU"/>
    <m/>
    <b v="1"/>
    <x v="69"/>
    <x v="3"/>
    <b v="0"/>
    <n v="19.97"/>
    <n v="9.7799999999999994"/>
    <n v="44.47"/>
    <n v="-7.88"/>
    <n v="-28.29"/>
    <n v="-3.55"/>
    <n v="-17.55"/>
    <n v="188.62"/>
    <n v="10.69"/>
    <n v="419.98"/>
  </r>
  <r>
    <s v="EU"/>
    <m/>
    <b v="1"/>
    <x v="69"/>
    <x v="4"/>
    <b v="0"/>
    <n v="43.3"/>
    <n v="21.2"/>
    <n v="96.41"/>
    <n v="-14.08"/>
    <n v="-24.54"/>
    <n v="-6.27"/>
    <n v="-31.35"/>
    <n v="392.79"/>
    <n v="22.26"/>
    <n v="874.59"/>
  </r>
  <r>
    <s v="EU"/>
    <m/>
    <b v="1"/>
    <x v="69"/>
    <x v="5"/>
    <b v="0"/>
    <n v="5.91"/>
    <n v="2.89"/>
    <n v="13.16"/>
    <n v="-0.38"/>
    <n v="-6.04"/>
    <n v="-0.12"/>
    <n v="-0.85"/>
    <n v="50.3"/>
    <n v="2.85"/>
    <n v="112"/>
  </r>
  <r>
    <s v="EU"/>
    <m/>
    <b v="1"/>
    <x v="69"/>
    <x v="6"/>
    <b v="0"/>
    <n v="1.36"/>
    <n v="0.67"/>
    <n v="3.03"/>
    <n v="-0.05"/>
    <n v="-3.55"/>
    <n v="-0.01"/>
    <n v="-0.11"/>
    <n v="11.84"/>
    <n v="0.67"/>
    <n v="26.36"/>
  </r>
  <r>
    <s v="EU"/>
    <m/>
    <b v="1"/>
    <x v="69"/>
    <x v="7"/>
    <b v="0"/>
    <n v="24.97"/>
    <n v="12.23"/>
    <n v="55.6"/>
    <n v="6.62"/>
    <n v="36.08"/>
    <n v="3.44"/>
    <n v="14.74"/>
    <n v="157.38999999999999"/>
    <n v="8.92"/>
    <n v="350.45"/>
  </r>
  <r>
    <s v="EU"/>
    <m/>
    <b v="1"/>
    <x v="69"/>
    <x v="8"/>
    <b v="1"/>
    <n v="204.2"/>
    <n v="100"/>
    <n v="454.67"/>
    <n v="-4.66"/>
    <n v="-2.23"/>
    <n v="0"/>
    <n v="-10.38"/>
    <n v="1764.51"/>
    <n v="100"/>
    <n v="3928.87"/>
  </r>
  <r>
    <s v="EU"/>
    <m/>
    <b v="1"/>
    <x v="69"/>
    <x v="9"/>
    <b v="0"/>
    <n v="21.05"/>
    <n v="10.31"/>
    <n v="46.87"/>
    <n v="-4.3099999999999996"/>
    <n v="-17"/>
    <n v="-1.83"/>
    <n v="-9.6"/>
    <n v="263.39"/>
    <n v="14.93"/>
    <n v="586.47"/>
  </r>
  <r>
    <s v="EU"/>
    <m/>
    <b v="1"/>
    <x v="70"/>
    <x v="0"/>
    <b v="0"/>
    <n v="9.19"/>
    <n v="4.6100000000000003"/>
    <n v="20.46"/>
    <n v="-0.02"/>
    <n v="-0.22"/>
    <n v="0.18"/>
    <n v="-0.04"/>
    <n v="89.18"/>
    <n v="4.54"/>
    <n v="198.57"/>
  </r>
  <r>
    <s v="EU"/>
    <m/>
    <b v="1"/>
    <x v="70"/>
    <x v="1"/>
    <b v="0"/>
    <n v="35.65"/>
    <n v="17.899999999999999"/>
    <n v="79.38"/>
    <n v="-1.0900000000000001"/>
    <n v="-2.97"/>
    <n v="0.23"/>
    <n v="-2.4300000000000002"/>
    <n v="313.88"/>
    <n v="15.98"/>
    <n v="698.89"/>
  </r>
  <r>
    <s v="EU"/>
    <m/>
    <b v="1"/>
    <x v="70"/>
    <x v="2"/>
    <b v="0"/>
    <n v="39.5"/>
    <n v="19.829999999999998"/>
    <n v="87.95"/>
    <n v="-0.56999999999999995"/>
    <n v="-1.42"/>
    <n v="0.56000000000000005"/>
    <n v="-1.27"/>
    <n v="381.46"/>
    <n v="19.43"/>
    <n v="849.36"/>
  </r>
  <r>
    <s v="EU"/>
    <m/>
    <b v="1"/>
    <x v="70"/>
    <x v="3"/>
    <b v="0"/>
    <n v="19.579999999999998"/>
    <n v="9.83"/>
    <n v="43.6"/>
    <n v="-2.02"/>
    <n v="-9.35"/>
    <n v="-0.56000000000000005"/>
    <n v="-4.5"/>
    <n v="208.2"/>
    <n v="10.6"/>
    <n v="463.58"/>
  </r>
  <r>
    <s v="EU"/>
    <m/>
    <b v="1"/>
    <x v="70"/>
    <x v="4"/>
    <b v="0"/>
    <n v="42.91"/>
    <n v="21.54"/>
    <n v="95.54"/>
    <n v="-13.63"/>
    <n v="-24.11"/>
    <n v="-5.65"/>
    <n v="-30.35"/>
    <n v="435.7"/>
    <n v="22.19"/>
    <n v="970.13"/>
  </r>
  <r>
    <s v="EU"/>
    <m/>
    <b v="1"/>
    <x v="70"/>
    <x v="5"/>
    <b v="0"/>
    <n v="6.08"/>
    <n v="3.05"/>
    <n v="13.54"/>
    <n v="0.11"/>
    <n v="1.84"/>
    <n v="0.18"/>
    <n v="0.24"/>
    <n v="56.38"/>
    <n v="2.87"/>
    <n v="125.54"/>
  </r>
  <r>
    <s v="EU"/>
    <m/>
    <b v="1"/>
    <x v="70"/>
    <x v="6"/>
    <b v="0"/>
    <n v="1.34"/>
    <n v="0.67"/>
    <n v="2.98"/>
    <n v="-0.05"/>
    <n v="-3.6"/>
    <n v="0"/>
    <n v="-0.11"/>
    <n v="13.18"/>
    <n v="0.67"/>
    <n v="29.35"/>
  </r>
  <r>
    <s v="EU"/>
    <m/>
    <b v="1"/>
    <x v="70"/>
    <x v="7"/>
    <b v="0"/>
    <n v="17.93"/>
    <n v="9"/>
    <n v="39.92"/>
    <n v="2.46"/>
    <n v="15.9"/>
    <n v="1.56"/>
    <n v="5.48"/>
    <n v="175.32"/>
    <n v="8.93"/>
    <n v="390.37"/>
  </r>
  <r>
    <s v="EU"/>
    <m/>
    <b v="1"/>
    <x v="70"/>
    <x v="8"/>
    <b v="1"/>
    <n v="199.19"/>
    <n v="100"/>
    <n v="443.52"/>
    <n v="-8.77"/>
    <n v="-4.22"/>
    <n v="0"/>
    <n v="-19.53"/>
    <n v="1963.7"/>
    <n v="100"/>
    <n v="4372.3900000000003"/>
  </r>
  <r>
    <s v="EU"/>
    <m/>
    <b v="1"/>
    <x v="70"/>
    <x v="9"/>
    <b v="0"/>
    <n v="27.01"/>
    <n v="13.56"/>
    <n v="60.14"/>
    <n v="6.04"/>
    <n v="28.8"/>
    <n v="3.48"/>
    <n v="13.45"/>
    <n v="290.39999999999998"/>
    <n v="14.79"/>
    <n v="646.61"/>
  </r>
  <r>
    <s v="EU"/>
    <m/>
    <b v="1"/>
    <x v="71"/>
    <x v="0"/>
    <b v="0"/>
    <n v="9.33"/>
    <n v="4.6100000000000003"/>
    <n v="20.77"/>
    <n v="-0.68"/>
    <n v="-6.79"/>
    <n v="0.12"/>
    <n v="-1.51"/>
    <n v="98.51"/>
    <n v="4.55"/>
    <n v="219.34"/>
  </r>
  <r>
    <s v="EU"/>
    <m/>
    <b v="1"/>
    <x v="71"/>
    <x v="1"/>
    <b v="0"/>
    <n v="31.76"/>
    <n v="15.7"/>
    <n v="70.72"/>
    <n v="-4.95"/>
    <n v="-13.48"/>
    <n v="-0.77"/>
    <n v="-11.02"/>
    <n v="345.64"/>
    <n v="15.96"/>
    <n v="769.61"/>
  </r>
  <r>
    <s v="EU"/>
    <m/>
    <b v="1"/>
    <x v="71"/>
    <x v="2"/>
    <b v="0"/>
    <n v="41.22"/>
    <n v="20.37"/>
    <n v="91.78"/>
    <n v="2.15"/>
    <n v="5.5"/>
    <n v="2.84"/>
    <n v="4.79"/>
    <n v="422.68"/>
    <n v="19.510000000000002"/>
    <n v="941.14"/>
  </r>
  <r>
    <s v="EU"/>
    <m/>
    <b v="1"/>
    <x v="71"/>
    <x v="3"/>
    <b v="0"/>
    <n v="18.89"/>
    <n v="9.34"/>
    <n v="42.06"/>
    <n v="-1.42"/>
    <n v="-6.99"/>
    <n v="0.23"/>
    <n v="-3.16"/>
    <n v="227.09"/>
    <n v="10.48"/>
    <n v="505.64"/>
  </r>
  <r>
    <s v="EU"/>
    <m/>
    <b v="1"/>
    <x v="71"/>
    <x v="4"/>
    <b v="0"/>
    <n v="43.52"/>
    <n v="21.51"/>
    <n v="96.9"/>
    <n v="-15.76"/>
    <n v="-26.59"/>
    <n v="-5.09"/>
    <n v="-35.090000000000003"/>
    <n v="479.22"/>
    <n v="22.12"/>
    <n v="1067.04"/>
  </r>
  <r>
    <s v="EU"/>
    <m/>
    <b v="1"/>
    <x v="71"/>
    <x v="5"/>
    <b v="0"/>
    <n v="6.05"/>
    <n v="2.99"/>
    <n v="13.47"/>
    <n v="-0.21"/>
    <n v="-3.35"/>
    <n v="0.18"/>
    <n v="-0.47"/>
    <n v="62.43"/>
    <n v="2.88"/>
    <n v="139.01"/>
  </r>
  <r>
    <s v="EU"/>
    <m/>
    <b v="1"/>
    <x v="71"/>
    <x v="6"/>
    <b v="0"/>
    <n v="1.42"/>
    <n v="0.7"/>
    <n v="3.16"/>
    <n v="-0.09"/>
    <n v="-5.96"/>
    <n v="0.02"/>
    <n v="-0.2"/>
    <n v="14.6"/>
    <n v="0.67"/>
    <n v="32.51"/>
  </r>
  <r>
    <s v="EU"/>
    <m/>
    <b v="1"/>
    <x v="71"/>
    <x v="7"/>
    <b v="0"/>
    <n v="13.85"/>
    <n v="6.85"/>
    <n v="30.84"/>
    <n v="2.4"/>
    <n v="20.96"/>
    <n v="1.71"/>
    <n v="5.34"/>
    <n v="189.17"/>
    <n v="8.73"/>
    <n v="421.21"/>
  </r>
  <r>
    <s v="EU"/>
    <m/>
    <b v="1"/>
    <x v="71"/>
    <x v="8"/>
    <b v="1"/>
    <n v="202.33"/>
    <n v="100"/>
    <n v="450.51"/>
    <n v="-20.52"/>
    <n v="-9.2100000000000009"/>
    <n v="0"/>
    <n v="-45.69"/>
    <n v="2166.0300000000002"/>
    <n v="100"/>
    <n v="4822.8999999999996"/>
  </r>
  <r>
    <s v="EU"/>
    <m/>
    <b v="1"/>
    <x v="71"/>
    <x v="9"/>
    <b v="0"/>
    <n v="36.29"/>
    <n v="17.940000000000001"/>
    <n v="80.8"/>
    <n v="-1.96"/>
    <n v="-5.12"/>
    <n v="0.78"/>
    <n v="-4.3600000000000003"/>
    <n v="326.69"/>
    <n v="15.08"/>
    <n v="727.41"/>
  </r>
  <r>
    <s v="EU"/>
    <m/>
    <b v="1"/>
    <x v="72"/>
    <x v="0"/>
    <b v="0"/>
    <n v="10.28"/>
    <n v="4.84"/>
    <n v="22.89"/>
    <n v="-0.33"/>
    <n v="-3.11"/>
    <n v="0.35"/>
    <n v="-0.73"/>
    <n v="108.79"/>
    <n v="4.57"/>
    <n v="242.23"/>
  </r>
  <r>
    <s v="EU"/>
    <m/>
    <b v="1"/>
    <x v="72"/>
    <x v="1"/>
    <b v="0"/>
    <n v="36.770000000000003"/>
    <n v="17.309999999999999"/>
    <n v="81.87"/>
    <n v="-3.72"/>
    <n v="-9.19"/>
    <n v="0.16"/>
    <n v="-8.2799999999999994"/>
    <n v="382.41"/>
    <n v="16.079999999999998"/>
    <n v="851.48"/>
  </r>
  <r>
    <s v="EU"/>
    <m/>
    <b v="1"/>
    <x v="72"/>
    <x v="2"/>
    <b v="0"/>
    <n v="40.04"/>
    <n v="18.850000000000001"/>
    <n v="89.15"/>
    <n v="-14.9"/>
    <n v="-27.12"/>
    <n v="-4.42"/>
    <n v="-33.18"/>
    <n v="462.72"/>
    <n v="19.45"/>
    <n v="1030.3"/>
  </r>
  <r>
    <s v="EU"/>
    <m/>
    <b v="1"/>
    <x v="72"/>
    <x v="3"/>
    <b v="0"/>
    <n v="21.87"/>
    <n v="10.3"/>
    <n v="48.7"/>
    <n v="-0.4"/>
    <n v="-1.8"/>
    <n v="0.87"/>
    <n v="-0.89"/>
    <n v="248.96"/>
    <n v="10.47"/>
    <n v="554.34"/>
  </r>
  <r>
    <s v="EU"/>
    <m/>
    <b v="1"/>
    <x v="72"/>
    <x v="4"/>
    <b v="0"/>
    <n v="46.38"/>
    <n v="21.84"/>
    <n v="103.27"/>
    <n v="-12.17"/>
    <n v="-20.79"/>
    <n v="-2.96"/>
    <n v="-27.1"/>
    <n v="525.6"/>
    <n v="22.1"/>
    <n v="1170.31"/>
  </r>
  <r>
    <s v="EU"/>
    <m/>
    <b v="1"/>
    <x v="72"/>
    <x v="5"/>
    <b v="0"/>
    <n v="6.26"/>
    <n v="2.95"/>
    <n v="13.94"/>
    <n v="-0.48"/>
    <n v="-7.12"/>
    <n v="0.09"/>
    <n v="-1.07"/>
    <n v="68.69"/>
    <n v="2.89"/>
    <n v="152.94999999999999"/>
  </r>
  <r>
    <s v="EU"/>
    <m/>
    <b v="1"/>
    <x v="72"/>
    <x v="6"/>
    <b v="0"/>
    <n v="1.45"/>
    <n v="0.68"/>
    <n v="3.23"/>
    <n v="-0.08"/>
    <n v="-5.23"/>
    <n v="0.03"/>
    <n v="-0.18"/>
    <n v="16.05"/>
    <n v="0.67"/>
    <n v="35.74"/>
  </r>
  <r>
    <s v="EU"/>
    <m/>
    <b v="1"/>
    <x v="72"/>
    <x v="7"/>
    <b v="0"/>
    <n v="7.76"/>
    <n v="3.65"/>
    <n v="17.28"/>
    <n v="1.93"/>
    <n v="33.1"/>
    <n v="1.18"/>
    <n v="4.3"/>
    <n v="196.93"/>
    <n v="8.2799999999999994"/>
    <n v="438.49"/>
  </r>
  <r>
    <s v="EU"/>
    <m/>
    <b v="1"/>
    <x v="72"/>
    <x v="8"/>
    <b v="1"/>
    <n v="212.39"/>
    <n v="100"/>
    <n v="472.91"/>
    <n v="-23.68"/>
    <n v="-10.029999999999999"/>
    <n v="0"/>
    <n v="-52.73"/>
    <n v="2378.42"/>
    <n v="100"/>
    <n v="5295.81"/>
  </r>
  <r>
    <s v="EU"/>
    <m/>
    <b v="1"/>
    <x v="72"/>
    <x v="9"/>
    <b v="0"/>
    <n v="41.58"/>
    <n v="19.579999999999998"/>
    <n v="92.58"/>
    <n v="6.47"/>
    <n v="18.43"/>
    <n v="4.71"/>
    <n v="14.41"/>
    <n v="368.27"/>
    <n v="15.48"/>
    <n v="819.99"/>
  </r>
  <r>
    <s v="EU"/>
    <m/>
    <b v="1"/>
    <x v="73"/>
    <x v="0"/>
    <b v="0"/>
    <n v="11.43"/>
    <n v="4.87"/>
    <n v="25.45"/>
    <n v="-0.28000000000000003"/>
    <n v="-2.39"/>
    <n v="0.23"/>
    <n v="-0.62"/>
    <n v="120.22"/>
    <n v="4.5999999999999996"/>
    <n v="267.68"/>
  </r>
  <r>
    <s v="EU"/>
    <m/>
    <b v="1"/>
    <x v="73"/>
    <x v="1"/>
    <b v="0"/>
    <n v="41.63"/>
    <n v="17.75"/>
    <n v="92.69"/>
    <n v="-0.85"/>
    <n v="-2"/>
    <n v="0.93"/>
    <n v="-1.89"/>
    <n v="424.04"/>
    <n v="16.23"/>
    <n v="944.17"/>
  </r>
  <r>
    <s v="EU"/>
    <m/>
    <b v="1"/>
    <x v="73"/>
    <x v="2"/>
    <b v="0"/>
    <n v="47.1"/>
    <n v="20.09"/>
    <n v="104.87"/>
    <n v="-5.73"/>
    <n v="-10.85"/>
    <n v="-0.83"/>
    <n v="-12.76"/>
    <n v="509.82"/>
    <n v="19.510000000000002"/>
    <n v="1135.17"/>
  </r>
  <r>
    <s v="EU"/>
    <m/>
    <b v="1"/>
    <x v="73"/>
    <x v="3"/>
    <b v="0"/>
    <n v="26.51"/>
    <n v="11.31"/>
    <n v="59.03"/>
    <n v="-1.36"/>
    <n v="-4.88"/>
    <n v="0.28000000000000003"/>
    <n v="-3.03"/>
    <n v="275.47000000000003"/>
    <n v="10.54"/>
    <n v="613.36"/>
  </r>
  <r>
    <s v="EU"/>
    <m/>
    <b v="1"/>
    <x v="73"/>
    <x v="4"/>
    <b v="0"/>
    <n v="54.36"/>
    <n v="23.18"/>
    <n v="121.04"/>
    <n v="-6.91"/>
    <n v="-11.28"/>
    <n v="-1.08"/>
    <n v="-15.39"/>
    <n v="579.96"/>
    <n v="22.2"/>
    <n v="1291.3399999999999"/>
  </r>
  <r>
    <s v="EU"/>
    <m/>
    <b v="1"/>
    <x v="73"/>
    <x v="5"/>
    <b v="0"/>
    <n v="6.76"/>
    <n v="2.88"/>
    <n v="15.05"/>
    <n v="-0.65"/>
    <n v="-8.77"/>
    <n v="-0.05"/>
    <n v="-1.45"/>
    <n v="75.45"/>
    <n v="2.89"/>
    <n v="168"/>
  </r>
  <r>
    <s v="EU"/>
    <m/>
    <b v="1"/>
    <x v="73"/>
    <x v="6"/>
    <b v="0"/>
    <n v="1.55"/>
    <n v="0.66"/>
    <n v="3.45"/>
    <n v="-0.02"/>
    <n v="-1.27"/>
    <n v="0.04"/>
    <n v="-0.04"/>
    <n v="17.600000000000001"/>
    <n v="0.67"/>
    <n v="39.19"/>
  </r>
  <r>
    <s v="EU"/>
    <m/>
    <b v="1"/>
    <x v="73"/>
    <x v="7"/>
    <b v="0"/>
    <n v="4.8600000000000003"/>
    <n v="2.0699999999999998"/>
    <n v="10.82"/>
    <n v="0.36"/>
    <n v="8"/>
    <n v="0.28999999999999998"/>
    <n v="0.8"/>
    <n v="201.79"/>
    <n v="7.72"/>
    <n v="449.31"/>
  </r>
  <r>
    <s v="EU"/>
    <m/>
    <b v="1"/>
    <x v="73"/>
    <x v="8"/>
    <b v="1"/>
    <n v="234.48"/>
    <n v="100"/>
    <n v="522.1"/>
    <n v="-18.100000000000001"/>
    <n v="-7.17"/>
    <n v="0"/>
    <n v="-40.299999999999997"/>
    <n v="2612.9"/>
    <n v="100"/>
    <n v="5817.91"/>
  </r>
  <r>
    <s v="EU"/>
    <m/>
    <b v="1"/>
    <x v="73"/>
    <x v="9"/>
    <b v="0"/>
    <n v="40.28"/>
    <n v="17.18"/>
    <n v="89.69"/>
    <n v="-2.66"/>
    <n v="-6.19"/>
    <n v="0.18"/>
    <n v="-5.92"/>
    <n v="408.55"/>
    <n v="15.64"/>
    <n v="909.68"/>
  </r>
  <r>
    <s v="EU"/>
    <m/>
    <b v="1"/>
    <x v="74"/>
    <x v="0"/>
    <b v="0"/>
    <n v="10.5"/>
    <n v="4.37"/>
    <n v="23.3"/>
    <n v="-0.89"/>
    <n v="-7.81"/>
    <n v="-0.04"/>
    <n v="-1.97"/>
    <n v="10.5"/>
    <n v="4.37"/>
    <n v="23.3"/>
  </r>
  <r>
    <s v="EU"/>
    <m/>
    <b v="1"/>
    <x v="74"/>
    <x v="1"/>
    <b v="0"/>
    <n v="36.04"/>
    <n v="14.98"/>
    <n v="79.97"/>
    <n v="-4.05"/>
    <n v="-10.1"/>
    <n v="-0.54"/>
    <n v="-8.99"/>
    <n v="36.04"/>
    <n v="14.98"/>
    <n v="79.97"/>
  </r>
  <r>
    <s v="EU"/>
    <m/>
    <b v="1"/>
    <x v="74"/>
    <x v="2"/>
    <b v="0"/>
    <n v="39.04"/>
    <n v="16.23"/>
    <n v="86.63"/>
    <n v="-15.62"/>
    <n v="-28.58"/>
    <n v="-4.93"/>
    <n v="-34.659999999999997"/>
    <n v="39.04"/>
    <n v="16.23"/>
    <n v="86.63"/>
  </r>
  <r>
    <s v="EU"/>
    <m/>
    <b v="1"/>
    <x v="74"/>
    <x v="3"/>
    <b v="0"/>
    <n v="29.76"/>
    <n v="12.37"/>
    <n v="66.040000000000006"/>
    <n v="3.08"/>
    <n v="11.54"/>
    <n v="2.04"/>
    <n v="6.83"/>
    <n v="29.76"/>
    <n v="12.37"/>
    <n v="66.040000000000006"/>
  </r>
  <r>
    <s v="EU"/>
    <m/>
    <b v="1"/>
    <x v="74"/>
    <x v="4"/>
    <b v="0"/>
    <n v="57.12"/>
    <n v="23.75"/>
    <n v="126.75"/>
    <n v="-6.49"/>
    <n v="-10.199999999999999"/>
    <n v="-0.87"/>
    <n v="-14.4"/>
    <n v="57.12"/>
    <n v="23.75"/>
    <n v="126.75"/>
  </r>
  <r>
    <s v="EU"/>
    <m/>
    <b v="1"/>
    <x v="74"/>
    <x v="5"/>
    <b v="0"/>
    <n v="6.62"/>
    <n v="2.75"/>
    <n v="14.69"/>
    <n v="-0.67"/>
    <n v="-9.19"/>
    <n v="-7.0000000000000007E-2"/>
    <n v="-1.49"/>
    <n v="6.62"/>
    <n v="2.75"/>
    <n v="14.69"/>
  </r>
  <r>
    <s v="EU"/>
    <m/>
    <b v="1"/>
    <x v="74"/>
    <x v="6"/>
    <b v="0"/>
    <n v="1.49"/>
    <n v="0.62"/>
    <n v="3.31"/>
    <n v="-0.22"/>
    <n v="-12.87"/>
    <n v="-0.04"/>
    <n v="-0.49"/>
    <n v="1.49"/>
    <n v="0.62"/>
    <n v="3.31"/>
  </r>
  <r>
    <s v="EU"/>
    <m/>
    <b v="1"/>
    <x v="74"/>
    <x v="7"/>
    <b v="0"/>
    <n v="6.73"/>
    <n v="2.8"/>
    <n v="14.93"/>
    <n v="0.05"/>
    <n v="0.75"/>
    <n v="0.21"/>
    <n v="0.11"/>
    <n v="6.73"/>
    <n v="2.8"/>
    <n v="14.93"/>
  </r>
  <r>
    <s v="EU"/>
    <m/>
    <b v="1"/>
    <x v="74"/>
    <x v="8"/>
    <b v="1"/>
    <n v="240.54"/>
    <n v="100"/>
    <n v="533.75"/>
    <n v="-17.829999999999998"/>
    <n v="-6.9"/>
    <n v="0"/>
    <n v="-39.56"/>
    <n v="240.54"/>
    <n v="100"/>
    <n v="533.75"/>
  </r>
  <r>
    <s v="EU"/>
    <m/>
    <b v="1"/>
    <x v="74"/>
    <x v="9"/>
    <b v="0"/>
    <n v="53.24"/>
    <n v="22.13"/>
    <n v="118.14"/>
    <n v="6.98"/>
    <n v="15.09"/>
    <n v="4.2300000000000004"/>
    <n v="15.49"/>
    <n v="53.24"/>
    <n v="22.13"/>
    <n v="118.14"/>
  </r>
  <r>
    <s v="EU"/>
    <m/>
    <b v="1"/>
    <x v="75"/>
    <x v="0"/>
    <b v="0"/>
    <n v="9.76"/>
    <n v="4.4400000000000004"/>
    <n v="21.66"/>
    <n v="-0.39"/>
    <n v="-3.84"/>
    <n v="0.04"/>
    <n v="-0.87"/>
    <n v="20.260000000000002"/>
    <n v="4.4000000000000004"/>
    <n v="44.96"/>
  </r>
  <r>
    <s v="EU"/>
    <m/>
    <b v="1"/>
    <x v="75"/>
    <x v="1"/>
    <b v="0"/>
    <n v="34.32"/>
    <n v="15.63"/>
    <n v="76.16"/>
    <n v="2.33"/>
    <n v="7.28"/>
    <n v="1.76"/>
    <n v="5.17"/>
    <n v="70.36"/>
    <n v="15.29"/>
    <n v="156.13"/>
  </r>
  <r>
    <s v="EU"/>
    <m/>
    <b v="1"/>
    <x v="75"/>
    <x v="2"/>
    <b v="0"/>
    <n v="42.99"/>
    <n v="19.57"/>
    <n v="95.39"/>
    <n v="0.13"/>
    <n v="0.3"/>
    <n v="0.99"/>
    <n v="0.28999999999999998"/>
    <n v="82.03"/>
    <n v="17.829999999999998"/>
    <n v="182.02"/>
  </r>
  <r>
    <s v="EU"/>
    <m/>
    <b v="1"/>
    <x v="75"/>
    <x v="3"/>
    <b v="0"/>
    <n v="22.56"/>
    <n v="10.27"/>
    <n v="50.06"/>
    <n v="1.1499999999999999"/>
    <n v="5.37"/>
    <n v="0.99"/>
    <n v="2.5499999999999998"/>
    <n v="52.32"/>
    <n v="11.37"/>
    <n v="116.1"/>
  </r>
  <r>
    <s v="EU"/>
    <m/>
    <b v="1"/>
    <x v="75"/>
    <x v="4"/>
    <b v="0"/>
    <n v="51.75"/>
    <n v="23.56"/>
    <n v="114.83"/>
    <n v="-2.99"/>
    <n v="-5.46"/>
    <n v="-0.17"/>
    <n v="-6.63"/>
    <n v="108.87"/>
    <n v="23.66"/>
    <n v="241.58"/>
  </r>
  <r>
    <s v="EU"/>
    <m/>
    <b v="1"/>
    <x v="75"/>
    <x v="5"/>
    <b v="0"/>
    <n v="6.23"/>
    <n v="2.84"/>
    <n v="13.82"/>
    <n v="0.06"/>
    <n v="0.97"/>
    <n v="0.17"/>
    <n v="0.13"/>
    <n v="12.85"/>
    <n v="2.79"/>
    <n v="28.51"/>
  </r>
  <r>
    <s v="EU"/>
    <m/>
    <b v="1"/>
    <x v="75"/>
    <x v="6"/>
    <b v="0"/>
    <n v="1.4"/>
    <n v="0.64"/>
    <n v="3.11"/>
    <n v="-0.09"/>
    <n v="-6.04"/>
    <n v="-0.01"/>
    <n v="-0.2"/>
    <n v="2.89"/>
    <n v="0.63"/>
    <n v="6.41"/>
  </r>
  <r>
    <s v="EU"/>
    <m/>
    <b v="1"/>
    <x v="75"/>
    <x v="7"/>
    <b v="0"/>
    <n v="11.73"/>
    <n v="5.34"/>
    <n v="26.03"/>
    <n v="1.81"/>
    <n v="18.25"/>
    <n v="1.04"/>
    <n v="4.0199999999999996"/>
    <n v="18.46"/>
    <n v="4.01"/>
    <n v="40.96"/>
  </r>
  <r>
    <s v="EU"/>
    <m/>
    <b v="1"/>
    <x v="75"/>
    <x v="8"/>
    <b v="1"/>
    <n v="219.62"/>
    <n v="100"/>
    <n v="487.33"/>
    <n v="-11.1"/>
    <n v="-4.8099999999999996"/>
    <n v="0"/>
    <n v="-24.63"/>
    <n v="460.16"/>
    <n v="100"/>
    <n v="1021.09"/>
  </r>
  <r>
    <s v="EU"/>
    <m/>
    <b v="1"/>
    <x v="75"/>
    <x v="9"/>
    <b v="0"/>
    <n v="38.880000000000003"/>
    <n v="17.7"/>
    <n v="86.27"/>
    <n v="-13.11"/>
    <n v="-25.22"/>
    <n v="-4.83"/>
    <n v="-29.09"/>
    <n v="92.12"/>
    <n v="20.02"/>
    <n v="204.41"/>
  </r>
  <r>
    <s v="EU"/>
    <m/>
    <b v="1"/>
    <x v="76"/>
    <x v="0"/>
    <b v="0"/>
    <n v="10.119999999999999"/>
    <n v="4.4400000000000004"/>
    <n v="22.46"/>
    <n v="-1.0900000000000001"/>
    <n v="-9.7200000000000006"/>
    <n v="-0.28000000000000003"/>
    <n v="-2.42"/>
    <n v="30.38"/>
    <n v="4.41"/>
    <n v="67.41"/>
  </r>
  <r>
    <s v="EU"/>
    <m/>
    <b v="1"/>
    <x v="76"/>
    <x v="1"/>
    <b v="0"/>
    <n v="30.54"/>
    <n v="13.39"/>
    <n v="67.77"/>
    <n v="-11.88"/>
    <n v="-28.01"/>
    <n v="-4.46"/>
    <n v="-26.36"/>
    <n v="100.9"/>
    <n v="14.66"/>
    <n v="223.9"/>
  </r>
  <r>
    <s v="EU"/>
    <m/>
    <b v="1"/>
    <x v="76"/>
    <x v="2"/>
    <b v="0"/>
    <n v="38.04"/>
    <n v="16.68"/>
    <n v="84.41"/>
    <n v="-9.56"/>
    <n v="-20.079999999999998"/>
    <n v="-3.35"/>
    <n v="-21.21"/>
    <n v="120.07"/>
    <n v="17.45"/>
    <n v="266.43"/>
  </r>
  <r>
    <s v="EU"/>
    <m/>
    <b v="1"/>
    <x v="76"/>
    <x v="3"/>
    <b v="0"/>
    <n v="25.69"/>
    <n v="11.27"/>
    <n v="57.01"/>
    <n v="2.88"/>
    <n v="12.63"/>
    <n v="1.67"/>
    <n v="6.39"/>
    <n v="78.010000000000005"/>
    <n v="11.34"/>
    <n v="173.1"/>
  </r>
  <r>
    <s v="EU"/>
    <m/>
    <b v="1"/>
    <x v="76"/>
    <x v="4"/>
    <b v="0"/>
    <n v="51.26"/>
    <n v="22.48"/>
    <n v="113.74"/>
    <n v="-3.25"/>
    <n v="-5.96"/>
    <n v="-0.45"/>
    <n v="-7.21"/>
    <n v="160.13"/>
    <n v="23.27"/>
    <n v="355.33"/>
  </r>
  <r>
    <s v="EU"/>
    <m/>
    <b v="1"/>
    <x v="76"/>
    <x v="5"/>
    <b v="0"/>
    <n v="6.36"/>
    <n v="2.79"/>
    <n v="14.11"/>
    <n v="-0.74"/>
    <n v="-10.42"/>
    <n v="-0.2"/>
    <n v="-1.64"/>
    <n v="19.21"/>
    <n v="2.79"/>
    <n v="42.63"/>
  </r>
  <r>
    <s v="EU"/>
    <m/>
    <b v="1"/>
    <x v="76"/>
    <x v="6"/>
    <b v="0"/>
    <n v="1.54"/>
    <n v="0.68"/>
    <n v="3.42"/>
    <n v="-0.12"/>
    <n v="-7.23"/>
    <n v="-0.02"/>
    <n v="-0.27"/>
    <n v="4.43"/>
    <n v="0.64"/>
    <n v="9.83"/>
  </r>
  <r>
    <s v="EU"/>
    <m/>
    <b v="1"/>
    <x v="76"/>
    <x v="7"/>
    <b v="0"/>
    <n v="17.899999999999999"/>
    <n v="7.85"/>
    <n v="39.72"/>
    <n v="1.21"/>
    <n v="7.25"/>
    <n v="0.83"/>
    <n v="2.68"/>
    <n v="36.36"/>
    <n v="5.28"/>
    <n v="80.680000000000007"/>
  </r>
  <r>
    <s v="EU"/>
    <m/>
    <b v="1"/>
    <x v="76"/>
    <x v="8"/>
    <b v="1"/>
    <n v="228.03"/>
    <n v="100"/>
    <n v="505.99"/>
    <n v="-9.66"/>
    <n v="-4.0599999999999996"/>
    <n v="0"/>
    <n v="-21.44"/>
    <n v="688.19"/>
    <n v="100"/>
    <n v="1527.08"/>
  </r>
  <r>
    <s v="EU"/>
    <m/>
    <b v="1"/>
    <x v="76"/>
    <x v="9"/>
    <b v="0"/>
    <n v="46.58"/>
    <n v="20.43"/>
    <n v="103.36"/>
    <n v="12.89"/>
    <n v="38.26"/>
    <n v="6.26"/>
    <n v="28.6"/>
    <n v="138.69999999999999"/>
    <n v="20.149999999999999"/>
    <n v="307.77"/>
  </r>
  <r>
    <s v="EU"/>
    <m/>
    <b v="1"/>
    <x v="77"/>
    <x v="0"/>
    <b v="0"/>
    <n v="9.1"/>
    <n v="4.53"/>
    <n v="20.190000000000001"/>
    <n v="-0.99"/>
    <n v="-9.81"/>
    <n v="-0.22"/>
    <n v="-2.2000000000000002"/>
    <n v="39.479999999999997"/>
    <n v="4.4400000000000004"/>
    <n v="87.61"/>
  </r>
  <r>
    <s v="EU"/>
    <m/>
    <b v="1"/>
    <x v="77"/>
    <x v="1"/>
    <b v="0"/>
    <n v="24.39"/>
    <n v="12.14"/>
    <n v="54.12"/>
    <n v="-7.94"/>
    <n v="-24.56"/>
    <n v="-3.07"/>
    <n v="-17.62"/>
    <n v="125.29"/>
    <n v="14.09"/>
    <n v="278.02"/>
  </r>
  <r>
    <s v="EU"/>
    <m/>
    <b v="1"/>
    <x v="77"/>
    <x v="2"/>
    <b v="0"/>
    <n v="31.03"/>
    <n v="15.45"/>
    <n v="68.849999999999994"/>
    <n v="-3.56"/>
    <n v="-10.29"/>
    <n v="-0.83"/>
    <n v="-7.9"/>
    <n v="151.1"/>
    <n v="17"/>
    <n v="335.29"/>
  </r>
  <r>
    <s v="EU"/>
    <m/>
    <b v="1"/>
    <x v="77"/>
    <x v="3"/>
    <b v="0"/>
    <n v="24.61"/>
    <n v="12.25"/>
    <n v="54.61"/>
    <n v="7.0000000000000007E-2"/>
    <n v="0.28999999999999998"/>
    <n v="0.7"/>
    <n v="0.16"/>
    <n v="102.62"/>
    <n v="11.54"/>
    <n v="227.71"/>
  </r>
  <r>
    <s v="EU"/>
    <m/>
    <b v="1"/>
    <x v="77"/>
    <x v="4"/>
    <b v="0"/>
    <n v="47.38"/>
    <n v="23.59"/>
    <n v="105.14"/>
    <n v="0.06"/>
    <n v="0.13"/>
    <n v="1.32"/>
    <n v="0.13"/>
    <n v="207.51"/>
    <n v="23.34"/>
    <n v="460.46"/>
  </r>
  <r>
    <s v="EU"/>
    <m/>
    <b v="1"/>
    <x v="77"/>
    <x v="5"/>
    <b v="0"/>
    <n v="5.31"/>
    <n v="2.64"/>
    <n v="11.78"/>
    <n v="-0.51"/>
    <n v="-8.76"/>
    <n v="-0.1"/>
    <n v="-1.1299999999999999"/>
    <n v="24.52"/>
    <n v="2.76"/>
    <n v="54.41"/>
  </r>
  <r>
    <s v="EU"/>
    <m/>
    <b v="1"/>
    <x v="77"/>
    <x v="6"/>
    <b v="0"/>
    <n v="1.44"/>
    <n v="0.72"/>
    <n v="3.2"/>
    <n v="-0.06"/>
    <n v="-4"/>
    <n v="0.01"/>
    <n v="-0.13"/>
    <n v="5.87"/>
    <n v="0.66"/>
    <n v="13.03"/>
  </r>
  <r>
    <s v="EU"/>
    <m/>
    <b v="1"/>
    <x v="77"/>
    <x v="7"/>
    <b v="0"/>
    <n v="24.09"/>
    <n v="11.99"/>
    <n v="53.46"/>
    <n v="3.99"/>
    <n v="19.850000000000001"/>
    <n v="2.5299999999999998"/>
    <n v="8.85"/>
    <n v="60.45"/>
    <n v="6.8"/>
    <n v="134.13999999999999"/>
  </r>
  <r>
    <s v="EU"/>
    <m/>
    <b v="1"/>
    <x v="77"/>
    <x v="8"/>
    <b v="1"/>
    <n v="200.86"/>
    <n v="100"/>
    <n v="445.7"/>
    <n v="-11.63"/>
    <n v="-5.47"/>
    <n v="0"/>
    <n v="-25.81"/>
    <n v="889.05"/>
    <n v="100"/>
    <n v="1972.78"/>
  </r>
  <r>
    <s v="EU"/>
    <m/>
    <b v="1"/>
    <x v="77"/>
    <x v="9"/>
    <b v="0"/>
    <n v="33.51"/>
    <n v="16.68"/>
    <n v="74.36"/>
    <n v="-2.69"/>
    <n v="-7.43"/>
    <n v="-0.36"/>
    <n v="-5.97"/>
    <n v="172.21"/>
    <n v="19.37"/>
    <n v="382.13"/>
  </r>
  <r>
    <s v="EU"/>
    <m/>
    <b v="1"/>
    <x v="78"/>
    <x v="0"/>
    <b v="0"/>
    <n v="8.3699999999999992"/>
    <n v="4.26"/>
    <n v="18.57"/>
    <n v="-1.37"/>
    <n v="-14.07"/>
    <n v="-0.49"/>
    <n v="-3.04"/>
    <n v="47.85"/>
    <n v="4.41"/>
    <n v="106.18"/>
  </r>
  <r>
    <s v="EU"/>
    <m/>
    <b v="1"/>
    <x v="78"/>
    <x v="1"/>
    <b v="0"/>
    <n v="19.3"/>
    <n v="9.83"/>
    <n v="42.83"/>
    <n v="-10.69"/>
    <n v="-35.65"/>
    <n v="-4.79"/>
    <n v="-23.72"/>
    <n v="144.59"/>
    <n v="13.32"/>
    <n v="320.83999999999997"/>
  </r>
  <r>
    <s v="EU"/>
    <m/>
    <b v="1"/>
    <x v="78"/>
    <x v="2"/>
    <b v="0"/>
    <n v="27.88"/>
    <n v="14.19"/>
    <n v="61.87"/>
    <n v="-7.67"/>
    <n v="-21.58"/>
    <n v="-3.14"/>
    <n v="-17.02"/>
    <n v="178.98"/>
    <n v="16.489999999999998"/>
    <n v="397.15"/>
  </r>
  <r>
    <s v="EU"/>
    <m/>
    <b v="1"/>
    <x v="78"/>
    <x v="3"/>
    <b v="0"/>
    <n v="29.23"/>
    <n v="14.88"/>
    <n v="64.86"/>
    <n v="2.5099999999999998"/>
    <n v="9.39"/>
    <n v="1.86"/>
    <n v="5.57"/>
    <n v="131.85"/>
    <n v="12.15"/>
    <n v="292.57"/>
  </r>
  <r>
    <s v="EU"/>
    <m/>
    <b v="1"/>
    <x v="78"/>
    <x v="4"/>
    <b v="0"/>
    <n v="43.46"/>
    <n v="22.12"/>
    <n v="96.44"/>
    <n v="0.72"/>
    <n v="1.68"/>
    <n v="1.29"/>
    <n v="1.6"/>
    <n v="250.97"/>
    <n v="23.12"/>
    <n v="556.9"/>
  </r>
  <r>
    <s v="EU"/>
    <m/>
    <b v="1"/>
    <x v="78"/>
    <x v="5"/>
    <b v="0"/>
    <n v="5.25"/>
    <n v="2.67"/>
    <n v="11.65"/>
    <n v="-0.75"/>
    <n v="-12.5"/>
    <n v="-0.25"/>
    <n v="-1.66"/>
    <n v="29.77"/>
    <n v="2.74"/>
    <n v="66.06"/>
  </r>
  <r>
    <s v="EU"/>
    <m/>
    <b v="1"/>
    <x v="78"/>
    <x v="6"/>
    <b v="0"/>
    <n v="1.4"/>
    <n v="0.71"/>
    <n v="3.11"/>
    <n v="-0.04"/>
    <n v="-2.78"/>
    <n v="0.01"/>
    <n v="-0.09"/>
    <n v="7.27"/>
    <n v="0.67"/>
    <n v="16.13"/>
  </r>
  <r>
    <s v="EU"/>
    <m/>
    <b v="1"/>
    <x v="78"/>
    <x v="7"/>
    <b v="0"/>
    <n v="29.9"/>
    <n v="15.22"/>
    <n v="66.349999999999994"/>
    <n v="4.21"/>
    <n v="16.39"/>
    <n v="2.7"/>
    <n v="9.34"/>
    <n v="90.35"/>
    <n v="8.32"/>
    <n v="200.48"/>
  </r>
  <r>
    <s v="EU"/>
    <m/>
    <b v="1"/>
    <x v="78"/>
    <x v="8"/>
    <b v="1"/>
    <n v="196.43"/>
    <n v="100"/>
    <n v="435.87"/>
    <n v="-8.74"/>
    <n v="-4.26"/>
    <n v="0"/>
    <n v="-19.39"/>
    <n v="1085.48"/>
    <n v="100"/>
    <n v="2408.66"/>
  </r>
  <r>
    <s v="EU"/>
    <m/>
    <b v="1"/>
    <x v="78"/>
    <x v="9"/>
    <b v="0"/>
    <n v="31.64"/>
    <n v="16.11"/>
    <n v="70.209999999999994"/>
    <n v="4.34"/>
    <n v="15.9"/>
    <n v="2.8"/>
    <n v="9.6300000000000008"/>
    <n v="203.85"/>
    <n v="18.78"/>
    <n v="452.34"/>
  </r>
  <r>
    <s v="EU"/>
    <m/>
    <b v="1"/>
    <x v="79"/>
    <x v="0"/>
    <b v="0"/>
    <n v="7.31"/>
    <n v="3.84"/>
    <n v="16.22"/>
    <n v="-1.8"/>
    <n v="-19.760000000000002"/>
    <n v="-0.65"/>
    <n v="-3.99"/>
    <n v="55.16"/>
    <n v="4.32"/>
    <n v="122.4"/>
  </r>
  <r>
    <s v="EU"/>
    <m/>
    <b v="1"/>
    <x v="79"/>
    <x v="1"/>
    <b v="0"/>
    <n v="19.46"/>
    <n v="10.220000000000001"/>
    <n v="43.18"/>
    <n v="-12.5"/>
    <n v="-39.11"/>
    <n v="-5.52"/>
    <n v="-27.74"/>
    <n v="164.05"/>
    <n v="12.86"/>
    <n v="364.02"/>
  </r>
  <r>
    <s v="EU"/>
    <m/>
    <b v="1"/>
    <x v="79"/>
    <x v="2"/>
    <b v="0"/>
    <n v="33"/>
    <n v="17.32"/>
    <n v="73.23"/>
    <n v="-6.83"/>
    <n v="-17.149999999999999"/>
    <n v="-2.29"/>
    <n v="-15.16"/>
    <n v="211.98"/>
    <n v="16.61"/>
    <n v="470.38"/>
  </r>
  <r>
    <s v="EU"/>
    <m/>
    <b v="1"/>
    <x v="79"/>
    <x v="3"/>
    <b v="0"/>
    <n v="27.39"/>
    <n v="14.38"/>
    <n v="60.78"/>
    <n v="2.94"/>
    <n v="12.02"/>
    <n v="2.34"/>
    <n v="6.52"/>
    <n v="159.24"/>
    <n v="12.48"/>
    <n v="353.35"/>
  </r>
  <r>
    <s v="EU"/>
    <m/>
    <b v="1"/>
    <x v="79"/>
    <x v="4"/>
    <b v="0"/>
    <n v="42.95"/>
    <n v="22.55"/>
    <n v="95.31"/>
    <n v="0.28000000000000003"/>
    <n v="0.66"/>
    <n v="1.54"/>
    <n v="0.62"/>
    <n v="293.92"/>
    <n v="23.04"/>
    <n v="652.20000000000005"/>
  </r>
  <r>
    <s v="EU"/>
    <m/>
    <b v="1"/>
    <x v="79"/>
    <x v="5"/>
    <b v="0"/>
    <n v="4.6399999999999997"/>
    <n v="2.44"/>
    <n v="10.3"/>
    <n v="-1.21"/>
    <n v="-20.68"/>
    <n v="-0.44"/>
    <n v="-2.68"/>
    <n v="34.409999999999997"/>
    <n v="2.7"/>
    <n v="76.36"/>
  </r>
  <r>
    <s v="EU"/>
    <m/>
    <b v="1"/>
    <x v="79"/>
    <x v="6"/>
    <b v="0"/>
    <n v="1.27"/>
    <n v="0.67"/>
    <n v="2.82"/>
    <n v="-0.05"/>
    <n v="-3.79"/>
    <n v="0.02"/>
    <n v="-0.11"/>
    <n v="8.5399999999999991"/>
    <n v="0.67"/>
    <n v="18.95"/>
  </r>
  <r>
    <s v="EU"/>
    <m/>
    <b v="1"/>
    <x v="79"/>
    <x v="7"/>
    <b v="0"/>
    <n v="33.03"/>
    <n v="17.34"/>
    <n v="73.290000000000006"/>
    <n v="6.85"/>
    <n v="26.17"/>
    <n v="4.45"/>
    <n v="15.2"/>
    <n v="123.38"/>
    <n v="9.67"/>
    <n v="273.77999999999997"/>
  </r>
  <r>
    <s v="EU"/>
    <m/>
    <b v="1"/>
    <x v="79"/>
    <x v="8"/>
    <b v="1"/>
    <n v="190.49"/>
    <n v="100"/>
    <n v="422.69"/>
    <n v="-12.6"/>
    <n v="-6.2"/>
    <n v="0"/>
    <n v="-27.96"/>
    <n v="1275.97"/>
    <n v="100"/>
    <n v="2831.35"/>
  </r>
  <r>
    <s v="EU"/>
    <m/>
    <b v="1"/>
    <x v="79"/>
    <x v="9"/>
    <b v="0"/>
    <n v="21.44"/>
    <n v="11.26"/>
    <n v="47.57"/>
    <n v="-0.28000000000000003"/>
    <n v="-1.29"/>
    <n v="0.56999999999999995"/>
    <n v="-0.62"/>
    <n v="225.29"/>
    <n v="17.66"/>
    <n v="499.91"/>
  </r>
  <r>
    <s v="EU"/>
    <m/>
    <b v="1"/>
    <x v="80"/>
    <x v="0"/>
    <b v="0"/>
    <n v="7.6"/>
    <n v="3.75"/>
    <n v="16.86"/>
    <n v="-1.56"/>
    <n v="-17.03"/>
    <n v="-0.55000000000000004"/>
    <n v="-3.46"/>
    <n v="62.76"/>
    <n v="4.24"/>
    <n v="139.26"/>
  </r>
  <r>
    <s v="EU"/>
    <m/>
    <b v="1"/>
    <x v="80"/>
    <x v="1"/>
    <b v="0"/>
    <n v="19.41"/>
    <n v="9.57"/>
    <n v="43.07"/>
    <n v="-14.37"/>
    <n v="-42.54"/>
    <n v="-6.31"/>
    <n v="-31.89"/>
    <n v="183.46"/>
    <n v="12.41"/>
    <n v="407.09"/>
  </r>
  <r>
    <s v="EU"/>
    <m/>
    <b v="1"/>
    <x v="80"/>
    <x v="2"/>
    <b v="0"/>
    <n v="36.28"/>
    <n v="17.88"/>
    <n v="80.5"/>
    <n v="-7.76"/>
    <n v="-17.62"/>
    <n v="-2.82"/>
    <n v="-17.22"/>
    <n v="248.26"/>
    <n v="16.79"/>
    <n v="550.88"/>
  </r>
  <r>
    <s v="EU"/>
    <m/>
    <b v="1"/>
    <x v="80"/>
    <x v="3"/>
    <b v="0"/>
    <n v="22.58"/>
    <n v="11.13"/>
    <n v="50.1"/>
    <n v="0.54"/>
    <n v="2.4500000000000002"/>
    <n v="0.77"/>
    <n v="1.2"/>
    <n v="181.82"/>
    <n v="12.29"/>
    <n v="403.45"/>
  </r>
  <r>
    <s v="EU"/>
    <m/>
    <b v="1"/>
    <x v="80"/>
    <x v="4"/>
    <b v="0"/>
    <n v="47.02"/>
    <n v="23.18"/>
    <n v="104.34"/>
    <n v="3.12"/>
    <n v="7.11"/>
    <n v="2.5499999999999998"/>
    <n v="6.92"/>
    <n v="340.94"/>
    <n v="23.05"/>
    <n v="756.54"/>
  </r>
  <r>
    <s v="EU"/>
    <m/>
    <b v="1"/>
    <x v="80"/>
    <x v="5"/>
    <b v="0"/>
    <n v="5.31"/>
    <n v="2.62"/>
    <n v="11.78"/>
    <n v="-0.85"/>
    <n v="-13.8"/>
    <n v="-0.28000000000000003"/>
    <n v="-1.89"/>
    <n v="39.72"/>
    <n v="2.69"/>
    <n v="88.14"/>
  </r>
  <r>
    <s v="EU"/>
    <m/>
    <b v="1"/>
    <x v="80"/>
    <x v="6"/>
    <b v="0"/>
    <n v="1.3"/>
    <n v="0.64"/>
    <n v="2.88"/>
    <n v="-0.06"/>
    <n v="-4.41"/>
    <n v="0"/>
    <n v="-0.13"/>
    <n v="9.84"/>
    <n v="0.67"/>
    <n v="21.83"/>
  </r>
  <r>
    <s v="EU"/>
    <m/>
    <b v="1"/>
    <x v="80"/>
    <x v="7"/>
    <b v="0"/>
    <n v="32.68"/>
    <n v="16.11"/>
    <n v="72.52"/>
    <n v="5.52"/>
    <n v="20.32"/>
    <n v="3.35"/>
    <n v="12.25"/>
    <n v="156.06"/>
    <n v="10.55"/>
    <n v="346.29"/>
  </r>
  <r>
    <s v="EU"/>
    <m/>
    <b v="1"/>
    <x v="80"/>
    <x v="8"/>
    <b v="1"/>
    <n v="202.88"/>
    <n v="100"/>
    <n v="450.19"/>
    <n v="-9.9"/>
    <n v="-4.6500000000000004"/>
    <n v="0"/>
    <n v="-21.97"/>
    <n v="1478.85"/>
    <n v="100"/>
    <n v="3281.54"/>
  </r>
  <r>
    <s v="EU"/>
    <m/>
    <b v="1"/>
    <x v="80"/>
    <x v="9"/>
    <b v="0"/>
    <n v="30.7"/>
    <n v="15.13"/>
    <n v="68.12"/>
    <n v="5.52"/>
    <n v="21.92"/>
    <n v="3.3"/>
    <n v="12.25"/>
    <n v="255.99"/>
    <n v="17.309999999999999"/>
    <n v="568.04"/>
  </r>
  <r>
    <s v="EU"/>
    <m/>
    <b v="1"/>
    <x v="81"/>
    <x v="0"/>
    <b v="0"/>
    <n v="7.9"/>
    <n v="3.99"/>
    <n v="17.53"/>
    <n v="-1.24"/>
    <n v="-13.57"/>
    <n v="-0.49"/>
    <n v="-2.75"/>
    <n v="70.66"/>
    <n v="4.21"/>
    <n v="156.79"/>
  </r>
  <r>
    <s v="EU"/>
    <m/>
    <b v="1"/>
    <x v="81"/>
    <x v="1"/>
    <b v="0"/>
    <n v="21.61"/>
    <n v="10.93"/>
    <n v="47.95"/>
    <n v="-14.06"/>
    <n v="-39.42"/>
    <n v="-6.54"/>
    <n v="-31.2"/>
    <n v="205.07"/>
    <n v="12.23"/>
    <n v="455.05"/>
  </r>
  <r>
    <s v="EU"/>
    <m/>
    <b v="1"/>
    <x v="81"/>
    <x v="2"/>
    <b v="0"/>
    <n v="34.35"/>
    <n v="17.37"/>
    <n v="76.22"/>
    <n v="-8.48"/>
    <n v="-19.8"/>
    <n v="-3.6"/>
    <n v="-18.82"/>
    <n v="282.61"/>
    <n v="16.86"/>
    <n v="627.11"/>
  </r>
  <r>
    <s v="EU"/>
    <m/>
    <b v="1"/>
    <x v="81"/>
    <x v="3"/>
    <b v="0"/>
    <n v="24.61"/>
    <n v="12.45"/>
    <n v="54.61"/>
    <n v="4.6399999999999997"/>
    <n v="23.23"/>
    <n v="2.67"/>
    <n v="10.3"/>
    <n v="206.43"/>
    <n v="12.31"/>
    <n v="458.06"/>
  </r>
  <r>
    <s v="EU"/>
    <m/>
    <b v="1"/>
    <x v="81"/>
    <x v="4"/>
    <b v="0"/>
    <n v="46"/>
    <n v="23.26"/>
    <n v="102.07"/>
    <n v="2.7"/>
    <n v="6.24"/>
    <n v="2.06"/>
    <n v="5.99"/>
    <n v="386.94"/>
    <n v="23.08"/>
    <n v="858.61"/>
  </r>
  <r>
    <s v="EU"/>
    <m/>
    <b v="1"/>
    <x v="81"/>
    <x v="5"/>
    <b v="0"/>
    <n v="5.59"/>
    <n v="2.83"/>
    <n v="12.4"/>
    <n v="-0.32"/>
    <n v="-5.41"/>
    <n v="-0.06"/>
    <n v="-0.71"/>
    <n v="45.31"/>
    <n v="2.7"/>
    <n v="100.54"/>
  </r>
  <r>
    <s v="EU"/>
    <m/>
    <b v="1"/>
    <x v="81"/>
    <x v="6"/>
    <b v="0"/>
    <n v="1.29"/>
    <n v="0.65"/>
    <n v="2.86"/>
    <n v="-7.0000000000000007E-2"/>
    <n v="-5.15"/>
    <n v="-0.02"/>
    <n v="-0.16"/>
    <n v="11.13"/>
    <n v="0.66"/>
    <n v="24.7"/>
  </r>
  <r>
    <s v="EU"/>
    <m/>
    <b v="1"/>
    <x v="81"/>
    <x v="7"/>
    <b v="0"/>
    <n v="29.43"/>
    <n v="14.88"/>
    <n v="65.3"/>
    <n v="4.46"/>
    <n v="17.86"/>
    <n v="2.65"/>
    <n v="9.9"/>
    <n v="185.49"/>
    <n v="11.06"/>
    <n v="411.6"/>
  </r>
  <r>
    <s v="EU"/>
    <m/>
    <b v="1"/>
    <x v="81"/>
    <x v="8"/>
    <b v="1"/>
    <n v="197.75"/>
    <n v="100"/>
    <n v="438.8"/>
    <n v="-6.45"/>
    <n v="-3.16"/>
    <n v="0"/>
    <n v="-14.31"/>
    <n v="1676.6"/>
    <n v="100"/>
    <n v="3720.34"/>
  </r>
  <r>
    <s v="EU"/>
    <m/>
    <b v="1"/>
    <x v="81"/>
    <x v="9"/>
    <b v="0"/>
    <n v="26.97"/>
    <n v="13.64"/>
    <n v="59.85"/>
    <n v="5.92"/>
    <n v="28.12"/>
    <n v="3.33"/>
    <n v="13.14"/>
    <n v="282.95999999999998"/>
    <n v="16.88"/>
    <n v="627.88"/>
  </r>
  <r>
    <s v="EU"/>
    <m/>
    <b v="1"/>
    <x v="82"/>
    <x v="0"/>
    <b v="0"/>
    <n v="7.79"/>
    <n v="4.05"/>
    <n v="17.29"/>
    <n v="-1.4"/>
    <n v="-15.23"/>
    <n v="-0.56000000000000005"/>
    <n v="-3.11"/>
    <n v="78.45"/>
    <n v="4.2"/>
    <n v="174.08"/>
  </r>
  <r>
    <s v="EU"/>
    <m/>
    <b v="1"/>
    <x v="82"/>
    <x v="1"/>
    <b v="0"/>
    <n v="23.51"/>
    <n v="12.21"/>
    <n v="52.17"/>
    <n v="-12.14"/>
    <n v="-34.049999999999997"/>
    <n v="-5.69"/>
    <n v="-26.94"/>
    <n v="228.58"/>
    <n v="12.23"/>
    <n v="507.21"/>
  </r>
  <r>
    <s v="EU"/>
    <m/>
    <b v="1"/>
    <x v="82"/>
    <x v="2"/>
    <b v="0"/>
    <n v="34.01"/>
    <n v="17.670000000000002"/>
    <n v="75.47"/>
    <n v="-5.49"/>
    <n v="-13.9"/>
    <n v="-2.16"/>
    <n v="-12.18"/>
    <n v="316.62"/>
    <n v="16.940000000000001"/>
    <n v="702.57"/>
  </r>
  <r>
    <s v="EU"/>
    <m/>
    <b v="1"/>
    <x v="82"/>
    <x v="3"/>
    <b v="0"/>
    <n v="20.7"/>
    <n v="10.75"/>
    <n v="45.93"/>
    <n v="1.1200000000000001"/>
    <n v="5.72"/>
    <n v="0.92"/>
    <n v="2.4900000000000002"/>
    <n v="227.13"/>
    <n v="12.15"/>
    <n v="504"/>
  </r>
  <r>
    <s v="EU"/>
    <m/>
    <b v="1"/>
    <x v="82"/>
    <x v="4"/>
    <b v="0"/>
    <n v="46.74"/>
    <n v="24.28"/>
    <n v="103.72"/>
    <n v="3.83"/>
    <n v="8.93"/>
    <n v="2.74"/>
    <n v="8.5"/>
    <n v="433.68"/>
    <n v="23.2"/>
    <n v="962.33"/>
  </r>
  <r>
    <s v="EU"/>
    <m/>
    <b v="1"/>
    <x v="82"/>
    <x v="5"/>
    <b v="0"/>
    <n v="5.21"/>
    <n v="2.71"/>
    <n v="11.56"/>
    <n v="-0.87"/>
    <n v="-14.31"/>
    <n v="-0.34"/>
    <n v="-1.93"/>
    <n v="50.52"/>
    <n v="2.7"/>
    <n v="112.1"/>
  </r>
  <r>
    <s v="EU"/>
    <m/>
    <b v="1"/>
    <x v="82"/>
    <x v="6"/>
    <b v="0"/>
    <n v="1.34"/>
    <n v="0.7"/>
    <n v="2.97"/>
    <n v="0"/>
    <n v="0"/>
    <n v="0.03"/>
    <n v="0"/>
    <n v="12.47"/>
    <n v="0.67"/>
    <n v="27.67"/>
  </r>
  <r>
    <s v="EU"/>
    <m/>
    <b v="1"/>
    <x v="82"/>
    <x v="7"/>
    <b v="0"/>
    <n v="26.24"/>
    <n v="13.63"/>
    <n v="58.23"/>
    <n v="8.31"/>
    <n v="46.35"/>
    <n v="4.63"/>
    <n v="18.440000000000001"/>
    <n v="211.73"/>
    <n v="11.33"/>
    <n v="469.82"/>
  </r>
  <r>
    <s v="EU"/>
    <m/>
    <b v="1"/>
    <x v="82"/>
    <x v="8"/>
    <b v="1"/>
    <n v="192.47"/>
    <n v="100"/>
    <n v="427.09"/>
    <n v="-6.72"/>
    <n v="-3.37"/>
    <n v="0"/>
    <n v="-14.91"/>
    <n v="1869.07"/>
    <n v="100"/>
    <n v="4147.43"/>
  </r>
  <r>
    <s v="EU"/>
    <m/>
    <b v="1"/>
    <x v="82"/>
    <x v="9"/>
    <b v="0"/>
    <n v="26.93"/>
    <n v="13.99"/>
    <n v="59.76"/>
    <n v="-0.08"/>
    <n v="-0.3"/>
    <n v="0.43"/>
    <n v="-0.18"/>
    <n v="309.89"/>
    <n v="16.579999999999998"/>
    <n v="687.64"/>
  </r>
  <r>
    <s v="EU"/>
    <m/>
    <b v="1"/>
    <x v="83"/>
    <x v="0"/>
    <b v="0"/>
    <n v="8.35"/>
    <n v="4.05"/>
    <n v="18.53"/>
    <n v="-0.98"/>
    <n v="-10.5"/>
    <n v="-0.56000000000000005"/>
    <n v="-2.17"/>
    <n v="86.8"/>
    <n v="4.18"/>
    <n v="192.61"/>
  </r>
  <r>
    <s v="EU"/>
    <m/>
    <b v="1"/>
    <x v="83"/>
    <x v="1"/>
    <b v="0"/>
    <n v="25.53"/>
    <n v="12.38"/>
    <n v="56.65"/>
    <n v="-6.23"/>
    <n v="-19.62"/>
    <n v="-3.32"/>
    <n v="-13.82"/>
    <n v="254.11"/>
    <n v="12.24"/>
    <n v="563.87"/>
  </r>
  <r>
    <s v="EU"/>
    <m/>
    <b v="1"/>
    <x v="83"/>
    <x v="2"/>
    <b v="0"/>
    <n v="32.81"/>
    <n v="15.92"/>
    <n v="72.8"/>
    <n v="-8.41"/>
    <n v="-20.399999999999999"/>
    <n v="-4.45"/>
    <n v="-18.66"/>
    <n v="349.43"/>
    <n v="16.84"/>
    <n v="775.38"/>
  </r>
  <r>
    <s v="EU"/>
    <m/>
    <b v="1"/>
    <x v="83"/>
    <x v="3"/>
    <b v="0"/>
    <n v="22.57"/>
    <n v="10.95"/>
    <n v="50.08"/>
    <n v="3.68"/>
    <n v="19.48"/>
    <n v="1.61"/>
    <n v="8.17"/>
    <n v="249.7"/>
    <n v="12.03"/>
    <n v="554.08000000000004"/>
  </r>
  <r>
    <s v="EU"/>
    <m/>
    <b v="1"/>
    <x v="83"/>
    <x v="4"/>
    <b v="0"/>
    <n v="49.43"/>
    <n v="23.98"/>
    <n v="109.68"/>
    <n v="5.91"/>
    <n v="13.58"/>
    <n v="2.4700000000000002"/>
    <n v="13.11"/>
    <n v="483.11"/>
    <n v="23.28"/>
    <n v="1072.01"/>
  </r>
  <r>
    <s v="EU"/>
    <m/>
    <b v="1"/>
    <x v="83"/>
    <x v="5"/>
    <b v="0"/>
    <n v="5.43"/>
    <n v="2.63"/>
    <n v="12.05"/>
    <n v="-0.62"/>
    <n v="-10.25"/>
    <n v="-0.36"/>
    <n v="-1.38"/>
    <n v="55.95"/>
    <n v="2.7"/>
    <n v="124.15"/>
  </r>
  <r>
    <s v="EU"/>
    <m/>
    <b v="1"/>
    <x v="83"/>
    <x v="6"/>
    <b v="0"/>
    <n v="1.43"/>
    <n v="0.69"/>
    <n v="3.17"/>
    <n v="0.01"/>
    <n v="0.7"/>
    <n v="-0.01"/>
    <n v="0.02"/>
    <n v="13.9"/>
    <n v="0.67"/>
    <n v="30.84"/>
  </r>
  <r>
    <s v="EU"/>
    <m/>
    <b v="1"/>
    <x v="83"/>
    <x v="7"/>
    <b v="0"/>
    <n v="16.61"/>
    <n v="8.06"/>
    <n v="36.86"/>
    <n v="2.76"/>
    <n v="19.93"/>
    <n v="1.21"/>
    <n v="6.12"/>
    <n v="228.34"/>
    <n v="11"/>
    <n v="506.68"/>
  </r>
  <r>
    <s v="EU"/>
    <m/>
    <b v="1"/>
    <x v="83"/>
    <x v="8"/>
    <b v="1"/>
    <n v="206.15"/>
    <n v="100"/>
    <n v="457.44"/>
    <n v="3.82"/>
    <n v="1.89"/>
    <n v="0"/>
    <n v="8.48"/>
    <n v="2075.2199999999998"/>
    <n v="100"/>
    <n v="4604.87"/>
  </r>
  <r>
    <s v="EU"/>
    <m/>
    <b v="1"/>
    <x v="83"/>
    <x v="9"/>
    <b v="0"/>
    <n v="43.99"/>
    <n v="21.34"/>
    <n v="97.61"/>
    <n v="7.7"/>
    <n v="21.22"/>
    <n v="3.4"/>
    <n v="17.09"/>
    <n v="353.88"/>
    <n v="17.05"/>
    <n v="785.25"/>
  </r>
  <r>
    <s v="EU"/>
    <m/>
    <b v="1"/>
    <x v="84"/>
    <x v="0"/>
    <b v="0"/>
    <n v="9.19"/>
    <n v="4.17"/>
    <n v="20.39"/>
    <n v="-1.0900000000000001"/>
    <n v="-10.6"/>
    <n v="-0.67"/>
    <n v="-2.42"/>
    <n v="95.99"/>
    <n v="4.18"/>
    <n v="213"/>
  </r>
  <r>
    <s v="EU"/>
    <m/>
    <b v="1"/>
    <x v="84"/>
    <x v="1"/>
    <b v="0"/>
    <n v="28.32"/>
    <n v="12.84"/>
    <n v="62.84"/>
    <n v="-8.4499999999999993"/>
    <n v="-22.98"/>
    <n v="-4.47"/>
    <n v="-18.75"/>
    <n v="282.43"/>
    <n v="12.3"/>
    <n v="626.71"/>
  </r>
  <r>
    <s v="EU"/>
    <m/>
    <b v="1"/>
    <x v="84"/>
    <x v="2"/>
    <b v="0"/>
    <n v="32.770000000000003"/>
    <n v="14.86"/>
    <n v="72.72"/>
    <n v="-7.27"/>
    <n v="-18.16"/>
    <n v="-3.99"/>
    <n v="-16.13"/>
    <n v="382.2"/>
    <n v="16.649999999999999"/>
    <n v="848.09"/>
  </r>
  <r>
    <s v="EU"/>
    <m/>
    <b v="1"/>
    <x v="84"/>
    <x v="3"/>
    <b v="0"/>
    <n v="32.5"/>
    <n v="14.74"/>
    <n v="72.12"/>
    <n v="10.63"/>
    <n v="48.61"/>
    <n v="4.4400000000000004"/>
    <n v="23.59"/>
    <n v="282.2"/>
    <n v="12.29"/>
    <n v="626.20000000000005"/>
  </r>
  <r>
    <s v="EU"/>
    <m/>
    <b v="1"/>
    <x v="84"/>
    <x v="4"/>
    <b v="0"/>
    <n v="49.8"/>
    <n v="22.58"/>
    <n v="110.51"/>
    <n v="3.42"/>
    <n v="7.37"/>
    <n v="0.74"/>
    <n v="7.59"/>
    <n v="532.91"/>
    <n v="23.21"/>
    <n v="1182.52"/>
  </r>
  <r>
    <s v="EU"/>
    <m/>
    <b v="1"/>
    <x v="84"/>
    <x v="5"/>
    <b v="0"/>
    <n v="5.82"/>
    <n v="2.64"/>
    <n v="12.91"/>
    <n v="-0.44"/>
    <n v="-7.03"/>
    <n v="-0.31"/>
    <n v="-0.98"/>
    <n v="61.77"/>
    <n v="2.69"/>
    <n v="137.07"/>
  </r>
  <r>
    <s v="EU"/>
    <m/>
    <b v="1"/>
    <x v="84"/>
    <x v="6"/>
    <b v="0"/>
    <n v="1.46"/>
    <n v="0.66"/>
    <n v="3.24"/>
    <n v="0.01"/>
    <n v="0.69"/>
    <n v="-0.02"/>
    <n v="0.02"/>
    <n v="15.36"/>
    <n v="0.67"/>
    <n v="34.08"/>
  </r>
  <r>
    <s v="EU"/>
    <m/>
    <b v="1"/>
    <x v="84"/>
    <x v="7"/>
    <b v="0"/>
    <n v="9.7799999999999994"/>
    <n v="4.43"/>
    <n v="21.7"/>
    <n v="2.02"/>
    <n v="26.03"/>
    <n v="0.78"/>
    <n v="4.4800000000000004"/>
    <n v="238.12"/>
    <n v="10.37"/>
    <n v="528.38"/>
  </r>
  <r>
    <s v="EU"/>
    <m/>
    <b v="1"/>
    <x v="84"/>
    <x v="8"/>
    <b v="1"/>
    <n v="220.52"/>
    <n v="100"/>
    <n v="489.33"/>
    <n v="8.1300000000000008"/>
    <n v="3.83"/>
    <n v="0"/>
    <n v="18.04"/>
    <n v="2295.7399999999998"/>
    <n v="100"/>
    <n v="5094.2"/>
  </r>
  <r>
    <s v="EU"/>
    <m/>
    <b v="1"/>
    <x v="84"/>
    <x v="9"/>
    <b v="0"/>
    <n v="50.88"/>
    <n v="23.07"/>
    <n v="112.9"/>
    <n v="9.3000000000000007"/>
    <n v="22.37"/>
    <n v="3.49"/>
    <n v="20.64"/>
    <n v="404.76"/>
    <n v="17.63"/>
    <n v="898.15"/>
  </r>
  <r>
    <s v="EU"/>
    <m/>
    <b v="1"/>
    <x v="85"/>
    <x v="0"/>
    <b v="0"/>
    <n v="9.93"/>
    <n v="4.2300000000000004"/>
    <n v="22.03"/>
    <n v="-1.5"/>
    <n v="-13.12"/>
    <n v="-0.64"/>
    <n v="-3.33"/>
    <n v="105.92"/>
    <n v="4.1900000000000004"/>
    <n v="235.03"/>
  </r>
  <r>
    <s v="EU"/>
    <m/>
    <b v="1"/>
    <x v="85"/>
    <x v="1"/>
    <b v="0"/>
    <n v="28.18"/>
    <n v="11.99"/>
    <n v="62.53"/>
    <n v="-13.45"/>
    <n v="-32.31"/>
    <n v="-5.76"/>
    <n v="-29.85"/>
    <n v="310.61"/>
    <n v="12.27"/>
    <n v="689.24"/>
  </r>
  <r>
    <s v="EU"/>
    <m/>
    <b v="1"/>
    <x v="85"/>
    <x v="2"/>
    <b v="0"/>
    <n v="37.409999999999997"/>
    <n v="15.92"/>
    <n v="83.01"/>
    <n v="-9.69"/>
    <n v="-20.57"/>
    <n v="-4.17"/>
    <n v="-21.5"/>
    <n v="419.61"/>
    <n v="16.579999999999998"/>
    <n v="931.11"/>
  </r>
  <r>
    <s v="EU"/>
    <m/>
    <b v="1"/>
    <x v="85"/>
    <x v="3"/>
    <b v="0"/>
    <n v="33.81"/>
    <n v="14.39"/>
    <n v="75.02"/>
    <n v="7.3"/>
    <n v="27.54"/>
    <n v="3.08"/>
    <n v="16.2"/>
    <n v="316.01"/>
    <n v="12.49"/>
    <n v="701.22"/>
  </r>
  <r>
    <s v="EU"/>
    <m/>
    <b v="1"/>
    <x v="85"/>
    <x v="4"/>
    <b v="0"/>
    <n v="56.38"/>
    <n v="23.99"/>
    <n v="125.11"/>
    <n v="2.02"/>
    <n v="3.72"/>
    <n v="0.81"/>
    <n v="4.4800000000000004"/>
    <n v="589.29"/>
    <n v="23.29"/>
    <n v="1307.6199999999999"/>
  </r>
  <r>
    <s v="EU"/>
    <m/>
    <b v="1"/>
    <x v="85"/>
    <x v="5"/>
    <b v="0"/>
    <n v="6.07"/>
    <n v="2.58"/>
    <n v="13.47"/>
    <n v="-0.69"/>
    <n v="-10.210000000000001"/>
    <n v="-0.3"/>
    <n v="-1.53"/>
    <n v="67.84"/>
    <n v="2.68"/>
    <n v="150.54"/>
  </r>
  <r>
    <s v="EU"/>
    <m/>
    <b v="1"/>
    <x v="85"/>
    <x v="6"/>
    <b v="0"/>
    <n v="1.43"/>
    <n v="0.61"/>
    <n v="3.17"/>
    <n v="-0.12"/>
    <n v="-7.74"/>
    <n v="-0.05"/>
    <n v="-0.27"/>
    <n v="16.79"/>
    <n v="0.66"/>
    <n v="37.26"/>
  </r>
  <r>
    <s v="EU"/>
    <m/>
    <b v="1"/>
    <x v="85"/>
    <x v="7"/>
    <b v="0"/>
    <n v="7.45"/>
    <n v="3.17"/>
    <n v="16.53"/>
    <n v="2.59"/>
    <n v="53.29"/>
    <n v="1.1000000000000001"/>
    <n v="5.75"/>
    <n v="245.57"/>
    <n v="9.6999999999999993"/>
    <n v="544.91"/>
  </r>
  <r>
    <s v="EU"/>
    <m/>
    <b v="1"/>
    <x v="85"/>
    <x v="8"/>
    <b v="1"/>
    <n v="234.99"/>
    <n v="100"/>
    <n v="521.44000000000005"/>
    <n v="0.51"/>
    <n v="0.22"/>
    <n v="0"/>
    <n v="1.1299999999999999"/>
    <n v="2530.73"/>
    <n v="100"/>
    <n v="5615.64"/>
  </r>
  <r>
    <s v="EU"/>
    <m/>
    <b v="1"/>
    <x v="85"/>
    <x v="9"/>
    <b v="0"/>
    <n v="54.33"/>
    <n v="23.12"/>
    <n v="120.56"/>
    <n v="14.05"/>
    <n v="34.880000000000003"/>
    <n v="5.94"/>
    <n v="31.18"/>
    <n v="459.09"/>
    <n v="18.14"/>
    <n v="1018.71"/>
  </r>
  <r>
    <s v="EU"/>
    <m/>
    <b v="1"/>
    <x v="86"/>
    <x v="0"/>
    <b v="0"/>
    <n v="10"/>
    <n v="3.98"/>
    <n v="22.21"/>
    <n v="-0.5"/>
    <n v="-4.76"/>
    <n v="-0.39"/>
    <n v="-1.1100000000000001"/>
    <n v="10"/>
    <n v="3.98"/>
    <n v="22.21"/>
  </r>
  <r>
    <s v="EU"/>
    <m/>
    <b v="1"/>
    <x v="86"/>
    <x v="1"/>
    <b v="0"/>
    <n v="27.2"/>
    <n v="10.82"/>
    <n v="60.41"/>
    <n v="-8.84"/>
    <n v="-24.53"/>
    <n v="-4.16"/>
    <n v="-19.63"/>
    <n v="27.2"/>
    <n v="10.82"/>
    <n v="60.41"/>
  </r>
  <r>
    <s v="EU"/>
    <m/>
    <b v="1"/>
    <x v="86"/>
    <x v="2"/>
    <b v="0"/>
    <n v="43.86"/>
    <n v="17.45"/>
    <n v="97.41"/>
    <n v="4.82"/>
    <n v="12.35"/>
    <n v="1.22"/>
    <n v="10.7"/>
    <n v="43.86"/>
    <n v="17.45"/>
    <n v="97.41"/>
  </r>
  <r>
    <s v="EU"/>
    <m/>
    <b v="1"/>
    <x v="86"/>
    <x v="3"/>
    <b v="0"/>
    <n v="34.11"/>
    <n v="13.57"/>
    <n v="75.760000000000005"/>
    <n v="4.3499999999999996"/>
    <n v="14.62"/>
    <n v="1.2"/>
    <n v="9.66"/>
    <n v="34.11"/>
    <n v="13.57"/>
    <n v="75.760000000000005"/>
  </r>
  <r>
    <s v="EU"/>
    <m/>
    <b v="1"/>
    <x v="86"/>
    <x v="4"/>
    <b v="0"/>
    <n v="61.2"/>
    <n v="24.36"/>
    <n v="135.91999999999999"/>
    <n v="4.08"/>
    <n v="7.14"/>
    <n v="0.61"/>
    <n v="9.06"/>
    <n v="61.2"/>
    <n v="24.36"/>
    <n v="135.91999999999999"/>
  </r>
  <r>
    <s v="EU"/>
    <m/>
    <b v="1"/>
    <x v="86"/>
    <x v="5"/>
    <b v="0"/>
    <n v="6.53"/>
    <n v="2.6"/>
    <n v="14.5"/>
    <n v="-0.09"/>
    <n v="-1.36"/>
    <n v="-0.15"/>
    <n v="-0.2"/>
    <n v="6.53"/>
    <n v="2.6"/>
    <n v="14.5"/>
  </r>
  <r>
    <s v="EU"/>
    <m/>
    <b v="1"/>
    <x v="86"/>
    <x v="6"/>
    <b v="0"/>
    <n v="1.59"/>
    <n v="0.63"/>
    <n v="3.53"/>
    <n v="0.1"/>
    <n v="6.71"/>
    <n v="0.01"/>
    <n v="0.22"/>
    <n v="1.59"/>
    <n v="0.63"/>
    <n v="3.53"/>
  </r>
  <r>
    <s v="EU"/>
    <m/>
    <b v="1"/>
    <x v="86"/>
    <x v="7"/>
    <b v="0"/>
    <n v="9.98"/>
    <n v="3.97"/>
    <n v="22.16"/>
    <n v="3.25"/>
    <n v="48.29"/>
    <n v="1.17"/>
    <n v="7.22"/>
    <n v="9.98"/>
    <n v="3.97"/>
    <n v="22.16"/>
  </r>
  <r>
    <s v="EU"/>
    <m/>
    <b v="1"/>
    <x v="86"/>
    <x v="8"/>
    <b v="1"/>
    <n v="251.28"/>
    <n v="100"/>
    <n v="558.08000000000004"/>
    <n v="10.74"/>
    <n v="4.46"/>
    <n v="0"/>
    <n v="23.85"/>
    <n v="251.28"/>
    <n v="100"/>
    <n v="558.08000000000004"/>
  </r>
  <r>
    <s v="EU"/>
    <m/>
    <b v="1"/>
    <x v="86"/>
    <x v="9"/>
    <b v="0"/>
    <n v="56.81"/>
    <n v="22.61"/>
    <n v="126.17"/>
    <n v="3.57"/>
    <n v="6.71"/>
    <n v="0.48"/>
    <n v="7.93"/>
    <n v="56.81"/>
    <n v="22.61"/>
    <n v="126.17"/>
  </r>
  <r>
    <s v="EU"/>
    <m/>
    <b v="1"/>
    <x v="87"/>
    <x v="0"/>
    <b v="0"/>
    <n v="9.25"/>
    <n v="4.17"/>
    <n v="20.54"/>
    <n v="-0.51"/>
    <n v="-5.23"/>
    <n v="-0.27"/>
    <n v="-1.1299999999999999"/>
    <n v="19.25"/>
    <n v="4.07"/>
    <n v="42.75"/>
  </r>
  <r>
    <s v="EU"/>
    <m/>
    <b v="1"/>
    <x v="87"/>
    <x v="1"/>
    <b v="0"/>
    <n v="22.62"/>
    <n v="10.199999999999999"/>
    <n v="50.24"/>
    <n v="-11.7"/>
    <n v="-34.090000000000003"/>
    <n v="-5.43"/>
    <n v="-25.99"/>
    <n v="49.82"/>
    <n v="10.53"/>
    <n v="110.65"/>
  </r>
  <r>
    <s v="EU"/>
    <m/>
    <b v="1"/>
    <x v="87"/>
    <x v="2"/>
    <b v="0"/>
    <n v="33.090000000000003"/>
    <n v="14.93"/>
    <n v="73.489999999999995"/>
    <n v="-9.9"/>
    <n v="-23.03"/>
    <n v="-4.6399999999999997"/>
    <n v="-21.99"/>
    <n v="76.95"/>
    <n v="16.27"/>
    <n v="170.9"/>
  </r>
  <r>
    <s v="EU"/>
    <m/>
    <b v="1"/>
    <x v="87"/>
    <x v="3"/>
    <b v="0"/>
    <n v="29.13"/>
    <n v="13.14"/>
    <n v="64.7"/>
    <n v="6.57"/>
    <n v="29.12"/>
    <n v="2.87"/>
    <n v="14.59"/>
    <n v="63.24"/>
    <n v="13.37"/>
    <n v="140.44999999999999"/>
  </r>
  <r>
    <s v="EU"/>
    <m/>
    <b v="1"/>
    <x v="87"/>
    <x v="4"/>
    <b v="0"/>
    <n v="53.89"/>
    <n v="24.31"/>
    <n v="119.69"/>
    <n v="2.14"/>
    <n v="4.1399999999999997"/>
    <n v="0.75"/>
    <n v="4.75"/>
    <n v="115.09"/>
    <n v="24.33"/>
    <n v="255.61"/>
  </r>
  <r>
    <s v="EU"/>
    <m/>
    <b v="1"/>
    <x v="87"/>
    <x v="5"/>
    <b v="0"/>
    <n v="5.69"/>
    <n v="2.57"/>
    <n v="12.64"/>
    <n v="-0.54"/>
    <n v="-8.67"/>
    <n v="-0.27"/>
    <n v="-1.2"/>
    <n v="12.22"/>
    <n v="2.58"/>
    <n v="27.14"/>
  </r>
  <r>
    <s v="EU"/>
    <m/>
    <b v="1"/>
    <x v="87"/>
    <x v="6"/>
    <b v="0"/>
    <n v="1.44"/>
    <n v="0.65"/>
    <n v="3.2"/>
    <n v="0.04"/>
    <n v="2.86"/>
    <n v="0.01"/>
    <n v="0.09"/>
    <n v="3.03"/>
    <n v="0.64"/>
    <n v="6.73"/>
  </r>
  <r>
    <s v="EU"/>
    <m/>
    <b v="1"/>
    <x v="87"/>
    <x v="7"/>
    <b v="0"/>
    <n v="13.1"/>
    <n v="5.91"/>
    <n v="29.09"/>
    <n v="1.37"/>
    <n v="11.68"/>
    <n v="0.56999999999999995"/>
    <n v="3.04"/>
    <n v="23.08"/>
    <n v="4.88"/>
    <n v="51.26"/>
  </r>
  <r>
    <s v="EU"/>
    <m/>
    <b v="1"/>
    <x v="87"/>
    <x v="8"/>
    <b v="1"/>
    <n v="221.7"/>
    <n v="100"/>
    <n v="492.38"/>
    <n v="2.08"/>
    <n v="0.95"/>
    <n v="0"/>
    <n v="4.62"/>
    <n v="472.98"/>
    <n v="100"/>
    <n v="1050.46"/>
  </r>
  <r>
    <s v="EU"/>
    <m/>
    <b v="1"/>
    <x v="87"/>
    <x v="9"/>
    <b v="0"/>
    <n v="53.49"/>
    <n v="24.13"/>
    <n v="118.8"/>
    <n v="14.61"/>
    <n v="37.58"/>
    <n v="6.43"/>
    <n v="32.450000000000003"/>
    <n v="110.3"/>
    <n v="23.32"/>
    <n v="244.97"/>
  </r>
  <r>
    <s v="EU"/>
    <m/>
    <b v="1"/>
    <x v="88"/>
    <x v="0"/>
    <b v="0"/>
    <n v="9.7799999999999994"/>
    <n v="4.3899999999999997"/>
    <n v="21.72"/>
    <n v="-0.34"/>
    <n v="-3.36"/>
    <n v="-0.05"/>
    <n v="-0.76"/>
    <n v="29.03"/>
    <n v="4.17"/>
    <n v="64.47"/>
  </r>
  <r>
    <s v="EU"/>
    <m/>
    <b v="1"/>
    <x v="88"/>
    <x v="1"/>
    <b v="0"/>
    <n v="22.62"/>
    <n v="10.16"/>
    <n v="50.24"/>
    <n v="-7.92"/>
    <n v="-25.93"/>
    <n v="-3.23"/>
    <n v="-17.59"/>
    <n v="72.44"/>
    <n v="10.41"/>
    <n v="160.88"/>
  </r>
  <r>
    <s v="EU"/>
    <m/>
    <b v="1"/>
    <x v="88"/>
    <x v="2"/>
    <b v="0"/>
    <n v="32.57"/>
    <n v="14.63"/>
    <n v="72.34"/>
    <n v="-5.47"/>
    <n v="-14.38"/>
    <n v="-2.0499999999999998"/>
    <n v="-12.15"/>
    <n v="109.52"/>
    <n v="15.74"/>
    <n v="243.24"/>
  </r>
  <r>
    <s v="EU"/>
    <m/>
    <b v="1"/>
    <x v="88"/>
    <x v="3"/>
    <b v="0"/>
    <n v="34.94"/>
    <n v="15.69"/>
    <n v="77.599999999999994"/>
    <n v="9.25"/>
    <n v="36.01"/>
    <n v="4.42"/>
    <n v="20.54"/>
    <n v="98.18"/>
    <n v="14.11"/>
    <n v="218.05"/>
  </r>
  <r>
    <s v="EU"/>
    <m/>
    <b v="1"/>
    <x v="88"/>
    <x v="4"/>
    <b v="0"/>
    <n v="51.3"/>
    <n v="23.04"/>
    <n v="113.93"/>
    <n v="0.04"/>
    <n v="0.08"/>
    <n v="0.56000000000000005"/>
    <n v="0.09"/>
    <n v="166.39"/>
    <n v="23.92"/>
    <n v="369.54"/>
  </r>
  <r>
    <s v="EU"/>
    <m/>
    <b v="1"/>
    <x v="88"/>
    <x v="5"/>
    <b v="0"/>
    <n v="5.67"/>
    <n v="2.5499999999999998"/>
    <n v="12.59"/>
    <n v="-0.69"/>
    <n v="-10.85"/>
    <n v="-0.24"/>
    <n v="-1.53"/>
    <n v="17.89"/>
    <n v="2.57"/>
    <n v="39.729999999999997"/>
  </r>
  <r>
    <s v="EU"/>
    <m/>
    <b v="1"/>
    <x v="88"/>
    <x v="6"/>
    <b v="0"/>
    <n v="1.41"/>
    <n v="0.63"/>
    <n v="3.13"/>
    <n v="-0.13"/>
    <n v="-8.44"/>
    <n v="-0.05"/>
    <n v="-0.28999999999999998"/>
    <n v="4.4400000000000004"/>
    <n v="0.64"/>
    <n v="9.86"/>
  </r>
  <r>
    <s v="EU"/>
    <m/>
    <b v="1"/>
    <x v="88"/>
    <x v="7"/>
    <b v="0"/>
    <n v="21.86"/>
    <n v="9.82"/>
    <n v="48.55"/>
    <n v="3.96"/>
    <n v="22.12"/>
    <n v="1.97"/>
    <n v="8.7899999999999991"/>
    <n v="44.94"/>
    <n v="6.46"/>
    <n v="99.81"/>
  </r>
  <r>
    <s v="EU"/>
    <m/>
    <b v="1"/>
    <x v="88"/>
    <x v="8"/>
    <b v="1"/>
    <n v="222.67"/>
    <n v="100"/>
    <n v="494.54"/>
    <n v="-5.36"/>
    <n v="-2.35"/>
    <n v="0"/>
    <n v="-11.9"/>
    <n v="695.65"/>
    <n v="100"/>
    <n v="1545"/>
  </r>
  <r>
    <s v="EU"/>
    <m/>
    <b v="1"/>
    <x v="88"/>
    <x v="9"/>
    <b v="0"/>
    <n v="42.52"/>
    <n v="19.100000000000001"/>
    <n v="94.43"/>
    <n v="-4.0599999999999996"/>
    <n v="-8.7200000000000006"/>
    <n v="-1.33"/>
    <n v="-9.02"/>
    <n v="152.82"/>
    <n v="21.97"/>
    <n v="339.4"/>
  </r>
  <r>
    <s v="EU"/>
    <m/>
    <b v="1"/>
    <x v="89"/>
    <x v="0"/>
    <b v="0"/>
    <n v="8.6300000000000008"/>
    <n v="4.21"/>
    <n v="19.170000000000002"/>
    <n v="-0.47"/>
    <n v="-5.16"/>
    <n v="-0.32"/>
    <n v="-1.04"/>
    <n v="37.659999999999997"/>
    <n v="4.18"/>
    <n v="83.64"/>
  </r>
  <r>
    <s v="EU"/>
    <m/>
    <b v="1"/>
    <x v="89"/>
    <x v="1"/>
    <b v="0"/>
    <n v="17.309999999999999"/>
    <n v="8.44"/>
    <n v="38.44"/>
    <n v="-7.08"/>
    <n v="-29.03"/>
    <n v="-3.7"/>
    <n v="-15.72"/>
    <n v="89.75"/>
    <n v="9.9600000000000009"/>
    <n v="199.33"/>
  </r>
  <r>
    <s v="EU"/>
    <m/>
    <b v="1"/>
    <x v="89"/>
    <x v="2"/>
    <b v="0"/>
    <n v="24.24"/>
    <n v="11.82"/>
    <n v="53.84"/>
    <n v="-6.79"/>
    <n v="-21.88"/>
    <n v="-3.63"/>
    <n v="-15.08"/>
    <n v="133.76"/>
    <n v="14.85"/>
    <n v="297.07"/>
  </r>
  <r>
    <s v="EU"/>
    <m/>
    <b v="1"/>
    <x v="89"/>
    <x v="3"/>
    <b v="0"/>
    <n v="32.46"/>
    <n v="15.83"/>
    <n v="72.09"/>
    <n v="7.85"/>
    <n v="31.9"/>
    <n v="3.58"/>
    <n v="17.43"/>
    <n v="130.63999999999999"/>
    <n v="14.5"/>
    <n v="290.14"/>
  </r>
  <r>
    <s v="EU"/>
    <m/>
    <b v="1"/>
    <x v="89"/>
    <x v="4"/>
    <b v="0"/>
    <n v="45.29"/>
    <n v="22.09"/>
    <n v="100.59"/>
    <n v="-2.09"/>
    <n v="-4.41"/>
    <n v="-1.5"/>
    <n v="-4.6399999999999997"/>
    <n v="211.68"/>
    <n v="23.5"/>
    <n v="470.13"/>
  </r>
  <r>
    <s v="EU"/>
    <m/>
    <b v="1"/>
    <x v="89"/>
    <x v="5"/>
    <b v="0"/>
    <n v="5.33"/>
    <n v="2.6"/>
    <n v="11.84"/>
    <n v="0.02"/>
    <n v="0.38"/>
    <n v="-0.04"/>
    <n v="0.04"/>
    <n v="23.22"/>
    <n v="2.58"/>
    <n v="51.57"/>
  </r>
  <r>
    <s v="EU"/>
    <m/>
    <b v="1"/>
    <x v="89"/>
    <x v="6"/>
    <b v="0"/>
    <n v="1.33"/>
    <n v="0.65"/>
    <n v="2.95"/>
    <n v="-0.11"/>
    <n v="-7.64"/>
    <n v="-7.0000000000000007E-2"/>
    <n v="-0.24"/>
    <n v="5.77"/>
    <n v="0.64"/>
    <n v="12.81"/>
  </r>
  <r>
    <s v="EU"/>
    <m/>
    <b v="1"/>
    <x v="89"/>
    <x v="7"/>
    <b v="0"/>
    <n v="29.66"/>
    <n v="14.47"/>
    <n v="65.87"/>
    <n v="5.57"/>
    <n v="23.12"/>
    <n v="2.48"/>
    <n v="12.37"/>
    <n v="74.599999999999994"/>
    <n v="8.2799999999999994"/>
    <n v="165.68"/>
  </r>
  <r>
    <s v="EU"/>
    <m/>
    <b v="1"/>
    <x v="89"/>
    <x v="8"/>
    <b v="1"/>
    <n v="205.02"/>
    <n v="100"/>
    <n v="455.34"/>
    <n v="4.16"/>
    <n v="2.0699999999999998"/>
    <n v="0"/>
    <n v="9.24"/>
    <n v="900.67"/>
    <n v="100"/>
    <n v="2000.34"/>
  </r>
  <r>
    <s v="EU"/>
    <m/>
    <b v="1"/>
    <x v="89"/>
    <x v="9"/>
    <b v="0"/>
    <n v="40.770000000000003"/>
    <n v="19.89"/>
    <n v="90.55"/>
    <n v="7.26"/>
    <n v="21.67"/>
    <n v="3.21"/>
    <n v="16.12"/>
    <n v="193.59"/>
    <n v="21.49"/>
    <n v="429.95"/>
  </r>
  <r>
    <s v="EU"/>
    <m/>
    <b v="1"/>
    <x v="90"/>
    <x v="0"/>
    <b v="0"/>
    <n v="8.52"/>
    <n v="4.25"/>
    <n v="18.920000000000002"/>
    <n v="0.15"/>
    <n v="1.79"/>
    <n v="-0.01"/>
    <n v="0.33"/>
    <n v="46.18"/>
    <n v="4.1900000000000004"/>
    <n v="102.56"/>
  </r>
  <r>
    <s v="EU"/>
    <m/>
    <b v="1"/>
    <x v="90"/>
    <x v="1"/>
    <b v="0"/>
    <n v="16.34"/>
    <n v="8.15"/>
    <n v="36.29"/>
    <n v="-2.96"/>
    <n v="-15.34"/>
    <n v="-1.68"/>
    <n v="-6.57"/>
    <n v="106.09"/>
    <n v="9.6300000000000008"/>
    <n v="235.62"/>
  </r>
  <r>
    <s v="EU"/>
    <m/>
    <b v="1"/>
    <x v="90"/>
    <x v="2"/>
    <b v="0"/>
    <n v="23.42"/>
    <n v="11.68"/>
    <n v="52.01"/>
    <n v="-4.46"/>
    <n v="-16"/>
    <n v="-2.5099999999999998"/>
    <n v="-9.91"/>
    <n v="157.18"/>
    <n v="14.27"/>
    <n v="349.09"/>
  </r>
  <r>
    <s v="EU"/>
    <m/>
    <b v="1"/>
    <x v="90"/>
    <x v="3"/>
    <b v="0"/>
    <n v="34.24"/>
    <n v="17.07"/>
    <n v="76.05"/>
    <n v="5.01"/>
    <n v="17.14"/>
    <n v="2.19"/>
    <n v="11.13"/>
    <n v="164.88"/>
    <n v="14.97"/>
    <n v="366.19"/>
  </r>
  <r>
    <s v="EU"/>
    <m/>
    <b v="1"/>
    <x v="90"/>
    <x v="4"/>
    <b v="0"/>
    <n v="45.75"/>
    <n v="22.81"/>
    <n v="101.61"/>
    <n v="2.29"/>
    <n v="5.27"/>
    <n v="0.69"/>
    <n v="5.09"/>
    <n v="257.43"/>
    <n v="23.38"/>
    <n v="571.74"/>
  </r>
  <r>
    <s v="EU"/>
    <m/>
    <b v="1"/>
    <x v="90"/>
    <x v="5"/>
    <b v="0"/>
    <n v="5.25"/>
    <n v="2.62"/>
    <n v="11.66"/>
    <n v="0"/>
    <n v="0"/>
    <n v="-0.05"/>
    <n v="0"/>
    <n v="28.47"/>
    <n v="2.59"/>
    <n v="63.23"/>
  </r>
  <r>
    <s v="EU"/>
    <m/>
    <b v="1"/>
    <x v="90"/>
    <x v="6"/>
    <b v="0"/>
    <n v="1.38"/>
    <n v="0.69"/>
    <n v="3.06"/>
    <n v="-0.02"/>
    <n v="-1.43"/>
    <n v="-0.02"/>
    <n v="-0.04"/>
    <n v="7.15"/>
    <n v="0.65"/>
    <n v="15.88"/>
  </r>
  <r>
    <s v="EU"/>
    <m/>
    <b v="1"/>
    <x v="90"/>
    <x v="7"/>
    <b v="0"/>
    <n v="37.21"/>
    <n v="18.55"/>
    <n v="82.64"/>
    <n v="7.31"/>
    <n v="24.45"/>
    <n v="3.33"/>
    <n v="16.239999999999998"/>
    <n v="111.81"/>
    <n v="10.15"/>
    <n v="248.32"/>
  </r>
  <r>
    <s v="EU"/>
    <m/>
    <b v="1"/>
    <x v="90"/>
    <x v="8"/>
    <b v="1"/>
    <n v="200.56"/>
    <n v="100"/>
    <n v="445.43"/>
    <n v="4.13"/>
    <n v="2.1"/>
    <n v="0"/>
    <n v="9.17"/>
    <n v="1101.23"/>
    <n v="100"/>
    <n v="2445.77"/>
  </r>
  <r>
    <s v="EU"/>
    <m/>
    <b v="1"/>
    <x v="90"/>
    <x v="9"/>
    <b v="0"/>
    <n v="28.45"/>
    <n v="14.19"/>
    <n v="63.19"/>
    <n v="-3.19"/>
    <n v="-10.08"/>
    <n v="-1.92"/>
    <n v="-7.08"/>
    <n v="222.04"/>
    <n v="20.16"/>
    <n v="493.14"/>
  </r>
  <r>
    <s v="EU"/>
    <m/>
    <b v="1"/>
    <x v="91"/>
    <x v="0"/>
    <b v="0"/>
    <n v="7.59"/>
    <n v="3.82"/>
    <n v="16.86"/>
    <n v="0.28000000000000003"/>
    <n v="3.83"/>
    <n v="-0.02"/>
    <n v="0.62"/>
    <n v="53.77"/>
    <n v="4.1399999999999997"/>
    <n v="119.42"/>
  </r>
  <r>
    <s v="EU"/>
    <m/>
    <b v="1"/>
    <x v="91"/>
    <x v="1"/>
    <b v="0"/>
    <n v="17.28"/>
    <n v="8.69"/>
    <n v="38.380000000000003"/>
    <n v="-2.1800000000000002"/>
    <n v="-11.2"/>
    <n v="-1.53"/>
    <n v="-4.84"/>
    <n v="123.37"/>
    <n v="9.49"/>
    <n v="274"/>
  </r>
  <r>
    <s v="EU"/>
    <m/>
    <b v="1"/>
    <x v="91"/>
    <x v="2"/>
    <b v="0"/>
    <n v="25.23"/>
    <n v="12.69"/>
    <n v="56.03"/>
    <n v="-7.77"/>
    <n v="-23.55"/>
    <n v="-4.63"/>
    <n v="-17.260000000000002"/>
    <n v="182.41"/>
    <n v="14.03"/>
    <n v="405.12"/>
  </r>
  <r>
    <s v="EU"/>
    <m/>
    <b v="1"/>
    <x v="91"/>
    <x v="3"/>
    <b v="0"/>
    <n v="31.6"/>
    <n v="15.9"/>
    <n v="70.180000000000007"/>
    <n v="4.21"/>
    <n v="15.37"/>
    <n v="1.52"/>
    <n v="9.35"/>
    <n v="196.48"/>
    <n v="15.11"/>
    <n v="436.37"/>
  </r>
  <r>
    <s v="EU"/>
    <m/>
    <b v="1"/>
    <x v="91"/>
    <x v="4"/>
    <b v="0"/>
    <n v="45.55"/>
    <n v="22.91"/>
    <n v="101.16"/>
    <n v="2.6"/>
    <n v="6.05"/>
    <n v="0.36"/>
    <n v="5.77"/>
    <n v="302.98"/>
    <n v="23.31"/>
    <n v="672.9"/>
  </r>
  <r>
    <s v="EU"/>
    <m/>
    <b v="1"/>
    <x v="91"/>
    <x v="5"/>
    <b v="0"/>
    <n v="5.8"/>
    <n v="2.92"/>
    <n v="12.88"/>
    <n v="1.1599999999999999"/>
    <n v="25"/>
    <n v="0.48"/>
    <n v="2.58"/>
    <n v="34.270000000000003"/>
    <n v="2.64"/>
    <n v="76.11"/>
  </r>
  <r>
    <s v="EU"/>
    <m/>
    <b v="1"/>
    <x v="91"/>
    <x v="6"/>
    <b v="0"/>
    <n v="1.28"/>
    <n v="0.64"/>
    <n v="2.84"/>
    <n v="0.01"/>
    <n v="0.79"/>
    <n v="-0.03"/>
    <n v="0.02"/>
    <n v="8.43"/>
    <n v="0.65"/>
    <n v="18.72"/>
  </r>
  <r>
    <s v="EU"/>
    <m/>
    <b v="1"/>
    <x v="91"/>
    <x v="7"/>
    <b v="0"/>
    <n v="37.69"/>
    <n v="18.96"/>
    <n v="83.71"/>
    <n v="4.66"/>
    <n v="14.11"/>
    <n v="1.62"/>
    <n v="10.35"/>
    <n v="149.5"/>
    <n v="11.5"/>
    <n v="332.03"/>
  </r>
  <r>
    <s v="EU"/>
    <m/>
    <b v="1"/>
    <x v="91"/>
    <x v="8"/>
    <b v="1"/>
    <n v="198.78"/>
    <n v="100"/>
    <n v="441.48"/>
    <n v="8.2899999999999991"/>
    <n v="4.3499999999999996"/>
    <n v="0"/>
    <n v="18.41"/>
    <n v="1300.01"/>
    <n v="100"/>
    <n v="2887.25"/>
  </r>
  <r>
    <s v="EU"/>
    <m/>
    <b v="1"/>
    <x v="91"/>
    <x v="9"/>
    <b v="0"/>
    <n v="26.76"/>
    <n v="13.46"/>
    <n v="59.43"/>
    <n v="5.32"/>
    <n v="24.81"/>
    <n v="2.2000000000000002"/>
    <n v="11.82"/>
    <n v="248.8"/>
    <n v="19.14"/>
    <n v="552.57000000000005"/>
  </r>
  <r>
    <s v="EU"/>
    <m/>
    <b v="1"/>
    <x v="92"/>
    <x v="0"/>
    <b v="0"/>
    <n v="7.66"/>
    <n v="3.58"/>
    <n v="17.010000000000002"/>
    <n v="0.06"/>
    <n v="0.79"/>
    <n v="-0.17"/>
    <n v="0.13"/>
    <n v="61.43"/>
    <n v="4.0599999999999996"/>
    <n v="136.43"/>
  </r>
  <r>
    <s v="EU"/>
    <m/>
    <b v="1"/>
    <x v="92"/>
    <x v="1"/>
    <b v="0"/>
    <n v="18.18"/>
    <n v="8.49"/>
    <n v="40.380000000000003"/>
    <n v="-1.23"/>
    <n v="-6.34"/>
    <n v="-1.08"/>
    <n v="-2.73"/>
    <n v="141.55000000000001"/>
    <n v="9.35"/>
    <n v="314.37"/>
  </r>
  <r>
    <s v="EU"/>
    <m/>
    <b v="1"/>
    <x v="92"/>
    <x v="2"/>
    <b v="0"/>
    <n v="32.17"/>
    <n v="15.03"/>
    <n v="71.45"/>
    <n v="-4.1100000000000003"/>
    <n v="-11.33"/>
    <n v="-2.85"/>
    <n v="-9.1300000000000008"/>
    <n v="214.58"/>
    <n v="14.17"/>
    <n v="476.57"/>
  </r>
  <r>
    <s v="EU"/>
    <m/>
    <b v="1"/>
    <x v="92"/>
    <x v="3"/>
    <b v="0"/>
    <n v="29.48"/>
    <n v="13.77"/>
    <n v="65.47"/>
    <n v="6.9"/>
    <n v="30.56"/>
    <n v="2.64"/>
    <n v="15.32"/>
    <n v="225.96"/>
    <n v="14.92"/>
    <n v="501.84"/>
  </r>
  <r>
    <s v="EU"/>
    <m/>
    <b v="1"/>
    <x v="92"/>
    <x v="4"/>
    <b v="0"/>
    <n v="51.22"/>
    <n v="23.93"/>
    <n v="113.76"/>
    <n v="4.2"/>
    <n v="8.93"/>
    <n v="0.75"/>
    <n v="9.33"/>
    <n v="354.2"/>
    <n v="23.39"/>
    <n v="786.66"/>
  </r>
  <r>
    <s v="EU"/>
    <m/>
    <b v="1"/>
    <x v="92"/>
    <x v="5"/>
    <b v="0"/>
    <n v="6.1"/>
    <n v="2.85"/>
    <n v="13.55"/>
    <n v="0.79"/>
    <n v="14.88"/>
    <n v="0.23"/>
    <n v="1.75"/>
    <n v="40.369999999999997"/>
    <n v="2.67"/>
    <n v="89.66"/>
  </r>
  <r>
    <s v="EU"/>
    <m/>
    <b v="1"/>
    <x v="92"/>
    <x v="6"/>
    <b v="0"/>
    <n v="1.37"/>
    <n v="0.64"/>
    <n v="3.04"/>
    <n v="7.0000000000000007E-2"/>
    <n v="5.38"/>
    <n v="0"/>
    <n v="0.16"/>
    <n v="9.8000000000000007"/>
    <n v="0.65"/>
    <n v="21.77"/>
  </r>
  <r>
    <s v="EU"/>
    <m/>
    <b v="1"/>
    <x v="92"/>
    <x v="7"/>
    <b v="0"/>
    <n v="41.3"/>
    <n v="19.3"/>
    <n v="91.72"/>
    <n v="8.6199999999999992"/>
    <n v="26.38"/>
    <n v="3.19"/>
    <n v="19.14"/>
    <n v="190.8"/>
    <n v="12.6"/>
    <n v="423.76"/>
  </r>
  <r>
    <s v="EU"/>
    <m/>
    <b v="1"/>
    <x v="92"/>
    <x v="8"/>
    <b v="1"/>
    <n v="214.02"/>
    <n v="100"/>
    <n v="475.33"/>
    <n v="11.14"/>
    <n v="5.49"/>
    <n v="0"/>
    <n v="24.74"/>
    <n v="1514.03"/>
    <n v="100"/>
    <n v="3362.57"/>
  </r>
  <r>
    <s v="EU"/>
    <m/>
    <b v="1"/>
    <x v="92"/>
    <x v="9"/>
    <b v="0"/>
    <n v="26.54"/>
    <n v="12.4"/>
    <n v="58.94"/>
    <n v="-4.16"/>
    <n v="-13.55"/>
    <n v="-2.73"/>
    <n v="-9.24"/>
    <n v="275.33999999999997"/>
    <n v="18.190000000000001"/>
    <n v="611.51"/>
  </r>
  <r>
    <s v="EU"/>
    <m/>
    <b v="1"/>
    <x v="93"/>
    <x v="0"/>
    <b v="0"/>
    <n v="7.6"/>
    <n v="3.68"/>
    <n v="16.88"/>
    <n v="-0.3"/>
    <n v="-3.8"/>
    <n v="-0.31"/>
    <n v="-0.67"/>
    <n v="69.03"/>
    <n v="4.01"/>
    <n v="153.31"/>
  </r>
  <r>
    <s v="EU"/>
    <m/>
    <b v="1"/>
    <x v="93"/>
    <x v="1"/>
    <b v="0"/>
    <n v="18.79"/>
    <n v="9.1"/>
    <n v="41.73"/>
    <n v="-2.82"/>
    <n v="-13.05"/>
    <n v="-1.83"/>
    <n v="-6.26"/>
    <n v="160.34"/>
    <n v="9.32"/>
    <n v="356.11"/>
  </r>
  <r>
    <s v="EU"/>
    <m/>
    <b v="1"/>
    <x v="93"/>
    <x v="2"/>
    <b v="0"/>
    <n v="32.130000000000003"/>
    <n v="15.56"/>
    <n v="71.36"/>
    <n v="-2.2200000000000002"/>
    <n v="-6.46"/>
    <n v="-1.81"/>
    <n v="-4.93"/>
    <n v="246.71"/>
    <n v="14.34"/>
    <n v="547.92999999999995"/>
  </r>
  <r>
    <s v="EU"/>
    <m/>
    <b v="1"/>
    <x v="93"/>
    <x v="3"/>
    <b v="0"/>
    <n v="22.85"/>
    <n v="11.07"/>
    <n v="50.75"/>
    <n v="-1.76"/>
    <n v="-7.15"/>
    <n v="-1.38"/>
    <n v="-3.91"/>
    <n v="248.81"/>
    <n v="14.46"/>
    <n v="552.59"/>
  </r>
  <r>
    <s v="EU"/>
    <m/>
    <b v="1"/>
    <x v="93"/>
    <x v="4"/>
    <b v="0"/>
    <n v="51.59"/>
    <n v="24.99"/>
    <n v="114.58"/>
    <n v="5.59"/>
    <n v="12.15"/>
    <n v="1.73"/>
    <n v="12.42"/>
    <n v="405.79"/>
    <n v="23.59"/>
    <n v="901.24"/>
  </r>
  <r>
    <s v="EU"/>
    <m/>
    <b v="1"/>
    <x v="93"/>
    <x v="5"/>
    <b v="0"/>
    <n v="5.93"/>
    <n v="2.87"/>
    <n v="13.17"/>
    <n v="0.34"/>
    <n v="6.08"/>
    <n v="0.04"/>
    <n v="0.76"/>
    <n v="46.3"/>
    <n v="2.69"/>
    <n v="102.83"/>
  </r>
  <r>
    <s v="EU"/>
    <m/>
    <b v="1"/>
    <x v="93"/>
    <x v="6"/>
    <b v="0"/>
    <n v="1.36"/>
    <n v="0.66"/>
    <n v="3.02"/>
    <n v="7.0000000000000007E-2"/>
    <n v="5.43"/>
    <n v="0.01"/>
    <n v="0.16"/>
    <n v="11.16"/>
    <n v="0.65"/>
    <n v="24.79"/>
  </r>
  <r>
    <s v="EU"/>
    <m/>
    <b v="1"/>
    <x v="93"/>
    <x v="7"/>
    <b v="0"/>
    <n v="39.29"/>
    <n v="19.03"/>
    <n v="87.26"/>
    <n v="9.86"/>
    <n v="33.5"/>
    <n v="4.1500000000000004"/>
    <n v="21.9"/>
    <n v="230.09"/>
    <n v="13.37"/>
    <n v="511.02"/>
  </r>
  <r>
    <s v="EU"/>
    <m/>
    <b v="1"/>
    <x v="93"/>
    <x v="8"/>
    <b v="1"/>
    <n v="206.48"/>
    <n v="100"/>
    <n v="458.58"/>
    <n v="8.73"/>
    <n v="4.41"/>
    <n v="0"/>
    <n v="19.39"/>
    <n v="1720.51"/>
    <n v="100"/>
    <n v="3821.15"/>
  </r>
  <r>
    <s v="EU"/>
    <m/>
    <b v="1"/>
    <x v="93"/>
    <x v="9"/>
    <b v="0"/>
    <n v="26.94"/>
    <n v="13.05"/>
    <n v="59.83"/>
    <n v="-0.03"/>
    <n v="-0.11"/>
    <n v="-0.59"/>
    <n v="-7.0000000000000007E-2"/>
    <n v="302.27999999999997"/>
    <n v="17.57"/>
    <n v="671.35"/>
  </r>
  <r>
    <s v="EU"/>
    <m/>
    <b v="1"/>
    <x v="94"/>
    <x v="0"/>
    <b v="0"/>
    <n v="7.67"/>
    <n v="3.84"/>
    <n v="17.03"/>
    <n v="-0.12"/>
    <n v="-1.54"/>
    <n v="-0.21"/>
    <n v="-0.27"/>
    <n v="76.7"/>
    <n v="3.99"/>
    <n v="170.35"/>
  </r>
  <r>
    <s v="EU"/>
    <m/>
    <b v="1"/>
    <x v="94"/>
    <x v="1"/>
    <b v="0"/>
    <n v="18.649999999999999"/>
    <n v="9.33"/>
    <n v="41.42"/>
    <n v="-4.8600000000000003"/>
    <n v="-20.67"/>
    <n v="-2.88"/>
    <n v="-10.79"/>
    <n v="178.99"/>
    <n v="9.32"/>
    <n v="397.53"/>
  </r>
  <r>
    <s v="EU"/>
    <m/>
    <b v="1"/>
    <x v="94"/>
    <x v="2"/>
    <b v="0"/>
    <n v="29.84"/>
    <n v="14.92"/>
    <n v="66.27"/>
    <n v="-4.17"/>
    <n v="-12.26"/>
    <n v="-2.75"/>
    <n v="-9.26"/>
    <n v="276.55"/>
    <n v="14.4"/>
    <n v="614.20000000000005"/>
  </r>
  <r>
    <s v="EU"/>
    <m/>
    <b v="1"/>
    <x v="94"/>
    <x v="3"/>
    <b v="0"/>
    <n v="23.43"/>
    <n v="11.72"/>
    <n v="52.04"/>
    <n v="2.73"/>
    <n v="13.19"/>
    <n v="0.97"/>
    <n v="6.06"/>
    <n v="272.24"/>
    <n v="14.18"/>
    <n v="604.63"/>
  </r>
  <r>
    <s v="EU"/>
    <m/>
    <b v="1"/>
    <x v="94"/>
    <x v="4"/>
    <b v="0"/>
    <n v="48.19"/>
    <n v="24.1"/>
    <n v="107.03"/>
    <n v="1.45"/>
    <n v="3.1"/>
    <n v="-0.18"/>
    <n v="3.22"/>
    <n v="453.98"/>
    <n v="23.64"/>
    <n v="1008.26"/>
  </r>
  <r>
    <s v="EU"/>
    <m/>
    <b v="1"/>
    <x v="94"/>
    <x v="5"/>
    <b v="0"/>
    <n v="5.57"/>
    <n v="2.79"/>
    <n v="12.37"/>
    <n v="0.36"/>
    <n v="6.91"/>
    <n v="0.08"/>
    <n v="0.8"/>
    <n v="51.87"/>
    <n v="2.7"/>
    <n v="115.2"/>
  </r>
  <r>
    <s v="EU"/>
    <m/>
    <b v="1"/>
    <x v="94"/>
    <x v="6"/>
    <b v="0"/>
    <n v="1.33"/>
    <n v="0.67"/>
    <n v="2.95"/>
    <n v="-0.01"/>
    <n v="-0.75"/>
    <n v="-0.03"/>
    <n v="-0.02"/>
    <n v="12.49"/>
    <n v="0.65"/>
    <n v="27.74"/>
  </r>
  <r>
    <s v="EU"/>
    <m/>
    <b v="1"/>
    <x v="94"/>
    <x v="7"/>
    <b v="0"/>
    <n v="28.81"/>
    <n v="14.41"/>
    <n v="63.99"/>
    <n v="2.57"/>
    <n v="9.7899999999999991"/>
    <n v="0.78"/>
    <n v="5.71"/>
    <n v="258.89999999999998"/>
    <n v="13.48"/>
    <n v="575"/>
  </r>
  <r>
    <s v="EU"/>
    <m/>
    <b v="1"/>
    <x v="94"/>
    <x v="8"/>
    <b v="1"/>
    <n v="199.99"/>
    <n v="100"/>
    <n v="444.17"/>
    <n v="7.52"/>
    <n v="3.91"/>
    <n v="0"/>
    <n v="16.7"/>
    <n v="1920.5"/>
    <n v="100"/>
    <n v="4265.32"/>
  </r>
  <r>
    <s v="EU"/>
    <m/>
    <b v="1"/>
    <x v="94"/>
    <x v="9"/>
    <b v="0"/>
    <n v="36.5"/>
    <n v="18.25"/>
    <n v="81.06"/>
    <n v="9.57"/>
    <n v="35.54"/>
    <n v="4.26"/>
    <n v="21.25"/>
    <n v="338.78"/>
    <n v="17.64"/>
    <n v="752.41"/>
  </r>
  <r>
    <s v="EU"/>
    <m/>
    <b v="1"/>
    <x v="95"/>
    <x v="0"/>
    <b v="0"/>
    <n v="8.44"/>
    <n v="4.01"/>
    <n v="18.739999999999998"/>
    <n v="0.09"/>
    <n v="1.08"/>
    <n v="-0.04"/>
    <n v="0.2"/>
    <n v="85.14"/>
    <n v="4"/>
    <n v="189.09"/>
  </r>
  <r>
    <s v="EU"/>
    <m/>
    <b v="1"/>
    <x v="95"/>
    <x v="1"/>
    <b v="0"/>
    <n v="23.48"/>
    <n v="11.15"/>
    <n v="52.15"/>
    <n v="-2.0499999999999998"/>
    <n v="-8.0299999999999994"/>
    <n v="-1.23"/>
    <n v="-4.55"/>
    <n v="202.47"/>
    <n v="9.5"/>
    <n v="449.67"/>
  </r>
  <r>
    <s v="EU"/>
    <m/>
    <b v="1"/>
    <x v="95"/>
    <x v="2"/>
    <b v="0"/>
    <n v="30.59"/>
    <n v="14.53"/>
    <n v="67.94"/>
    <n v="-2.2200000000000002"/>
    <n v="-6.77"/>
    <n v="-1.39"/>
    <n v="-4.93"/>
    <n v="307.14"/>
    <n v="14.41"/>
    <n v="682.14"/>
  </r>
  <r>
    <s v="EU"/>
    <m/>
    <b v="1"/>
    <x v="95"/>
    <x v="3"/>
    <b v="0"/>
    <n v="30.33"/>
    <n v="14.41"/>
    <n v="67.36"/>
    <n v="7.76"/>
    <n v="34.380000000000003"/>
    <n v="3.46"/>
    <n v="17.23"/>
    <n v="302.57"/>
    <n v="14.2"/>
    <n v="671.99"/>
  </r>
  <r>
    <s v="EU"/>
    <m/>
    <b v="1"/>
    <x v="95"/>
    <x v="4"/>
    <b v="0"/>
    <n v="51.31"/>
    <n v="24.37"/>
    <n v="113.96"/>
    <n v="1.88"/>
    <n v="3.8"/>
    <n v="0.39"/>
    <n v="4.18"/>
    <n v="505.29"/>
    <n v="23.71"/>
    <n v="1122.22"/>
  </r>
  <r>
    <s v="EU"/>
    <m/>
    <b v="1"/>
    <x v="95"/>
    <x v="5"/>
    <b v="0"/>
    <n v="5.94"/>
    <n v="2.82"/>
    <n v="13.19"/>
    <n v="0.51"/>
    <n v="9.39"/>
    <n v="0.19"/>
    <n v="1.1299999999999999"/>
    <n v="57.81"/>
    <n v="2.71"/>
    <n v="128.38999999999999"/>
  </r>
  <r>
    <s v="EU"/>
    <m/>
    <b v="1"/>
    <x v="95"/>
    <x v="6"/>
    <b v="0"/>
    <n v="1.43"/>
    <n v="0.68"/>
    <n v="3.18"/>
    <n v="0"/>
    <n v="0"/>
    <n v="-0.01"/>
    <n v="0"/>
    <n v="13.92"/>
    <n v="0.65"/>
    <n v="30.92"/>
  </r>
  <r>
    <s v="EU"/>
    <m/>
    <b v="1"/>
    <x v="95"/>
    <x v="7"/>
    <b v="0"/>
    <n v="19.48"/>
    <n v="9.25"/>
    <n v="43.26"/>
    <n v="2.87"/>
    <n v="17.28"/>
    <n v="1.19"/>
    <n v="6.37"/>
    <n v="278.38"/>
    <n v="13.06"/>
    <n v="618.27"/>
  </r>
  <r>
    <s v="EU"/>
    <m/>
    <b v="1"/>
    <x v="95"/>
    <x v="8"/>
    <b v="1"/>
    <n v="210.54"/>
    <n v="100"/>
    <n v="467.6"/>
    <n v="4.3899999999999997"/>
    <n v="2.13"/>
    <n v="0"/>
    <n v="9.75"/>
    <n v="2131.04"/>
    <n v="100"/>
    <n v="4732.92"/>
  </r>
  <r>
    <s v="EU"/>
    <m/>
    <b v="1"/>
    <x v="95"/>
    <x v="9"/>
    <b v="0"/>
    <n v="39.54"/>
    <n v="18.78"/>
    <n v="87.82"/>
    <n v="-4.45"/>
    <n v="-10.119999999999999"/>
    <n v="-2.56"/>
    <n v="-9.8800000000000008"/>
    <n v="378.32"/>
    <n v="17.75"/>
    <n v="840.23"/>
  </r>
  <r>
    <s v="EU"/>
    <m/>
    <b v="1"/>
    <x v="96"/>
    <x v="0"/>
    <b v="0"/>
    <n v="9.26"/>
    <n v="4.1500000000000004"/>
    <n v="20.57"/>
    <n v="7.0000000000000007E-2"/>
    <n v="0.76"/>
    <n v="-0.02"/>
    <n v="0.16"/>
    <n v="94.4"/>
    <n v="4.01"/>
    <n v="209.66"/>
  </r>
  <r>
    <s v="EU"/>
    <m/>
    <b v="1"/>
    <x v="96"/>
    <x v="1"/>
    <b v="0"/>
    <n v="27.75"/>
    <n v="12.43"/>
    <n v="61.63"/>
    <n v="-0.56999999999999995"/>
    <n v="-2.0099999999999998"/>
    <n v="-0.41"/>
    <n v="-1.27"/>
    <n v="230.22"/>
    <n v="9.7799999999999994"/>
    <n v="511.31"/>
  </r>
  <r>
    <s v="EU"/>
    <m/>
    <b v="1"/>
    <x v="96"/>
    <x v="2"/>
    <b v="0"/>
    <n v="45.78"/>
    <n v="20.5"/>
    <n v="101.67"/>
    <n v="13.01"/>
    <n v="39.700000000000003"/>
    <n v="5.64"/>
    <n v="28.89"/>
    <n v="352.92"/>
    <n v="14.99"/>
    <n v="783.81"/>
  </r>
  <r>
    <s v="EU"/>
    <m/>
    <b v="1"/>
    <x v="96"/>
    <x v="3"/>
    <b v="0"/>
    <n v="23.89"/>
    <n v="10.7"/>
    <n v="53.06"/>
    <n v="-8.61"/>
    <n v="-26.49"/>
    <n v="-4.04"/>
    <n v="-19.12"/>
    <n v="326.45999999999998"/>
    <n v="13.87"/>
    <n v="725.05"/>
  </r>
  <r>
    <s v="EU"/>
    <m/>
    <b v="1"/>
    <x v="96"/>
    <x v="4"/>
    <b v="0"/>
    <n v="53.24"/>
    <n v="23.84"/>
    <n v="118.24"/>
    <n v="3.44"/>
    <n v="6.91"/>
    <n v="1.26"/>
    <n v="7.64"/>
    <n v="558.53"/>
    <n v="23.72"/>
    <n v="1240.46"/>
  </r>
  <r>
    <s v="EU"/>
    <m/>
    <b v="1"/>
    <x v="96"/>
    <x v="5"/>
    <b v="0"/>
    <n v="6.31"/>
    <n v="2.83"/>
    <n v="14.01"/>
    <n v="0.49"/>
    <n v="8.42"/>
    <n v="0.19"/>
    <n v="1.0900000000000001"/>
    <n v="64.12"/>
    <n v="2.72"/>
    <n v="142.41"/>
  </r>
  <r>
    <s v="EU"/>
    <m/>
    <b v="1"/>
    <x v="96"/>
    <x v="6"/>
    <b v="0"/>
    <n v="1.42"/>
    <n v="0.64"/>
    <n v="3.15"/>
    <n v="-0.04"/>
    <n v="-2.74"/>
    <n v="-0.02"/>
    <n v="-0.09"/>
    <n v="15.34"/>
    <n v="0.65"/>
    <n v="34.07"/>
  </r>
  <r>
    <s v="EU"/>
    <m/>
    <b v="1"/>
    <x v="96"/>
    <x v="7"/>
    <b v="0"/>
    <n v="12.32"/>
    <n v="5.52"/>
    <n v="27.36"/>
    <n v="2.54"/>
    <n v="25.97"/>
    <n v="1.0900000000000001"/>
    <n v="5.64"/>
    <n v="290.7"/>
    <n v="12.35"/>
    <n v="645.63"/>
  </r>
  <r>
    <s v="EU"/>
    <m/>
    <b v="1"/>
    <x v="96"/>
    <x v="8"/>
    <b v="1"/>
    <n v="223.3"/>
    <n v="100"/>
    <n v="495.94"/>
    <n v="2.78"/>
    <n v="1.26"/>
    <n v="0"/>
    <n v="6.17"/>
    <n v="2354.34"/>
    <n v="100"/>
    <n v="5228.8500000000004"/>
  </r>
  <r>
    <s v="EU"/>
    <m/>
    <b v="1"/>
    <x v="96"/>
    <x v="9"/>
    <b v="0"/>
    <n v="43.33"/>
    <n v="19.399999999999999"/>
    <n v="96.23"/>
    <n v="-7.55"/>
    <n v="-14.84"/>
    <n v="-3.67"/>
    <n v="-16.77"/>
    <n v="421.65"/>
    <n v="17.91"/>
    <n v="936.46"/>
  </r>
  <r>
    <s v="EU"/>
    <m/>
    <b v="1"/>
    <x v="97"/>
    <x v="0"/>
    <b v="0"/>
    <n v="9.84"/>
    <n v="4.13"/>
    <n v="21.85"/>
    <n v="-0.09"/>
    <n v="-0.91"/>
    <n v="-0.1"/>
    <n v="-0.2"/>
    <n v="104.24"/>
    <n v="4.0199999999999996"/>
    <n v="231.51"/>
  </r>
  <r>
    <s v="EU"/>
    <m/>
    <b v="1"/>
    <x v="97"/>
    <x v="1"/>
    <b v="0"/>
    <n v="26.39"/>
    <n v="11.08"/>
    <n v="58.61"/>
    <n v="-1.79"/>
    <n v="-6.35"/>
    <n v="-0.91"/>
    <n v="-3.98"/>
    <n v="256.61"/>
    <n v="9.9"/>
    <n v="569.91999999999996"/>
  </r>
  <r>
    <s v="EU"/>
    <m/>
    <b v="1"/>
    <x v="97"/>
    <x v="2"/>
    <b v="0"/>
    <n v="44.95"/>
    <n v="18.87"/>
    <n v="99.83"/>
    <n v="7.54"/>
    <n v="20.16"/>
    <n v="2.95"/>
    <n v="16.75"/>
    <n v="397.87"/>
    <n v="15.35"/>
    <n v="883.65"/>
  </r>
  <r>
    <s v="EU"/>
    <m/>
    <b v="1"/>
    <x v="97"/>
    <x v="3"/>
    <b v="0"/>
    <n v="24.57"/>
    <n v="10.31"/>
    <n v="54.57"/>
    <n v="-9.24"/>
    <n v="-27.33"/>
    <n v="-4.08"/>
    <n v="-20.52"/>
    <n v="351.03"/>
    <n v="13.54"/>
    <n v="779.62"/>
  </r>
  <r>
    <s v="EU"/>
    <m/>
    <b v="1"/>
    <x v="97"/>
    <x v="4"/>
    <b v="0"/>
    <n v="59.96"/>
    <n v="25.16"/>
    <n v="133.16999999999999"/>
    <n v="3.58"/>
    <n v="6.35"/>
    <n v="1.17"/>
    <n v="7.95"/>
    <n v="618.49"/>
    <n v="23.86"/>
    <n v="1373.63"/>
  </r>
  <r>
    <s v="EU"/>
    <m/>
    <b v="1"/>
    <x v="97"/>
    <x v="5"/>
    <b v="0"/>
    <n v="6.41"/>
    <n v="2.69"/>
    <n v="14.24"/>
    <n v="0.34"/>
    <n v="5.6"/>
    <n v="0.11"/>
    <n v="0.76"/>
    <n v="70.53"/>
    <n v="2.72"/>
    <n v="156.63999999999999"/>
  </r>
  <r>
    <s v="EU"/>
    <m/>
    <b v="1"/>
    <x v="97"/>
    <x v="6"/>
    <b v="0"/>
    <n v="1.48"/>
    <n v="0.62"/>
    <n v="3.29"/>
    <n v="0.05"/>
    <n v="3.5"/>
    <n v="0.01"/>
    <n v="0.11"/>
    <n v="16.82"/>
    <n v="0.65"/>
    <n v="37.36"/>
  </r>
  <r>
    <s v="EU"/>
    <m/>
    <b v="1"/>
    <x v="97"/>
    <x v="7"/>
    <b v="0"/>
    <n v="10.1"/>
    <n v="4.24"/>
    <n v="22.43"/>
    <n v="2.65"/>
    <n v="35.57"/>
    <n v="1.07"/>
    <n v="5.89"/>
    <n v="300.8"/>
    <n v="11.6"/>
    <n v="668.06"/>
  </r>
  <r>
    <s v="EU"/>
    <m/>
    <b v="1"/>
    <x v="97"/>
    <x v="8"/>
    <b v="1"/>
    <n v="238.27"/>
    <n v="100"/>
    <n v="529.17999999999995"/>
    <n v="3.28"/>
    <n v="1.4"/>
    <n v="0"/>
    <n v="7.28"/>
    <n v="2592.61"/>
    <n v="100"/>
    <n v="5758.04"/>
  </r>
  <r>
    <s v="EU"/>
    <m/>
    <b v="1"/>
    <x v="97"/>
    <x v="9"/>
    <b v="0"/>
    <n v="54.57"/>
    <n v="22.9"/>
    <n v="121.2"/>
    <n v="0.24"/>
    <n v="0.44"/>
    <n v="-0.22"/>
    <n v="0.53"/>
    <n v="476.22"/>
    <n v="18.37"/>
    <n v="1057.6600000000001"/>
  </r>
  <r>
    <s v="EU"/>
    <m/>
    <b v="1"/>
    <x v="98"/>
    <x v="0"/>
    <b v="0"/>
    <n v="10"/>
    <n v="3.98"/>
    <n v="22.27"/>
    <n v="0"/>
    <n v="0"/>
    <n v="0"/>
    <n v="0"/>
    <n v="10"/>
    <n v="3.98"/>
    <n v="22.27"/>
  </r>
  <r>
    <s v="EU"/>
    <m/>
    <b v="1"/>
    <x v="98"/>
    <x v="1"/>
    <b v="0"/>
    <n v="28.36"/>
    <n v="11.28"/>
    <n v="63.16"/>
    <n v="1.1599999999999999"/>
    <n v="4.26"/>
    <n v="0.46"/>
    <n v="2.58"/>
    <n v="28.36"/>
    <n v="11.28"/>
    <n v="63.16"/>
  </r>
  <r>
    <s v="EU"/>
    <m/>
    <b v="1"/>
    <x v="98"/>
    <x v="2"/>
    <b v="0"/>
    <n v="47.6"/>
    <n v="18.940000000000001"/>
    <n v="106.02"/>
    <n v="3.74"/>
    <n v="8.5299999999999994"/>
    <n v="1.49"/>
    <n v="8.33"/>
    <n v="47.6"/>
    <n v="18.940000000000001"/>
    <n v="106.02"/>
  </r>
  <r>
    <s v="EU"/>
    <m/>
    <b v="1"/>
    <x v="98"/>
    <x v="3"/>
    <b v="0"/>
    <n v="29.26"/>
    <n v="11.64"/>
    <n v="65.17"/>
    <n v="-4.8499999999999996"/>
    <n v="-14.22"/>
    <n v="-1.93"/>
    <n v="-10.8"/>
    <n v="29.26"/>
    <n v="11.64"/>
    <n v="65.17"/>
  </r>
  <r>
    <s v="EU"/>
    <m/>
    <b v="1"/>
    <x v="98"/>
    <x v="4"/>
    <b v="0"/>
    <n v="63.2"/>
    <n v="25.14"/>
    <n v="140.76"/>
    <n v="2"/>
    <n v="3.27"/>
    <n v="0.78"/>
    <n v="4.45"/>
    <n v="63.2"/>
    <n v="25.14"/>
    <n v="140.76"/>
  </r>
  <r>
    <s v="EU"/>
    <m/>
    <b v="1"/>
    <x v="98"/>
    <x v="5"/>
    <b v="0"/>
    <n v="6.2"/>
    <n v="2.4700000000000002"/>
    <n v="13.81"/>
    <n v="-0.33"/>
    <n v="-5.05"/>
    <n v="-0.13"/>
    <n v="-0.73"/>
    <n v="6.2"/>
    <n v="2.4700000000000002"/>
    <n v="13.81"/>
  </r>
  <r>
    <s v="EU"/>
    <m/>
    <b v="1"/>
    <x v="98"/>
    <x v="6"/>
    <b v="0"/>
    <n v="1.51"/>
    <n v="0.6"/>
    <n v="3.36"/>
    <n v="-0.08"/>
    <n v="-5.03"/>
    <n v="-0.03"/>
    <n v="-0.18"/>
    <n v="1.51"/>
    <n v="0.6"/>
    <n v="3.36"/>
  </r>
  <r>
    <s v="EU"/>
    <m/>
    <b v="1"/>
    <x v="98"/>
    <x v="7"/>
    <b v="0"/>
    <n v="11.66"/>
    <n v="4.6399999999999997"/>
    <n v="25.97"/>
    <n v="1.68"/>
    <n v="16.829999999999998"/>
    <n v="0.67"/>
    <n v="3.74"/>
    <n v="11.66"/>
    <n v="4.6399999999999997"/>
    <n v="25.97"/>
  </r>
  <r>
    <s v="EU"/>
    <m/>
    <b v="1"/>
    <x v="98"/>
    <x v="8"/>
    <b v="1"/>
    <n v="251.36"/>
    <n v="100"/>
    <n v="559.83000000000004"/>
    <n v="0.08"/>
    <n v="0.03"/>
    <n v="0"/>
    <n v="0.18"/>
    <n v="251.36"/>
    <n v="100"/>
    <n v="559.83000000000004"/>
  </r>
  <r>
    <s v="EU"/>
    <m/>
    <b v="1"/>
    <x v="98"/>
    <x v="9"/>
    <b v="0"/>
    <n v="53.57"/>
    <n v="21.31"/>
    <n v="119.31"/>
    <n v="-3.24"/>
    <n v="-5.7"/>
    <n v="-1.3"/>
    <n v="-7.22"/>
    <n v="53.57"/>
    <n v="21.31"/>
    <n v="119.31"/>
  </r>
  <r>
    <s v="EU"/>
    <m/>
    <b v="1"/>
    <x v="99"/>
    <x v="0"/>
    <b v="0"/>
    <n v="9.27"/>
    <n v="4.1100000000000003"/>
    <n v="20.65"/>
    <n v="0.02"/>
    <n v="0.22"/>
    <n v="-0.06"/>
    <n v="0.04"/>
    <n v="19.27"/>
    <n v="4.04"/>
    <n v="42.92"/>
  </r>
  <r>
    <s v="EU"/>
    <m/>
    <b v="1"/>
    <x v="99"/>
    <x v="1"/>
    <b v="0"/>
    <n v="28.96"/>
    <n v="12.84"/>
    <n v="64.5"/>
    <n v="6.34"/>
    <n v="28.03"/>
    <n v="2.64"/>
    <n v="14.12"/>
    <n v="57.32"/>
    <n v="12.02"/>
    <n v="127.66"/>
  </r>
  <r>
    <s v="EU"/>
    <m/>
    <b v="1"/>
    <x v="99"/>
    <x v="2"/>
    <b v="0"/>
    <n v="45.36"/>
    <n v="20.12"/>
    <n v="101.03"/>
    <n v="12.27"/>
    <n v="37.08"/>
    <n v="5.19"/>
    <n v="27.33"/>
    <n v="92.96"/>
    <n v="19.5"/>
    <n v="207.04"/>
  </r>
  <r>
    <s v="EU"/>
    <m/>
    <b v="1"/>
    <x v="99"/>
    <x v="3"/>
    <b v="0"/>
    <n v="27.6"/>
    <n v="12.24"/>
    <n v="61.47"/>
    <n v="-1.53"/>
    <n v="-5.25"/>
    <n v="-0.9"/>
    <n v="-3.41"/>
    <n v="56.86"/>
    <n v="11.92"/>
    <n v="126.64"/>
  </r>
  <r>
    <s v="EU"/>
    <m/>
    <b v="1"/>
    <x v="99"/>
    <x v="4"/>
    <b v="0"/>
    <n v="54.53"/>
    <n v="24.18"/>
    <n v="121.45"/>
    <n v="0.64"/>
    <n v="1.19"/>
    <n v="-0.13"/>
    <n v="1.43"/>
    <n v="117.73"/>
    <n v="24.69"/>
    <n v="262.20999999999998"/>
  </r>
  <r>
    <s v="EU"/>
    <m/>
    <b v="1"/>
    <x v="99"/>
    <x v="5"/>
    <b v="0"/>
    <n v="5.92"/>
    <n v="2.63"/>
    <n v="13.19"/>
    <n v="0.23"/>
    <n v="4.04"/>
    <n v="0.06"/>
    <n v="0.51"/>
    <n v="12.12"/>
    <n v="2.54"/>
    <n v="26.99"/>
  </r>
  <r>
    <s v="EU"/>
    <m/>
    <b v="1"/>
    <x v="99"/>
    <x v="6"/>
    <b v="0"/>
    <n v="1.36"/>
    <n v="0.6"/>
    <n v="3.03"/>
    <n v="-0.08"/>
    <n v="-5.56"/>
    <n v="-0.05"/>
    <n v="-0.18"/>
    <n v="2.87"/>
    <n v="0.6"/>
    <n v="6.39"/>
  </r>
  <r>
    <s v="EU"/>
    <m/>
    <b v="1"/>
    <x v="99"/>
    <x v="7"/>
    <b v="0"/>
    <n v="17.78"/>
    <n v="7.89"/>
    <n v="39.6"/>
    <n v="4.68"/>
    <n v="35.729999999999997"/>
    <n v="1.98"/>
    <n v="10.42"/>
    <n v="29.44"/>
    <n v="6.17"/>
    <n v="65.569999999999993"/>
  </r>
  <r>
    <s v="EU"/>
    <m/>
    <b v="1"/>
    <x v="99"/>
    <x v="8"/>
    <b v="1"/>
    <n v="225.48"/>
    <n v="100"/>
    <n v="502.19"/>
    <n v="3.78"/>
    <n v="1.71"/>
    <n v="0"/>
    <n v="8.42"/>
    <n v="476.84"/>
    <n v="100"/>
    <n v="1062.02"/>
  </r>
  <r>
    <s v="EU"/>
    <m/>
    <b v="1"/>
    <x v="99"/>
    <x v="9"/>
    <b v="0"/>
    <n v="34.700000000000003"/>
    <n v="15.39"/>
    <n v="77.28"/>
    <n v="-18.79"/>
    <n v="-35.130000000000003"/>
    <n v="-8.74"/>
    <n v="-41.85"/>
    <n v="88.27"/>
    <n v="18.510000000000002"/>
    <n v="196.6"/>
  </r>
  <r>
    <s v="EU"/>
    <m/>
    <b v="1"/>
    <x v="100"/>
    <x v="0"/>
    <b v="0"/>
    <n v="9.65"/>
    <n v="4.21"/>
    <n v="21.49"/>
    <n v="-0.13"/>
    <n v="-1.33"/>
    <n v="-0.18"/>
    <n v="-0.28999999999999998"/>
    <n v="28.92"/>
    <n v="4.0999999999999996"/>
    <n v="64.41"/>
  </r>
  <r>
    <s v="EU"/>
    <m/>
    <b v="1"/>
    <x v="100"/>
    <x v="1"/>
    <b v="0"/>
    <n v="24.51"/>
    <n v="10.7"/>
    <n v="54.59"/>
    <n v="1.89"/>
    <n v="8.36"/>
    <n v="0.54"/>
    <n v="4.21"/>
    <n v="81.83"/>
    <n v="11.59"/>
    <n v="182.25"/>
  </r>
  <r>
    <s v="EU"/>
    <m/>
    <b v="1"/>
    <x v="100"/>
    <x v="2"/>
    <b v="0"/>
    <n v="36.729999999999997"/>
    <n v="16.03"/>
    <n v="81.81"/>
    <n v="4.16"/>
    <n v="12.77"/>
    <n v="1.4"/>
    <n v="9.27"/>
    <n v="129.69"/>
    <n v="18.37"/>
    <n v="288.85000000000002"/>
  </r>
  <r>
    <s v="EU"/>
    <m/>
    <b v="1"/>
    <x v="100"/>
    <x v="3"/>
    <b v="0"/>
    <n v="26.45"/>
    <n v="11.55"/>
    <n v="58.91"/>
    <n v="-8.49"/>
    <n v="-24.3"/>
    <n v="-4.1399999999999997"/>
    <n v="-18.91"/>
    <n v="83.31"/>
    <n v="11.8"/>
    <n v="185.55"/>
  </r>
  <r>
    <s v="EU"/>
    <m/>
    <b v="1"/>
    <x v="100"/>
    <x v="4"/>
    <b v="0"/>
    <n v="54.85"/>
    <n v="23.94"/>
    <n v="122.16"/>
    <n v="3.55"/>
    <n v="6.92"/>
    <n v="0.9"/>
    <n v="7.91"/>
    <n v="172.58"/>
    <n v="24.45"/>
    <n v="384.37"/>
  </r>
  <r>
    <s v="EU"/>
    <m/>
    <b v="1"/>
    <x v="100"/>
    <x v="5"/>
    <b v="0"/>
    <n v="5.77"/>
    <n v="2.52"/>
    <n v="12.85"/>
    <n v="0.1"/>
    <n v="1.76"/>
    <n v="-0.03"/>
    <n v="0.22"/>
    <n v="17.89"/>
    <n v="2.5299999999999998"/>
    <n v="39.840000000000003"/>
  </r>
  <r>
    <s v="EU"/>
    <m/>
    <b v="1"/>
    <x v="100"/>
    <x v="6"/>
    <b v="0"/>
    <n v="1.45"/>
    <n v="0.63"/>
    <n v="3.23"/>
    <n v="0.04"/>
    <n v="2.84"/>
    <n v="0"/>
    <n v="0.09"/>
    <n v="4.32"/>
    <n v="0.61"/>
    <n v="9.6199999999999992"/>
  </r>
  <r>
    <s v="EU"/>
    <m/>
    <b v="1"/>
    <x v="100"/>
    <x v="7"/>
    <b v="0"/>
    <n v="29.84"/>
    <n v="13.03"/>
    <n v="66.459999999999994"/>
    <n v="7.98"/>
    <n v="36.51"/>
    <n v="3.21"/>
    <n v="17.77"/>
    <n v="59.28"/>
    <n v="8.4"/>
    <n v="132.03"/>
  </r>
  <r>
    <s v="EU"/>
    <m/>
    <b v="1"/>
    <x v="100"/>
    <x v="8"/>
    <b v="1"/>
    <n v="229.07"/>
    <n v="100"/>
    <n v="510.19"/>
    <n v="6.4"/>
    <n v="2.87"/>
    <n v="0"/>
    <n v="14.25"/>
    <n v="705.91"/>
    <n v="100"/>
    <n v="1572.21"/>
  </r>
  <r>
    <s v="EU"/>
    <m/>
    <b v="1"/>
    <x v="100"/>
    <x v="9"/>
    <b v="0"/>
    <n v="39.82"/>
    <n v="17.38"/>
    <n v="88.69"/>
    <n v="-2.7"/>
    <n v="-6.35"/>
    <n v="-1.72"/>
    <n v="-6.01"/>
    <n v="128.09"/>
    <n v="18.149999999999999"/>
    <n v="285.27999999999997"/>
  </r>
  <r>
    <s v="EU"/>
    <m/>
    <b v="1"/>
    <x v="101"/>
    <x v="0"/>
    <b v="0"/>
    <n v="8.69"/>
    <n v="4.3099999999999996"/>
    <n v="19.350000000000001"/>
    <n v="0.06"/>
    <n v="0.7"/>
    <n v="0.1"/>
    <n v="0.13"/>
    <n v="37.61"/>
    <n v="4.1399999999999997"/>
    <n v="83.77"/>
  </r>
  <r>
    <s v="EU"/>
    <m/>
    <b v="1"/>
    <x v="101"/>
    <x v="1"/>
    <b v="0"/>
    <n v="18.36"/>
    <n v="9.11"/>
    <n v="40.89"/>
    <n v="1.05"/>
    <n v="6.07"/>
    <n v="0.67"/>
    <n v="2.34"/>
    <n v="100.19"/>
    <n v="11.04"/>
    <n v="223.14"/>
  </r>
  <r>
    <s v="EU"/>
    <m/>
    <b v="1"/>
    <x v="101"/>
    <x v="2"/>
    <b v="0"/>
    <n v="26.91"/>
    <n v="13.36"/>
    <n v="59.93"/>
    <n v="2.67"/>
    <n v="11.01"/>
    <n v="1.54"/>
    <n v="5.95"/>
    <n v="156.6"/>
    <n v="17.260000000000002"/>
    <n v="348.78"/>
  </r>
  <r>
    <s v="EU"/>
    <m/>
    <b v="1"/>
    <x v="101"/>
    <x v="3"/>
    <b v="0"/>
    <n v="27.08"/>
    <n v="13.44"/>
    <n v="60.31"/>
    <n v="-5.38"/>
    <n v="-16.57"/>
    <n v="-2.39"/>
    <n v="-11.98"/>
    <n v="110.39"/>
    <n v="12.17"/>
    <n v="245.86"/>
  </r>
  <r>
    <s v="EU"/>
    <m/>
    <b v="1"/>
    <x v="101"/>
    <x v="4"/>
    <b v="0"/>
    <n v="45"/>
    <n v="22.34"/>
    <n v="100.22"/>
    <n v="-0.28999999999999998"/>
    <n v="-0.64"/>
    <n v="0.25"/>
    <n v="-0.65"/>
    <n v="217.58"/>
    <n v="23.98"/>
    <n v="484.6"/>
  </r>
  <r>
    <s v="EU"/>
    <m/>
    <b v="1"/>
    <x v="101"/>
    <x v="5"/>
    <b v="0"/>
    <n v="5.46"/>
    <n v="2.71"/>
    <n v="12.16"/>
    <n v="0.13"/>
    <n v="2.44"/>
    <n v="0.11"/>
    <n v="0.28999999999999998"/>
    <n v="23.35"/>
    <n v="2.57"/>
    <n v="52.01"/>
  </r>
  <r>
    <s v="EU"/>
    <m/>
    <b v="1"/>
    <x v="101"/>
    <x v="6"/>
    <b v="0"/>
    <n v="1.36"/>
    <n v="0.68"/>
    <n v="3.03"/>
    <n v="0.03"/>
    <n v="2.2599999999999998"/>
    <n v="0.03"/>
    <n v="7.0000000000000007E-2"/>
    <n v="5.68"/>
    <n v="0.63"/>
    <n v="12.65"/>
  </r>
  <r>
    <s v="EU"/>
    <m/>
    <b v="1"/>
    <x v="101"/>
    <x v="7"/>
    <b v="0"/>
    <n v="37.36"/>
    <n v="18.54"/>
    <n v="83.21"/>
    <n v="7.7"/>
    <n v="25.96"/>
    <n v="4.07"/>
    <n v="17.149999999999999"/>
    <n v="96.64"/>
    <n v="10.65"/>
    <n v="215.24"/>
  </r>
  <r>
    <s v="EU"/>
    <m/>
    <b v="1"/>
    <x v="101"/>
    <x v="8"/>
    <b v="1"/>
    <n v="201.46"/>
    <n v="100"/>
    <n v="448.69"/>
    <n v="-3.56"/>
    <n v="-1.74"/>
    <n v="0"/>
    <n v="-7.93"/>
    <n v="907.37"/>
    <n v="100"/>
    <n v="2020.9"/>
  </r>
  <r>
    <s v="EU"/>
    <m/>
    <b v="1"/>
    <x v="101"/>
    <x v="9"/>
    <b v="0"/>
    <n v="31.24"/>
    <n v="15.51"/>
    <n v="69.58"/>
    <n v="-9.5299999999999994"/>
    <n v="-23.38"/>
    <n v="-4.38"/>
    <n v="-21.23"/>
    <n v="159.33000000000001"/>
    <n v="17.559999999999999"/>
    <n v="354.86"/>
  </r>
  <r>
    <s v="EU"/>
    <m/>
    <b v="1"/>
    <x v="102"/>
    <x v="0"/>
    <b v="0"/>
    <n v="8.0500000000000007"/>
    <n v="3.99"/>
    <n v="17.93"/>
    <n v="-0.47"/>
    <n v="-5.52"/>
    <n v="-0.26"/>
    <n v="-1.05"/>
    <n v="45.66"/>
    <n v="4.12"/>
    <n v="101.69"/>
  </r>
  <r>
    <s v="EU"/>
    <m/>
    <b v="1"/>
    <x v="102"/>
    <x v="1"/>
    <b v="0"/>
    <n v="13.73"/>
    <n v="6.8"/>
    <n v="30.58"/>
    <n v="-2.61"/>
    <n v="-15.97"/>
    <n v="-1.35"/>
    <n v="-5.81"/>
    <n v="113.92"/>
    <n v="10.27"/>
    <n v="253.72"/>
  </r>
  <r>
    <s v="EU"/>
    <m/>
    <b v="1"/>
    <x v="102"/>
    <x v="2"/>
    <b v="0"/>
    <n v="23.99"/>
    <n v="11.89"/>
    <n v="53.43"/>
    <n v="0.56999999999999995"/>
    <n v="2.4300000000000002"/>
    <n v="0.21"/>
    <n v="1.27"/>
    <n v="180.59"/>
    <n v="16.28"/>
    <n v="402.21"/>
  </r>
  <r>
    <s v="EU"/>
    <m/>
    <b v="1"/>
    <x v="102"/>
    <x v="3"/>
    <b v="0"/>
    <n v="28.47"/>
    <n v="14.11"/>
    <n v="63.41"/>
    <n v="-5.77"/>
    <n v="-16.850000000000001"/>
    <n v="-2.96"/>
    <n v="-12.85"/>
    <n v="138.86000000000001"/>
    <n v="12.52"/>
    <n v="309.27"/>
  </r>
  <r>
    <s v="EU"/>
    <m/>
    <b v="1"/>
    <x v="102"/>
    <x v="4"/>
    <b v="0"/>
    <n v="43.66"/>
    <n v="21.63"/>
    <n v="97.24"/>
    <n v="-2.09"/>
    <n v="-4.57"/>
    <n v="-1.18"/>
    <n v="-4.6500000000000004"/>
    <n v="261.24"/>
    <n v="23.55"/>
    <n v="581.84"/>
  </r>
  <r>
    <s v="EU"/>
    <m/>
    <b v="1"/>
    <x v="102"/>
    <x v="5"/>
    <b v="0"/>
    <n v="5.22"/>
    <n v="2.59"/>
    <n v="11.63"/>
    <n v="-0.03"/>
    <n v="-0.56999999999999995"/>
    <n v="-0.03"/>
    <n v="-7.0000000000000007E-2"/>
    <n v="28.57"/>
    <n v="2.58"/>
    <n v="63.63"/>
  </r>
  <r>
    <s v="EU"/>
    <m/>
    <b v="1"/>
    <x v="102"/>
    <x v="6"/>
    <b v="0"/>
    <n v="1.36"/>
    <n v="0.67"/>
    <n v="3.03"/>
    <n v="-0.02"/>
    <n v="-1.45"/>
    <n v="-0.02"/>
    <n v="-0.04"/>
    <n v="7.04"/>
    <n v="0.63"/>
    <n v="15.68"/>
  </r>
  <r>
    <s v="EU"/>
    <m/>
    <b v="1"/>
    <x v="102"/>
    <x v="7"/>
    <b v="0"/>
    <n v="43.61"/>
    <n v="21.61"/>
    <n v="97.13"/>
    <n v="6.4"/>
    <n v="17.2"/>
    <n v="3.06"/>
    <n v="14.25"/>
    <n v="140.25"/>
    <n v="12.64"/>
    <n v="312.37"/>
  </r>
  <r>
    <s v="EU"/>
    <m/>
    <b v="1"/>
    <x v="102"/>
    <x v="8"/>
    <b v="1"/>
    <n v="201.83"/>
    <n v="100"/>
    <n v="449.52"/>
    <n v="1.27"/>
    <n v="0.63"/>
    <n v="0"/>
    <n v="2.83"/>
    <n v="1109.2"/>
    <n v="100"/>
    <n v="2470.42"/>
  </r>
  <r>
    <s v="EU"/>
    <m/>
    <b v="1"/>
    <x v="102"/>
    <x v="9"/>
    <b v="0"/>
    <n v="33.74"/>
    <n v="16.72"/>
    <n v="75.150000000000006"/>
    <n v="5.29"/>
    <n v="18.59"/>
    <n v="2.5299999999999998"/>
    <n v="11.78"/>
    <n v="193.07"/>
    <n v="17.41"/>
    <n v="430.01"/>
  </r>
  <r>
    <s v="EU"/>
    <m/>
    <b v="1"/>
    <x v="103"/>
    <x v="0"/>
    <b v="0"/>
    <n v="7.17"/>
    <n v="3.5"/>
    <n v="15.97"/>
    <n v="-0.42"/>
    <n v="-5.53"/>
    <n v="-0.32"/>
    <n v="-0.94"/>
    <n v="52.83"/>
    <n v="4.0199999999999996"/>
    <n v="117.66"/>
  </r>
  <r>
    <s v="EU"/>
    <m/>
    <b v="1"/>
    <x v="103"/>
    <x v="1"/>
    <b v="0"/>
    <n v="12.51"/>
    <n v="6.11"/>
    <n v="27.86"/>
    <n v="-4.7699999999999996"/>
    <n v="-27.6"/>
    <n v="-2.58"/>
    <n v="-10.62"/>
    <n v="126.43"/>
    <n v="9.6199999999999992"/>
    <n v="281.58999999999997"/>
  </r>
  <r>
    <s v="EU"/>
    <m/>
    <b v="1"/>
    <x v="103"/>
    <x v="2"/>
    <b v="0"/>
    <n v="27.73"/>
    <n v="13.55"/>
    <n v="61.76"/>
    <n v="2.5"/>
    <n v="9.91"/>
    <n v="0.86"/>
    <n v="5.57"/>
    <n v="208.32"/>
    <n v="15.86"/>
    <n v="463.97"/>
  </r>
  <r>
    <s v="EU"/>
    <m/>
    <b v="1"/>
    <x v="103"/>
    <x v="3"/>
    <b v="0"/>
    <n v="26.28"/>
    <n v="12.85"/>
    <n v="58.53"/>
    <n v="-5.32"/>
    <n v="-16.84"/>
    <n v="-3.05"/>
    <n v="-11.85"/>
    <n v="165.14"/>
    <n v="12.57"/>
    <n v="367.8"/>
  </r>
  <r>
    <s v="EU"/>
    <m/>
    <b v="1"/>
    <x v="103"/>
    <x v="4"/>
    <b v="0"/>
    <n v="44.7"/>
    <n v="21.85"/>
    <n v="99.56"/>
    <n v="-0.85"/>
    <n v="-1.87"/>
    <n v="-1.06"/>
    <n v="-1.89"/>
    <n v="305.94"/>
    <n v="23.29"/>
    <n v="681.39"/>
  </r>
  <r>
    <s v="EU"/>
    <m/>
    <b v="1"/>
    <x v="103"/>
    <x v="5"/>
    <b v="0"/>
    <n v="4.97"/>
    <n v="2.4300000000000002"/>
    <n v="11.07"/>
    <n v="-0.83"/>
    <n v="-14.31"/>
    <n v="-0.49"/>
    <n v="-1.85"/>
    <n v="33.54"/>
    <n v="2.5499999999999998"/>
    <n v="74.7"/>
  </r>
  <r>
    <s v="EU"/>
    <m/>
    <b v="1"/>
    <x v="103"/>
    <x v="6"/>
    <b v="0"/>
    <n v="1.29"/>
    <n v="0.63"/>
    <n v="2.87"/>
    <n v="0.01"/>
    <n v="0.78"/>
    <n v="-0.01"/>
    <n v="0.02"/>
    <n v="8.33"/>
    <n v="0.63"/>
    <n v="18.55"/>
  </r>
  <r>
    <s v="EU"/>
    <m/>
    <b v="1"/>
    <x v="103"/>
    <x v="7"/>
    <b v="0"/>
    <n v="47.64"/>
    <n v="23.29"/>
    <n v="106.1"/>
    <n v="9.9499999999999993"/>
    <n v="26.4"/>
    <n v="4.33"/>
    <n v="22.16"/>
    <n v="187.89"/>
    <n v="14.3"/>
    <n v="418.47"/>
  </r>
  <r>
    <s v="EU"/>
    <m/>
    <b v="1"/>
    <x v="103"/>
    <x v="8"/>
    <b v="1"/>
    <n v="204.59"/>
    <n v="100"/>
    <n v="455.66"/>
    <n v="5.81"/>
    <n v="2.92"/>
    <n v="0"/>
    <n v="12.94"/>
    <n v="1313.79"/>
    <n v="100"/>
    <n v="2926.08"/>
  </r>
  <r>
    <s v="EU"/>
    <m/>
    <b v="1"/>
    <x v="103"/>
    <x v="9"/>
    <b v="0"/>
    <n v="32.299999999999997"/>
    <n v="15.79"/>
    <n v="71.94"/>
    <n v="5.54"/>
    <n v="20.7"/>
    <n v="2.33"/>
    <n v="12.34"/>
    <n v="225.37"/>
    <n v="17.149999999999999"/>
    <n v="501.95"/>
  </r>
  <r>
    <s v="EU"/>
    <m/>
    <b v="1"/>
    <x v="104"/>
    <x v="0"/>
    <b v="0"/>
    <n v="7.17"/>
    <n v="3.34"/>
    <n v="15.97"/>
    <n v="-0.49"/>
    <n v="-6.4"/>
    <n v="-0.24"/>
    <n v="-1.0900000000000001"/>
    <n v="60"/>
    <n v="3.93"/>
    <n v="133.63"/>
  </r>
  <r>
    <s v="EU"/>
    <m/>
    <b v="1"/>
    <x v="104"/>
    <x v="1"/>
    <b v="0"/>
    <n v="17.98"/>
    <n v="8.3699999999999992"/>
    <n v="40.049999999999997"/>
    <n v="-0.2"/>
    <n v="-1.1000000000000001"/>
    <n v="-0.12"/>
    <n v="-0.45"/>
    <n v="144.41"/>
    <n v="9.4499999999999993"/>
    <n v="321.63"/>
  </r>
  <r>
    <s v="EU"/>
    <m/>
    <b v="1"/>
    <x v="104"/>
    <x v="2"/>
    <b v="0"/>
    <n v="33.72"/>
    <n v="15.69"/>
    <n v="75.099999999999994"/>
    <n v="1.55"/>
    <n v="4.82"/>
    <n v="0.66"/>
    <n v="3.45"/>
    <n v="242.04"/>
    <n v="15.83"/>
    <n v="539.07000000000005"/>
  </r>
  <r>
    <s v="EU"/>
    <m/>
    <b v="1"/>
    <x v="104"/>
    <x v="3"/>
    <b v="0"/>
    <n v="25.08"/>
    <n v="11.67"/>
    <n v="55.86"/>
    <n v="-4.4000000000000004"/>
    <n v="-14.93"/>
    <n v="-2.1"/>
    <n v="-9.8000000000000007"/>
    <n v="190.22"/>
    <n v="12.44"/>
    <n v="423.66"/>
  </r>
  <r>
    <s v="EU"/>
    <m/>
    <b v="1"/>
    <x v="104"/>
    <x v="4"/>
    <b v="0"/>
    <n v="49.81"/>
    <n v="23.18"/>
    <n v="110.94"/>
    <n v="-1.41"/>
    <n v="-2.75"/>
    <n v="-0.75"/>
    <n v="-3.14"/>
    <n v="355.75"/>
    <n v="23.27"/>
    <n v="792.33"/>
  </r>
  <r>
    <s v="EU"/>
    <m/>
    <b v="1"/>
    <x v="104"/>
    <x v="5"/>
    <b v="0"/>
    <n v="5.35"/>
    <n v="2.4900000000000002"/>
    <n v="11.92"/>
    <n v="-0.75"/>
    <n v="-12.3"/>
    <n v="-0.36"/>
    <n v="-1.67"/>
    <n v="38.89"/>
    <n v="2.54"/>
    <n v="86.62"/>
  </r>
  <r>
    <s v="EU"/>
    <m/>
    <b v="1"/>
    <x v="104"/>
    <x v="6"/>
    <b v="0"/>
    <n v="1.37"/>
    <n v="0.64"/>
    <n v="3.05"/>
    <n v="0"/>
    <n v="0"/>
    <n v="0"/>
    <n v="0"/>
    <n v="9.6999999999999993"/>
    <n v="0.63"/>
    <n v="21.6"/>
  </r>
  <r>
    <s v="EU"/>
    <m/>
    <b v="1"/>
    <x v="104"/>
    <x v="7"/>
    <b v="0"/>
    <n v="46.13"/>
    <n v="21.47"/>
    <n v="102.74"/>
    <n v="4.83"/>
    <n v="11.69"/>
    <n v="2.17"/>
    <n v="10.76"/>
    <n v="234.02"/>
    <n v="15.31"/>
    <n v="521.21"/>
  </r>
  <r>
    <s v="EU"/>
    <m/>
    <b v="1"/>
    <x v="104"/>
    <x v="8"/>
    <b v="1"/>
    <n v="214.86"/>
    <n v="100"/>
    <n v="478.54"/>
    <n v="0.84"/>
    <n v="0.39"/>
    <n v="0"/>
    <n v="1.87"/>
    <n v="1528.65"/>
    <n v="100"/>
    <n v="3404.62"/>
  </r>
  <r>
    <s v="EU"/>
    <m/>
    <b v="1"/>
    <x v="104"/>
    <x v="9"/>
    <b v="0"/>
    <n v="28.25"/>
    <n v="13.15"/>
    <n v="62.92"/>
    <n v="1.71"/>
    <n v="6.44"/>
    <n v="0.75"/>
    <n v="3.81"/>
    <n v="253.62"/>
    <n v="16.59"/>
    <n v="564.86"/>
  </r>
  <r>
    <s v="EU"/>
    <m/>
    <b v="1"/>
    <x v="105"/>
    <x v="0"/>
    <b v="0"/>
    <n v="7.52"/>
    <n v="3.69"/>
    <n v="16.75"/>
    <n v="-0.08"/>
    <n v="-1.05"/>
    <n v="0.01"/>
    <n v="-0.18"/>
    <n v="67.52"/>
    <n v="3.9"/>
    <n v="150.38"/>
  </r>
  <r>
    <s v="EU"/>
    <m/>
    <b v="1"/>
    <x v="105"/>
    <x v="1"/>
    <b v="0"/>
    <n v="15.1"/>
    <n v="7.41"/>
    <n v="33.630000000000003"/>
    <n v="-3.69"/>
    <n v="-19.64"/>
    <n v="-1.69"/>
    <n v="-8.2200000000000006"/>
    <n v="159.51"/>
    <n v="9.2100000000000009"/>
    <n v="355.26"/>
  </r>
  <r>
    <s v="EU"/>
    <m/>
    <b v="1"/>
    <x v="105"/>
    <x v="2"/>
    <b v="0"/>
    <n v="29.74"/>
    <n v="14.6"/>
    <n v="66.239999999999995"/>
    <n v="-2.39"/>
    <n v="-7.44"/>
    <n v="-0.96"/>
    <n v="-5.32"/>
    <n v="271.77999999999997"/>
    <n v="15.69"/>
    <n v="605.30999999999995"/>
  </r>
  <r>
    <s v="EU"/>
    <m/>
    <b v="1"/>
    <x v="105"/>
    <x v="3"/>
    <b v="0"/>
    <n v="22.86"/>
    <n v="11.22"/>
    <n v="50.91"/>
    <n v="0.01"/>
    <n v="0.04"/>
    <n v="0.15"/>
    <n v="0.02"/>
    <n v="213.08"/>
    <n v="12.3"/>
    <n v="474.57"/>
  </r>
  <r>
    <s v="EU"/>
    <m/>
    <b v="1"/>
    <x v="105"/>
    <x v="4"/>
    <b v="0"/>
    <n v="49.41"/>
    <n v="24.25"/>
    <n v="110.05"/>
    <n v="-2.1800000000000002"/>
    <n v="-4.2300000000000004"/>
    <n v="-0.74"/>
    <n v="-4.8600000000000003"/>
    <n v="405.16"/>
    <n v="23.39"/>
    <n v="902.38"/>
  </r>
  <r>
    <s v="EU"/>
    <m/>
    <b v="1"/>
    <x v="105"/>
    <x v="5"/>
    <b v="0"/>
    <n v="5.26"/>
    <n v="2.58"/>
    <n v="11.72"/>
    <n v="-0.67"/>
    <n v="-11.3"/>
    <n v="-0.28999999999999998"/>
    <n v="-1.49"/>
    <n v="44.15"/>
    <n v="2.5499999999999998"/>
    <n v="98.33"/>
  </r>
  <r>
    <s v="EU"/>
    <m/>
    <b v="1"/>
    <x v="105"/>
    <x v="6"/>
    <b v="0"/>
    <n v="1.37"/>
    <n v="0.67"/>
    <n v="3.05"/>
    <n v="0.01"/>
    <n v="0.74"/>
    <n v="0.01"/>
    <n v="0.02"/>
    <n v="11.07"/>
    <n v="0.64"/>
    <n v="24.66"/>
  </r>
  <r>
    <s v="EU"/>
    <m/>
    <b v="1"/>
    <x v="105"/>
    <x v="7"/>
    <b v="0"/>
    <n v="44.4"/>
    <n v="21.79"/>
    <n v="98.89"/>
    <n v="5.1100000000000003"/>
    <n v="13.01"/>
    <n v="2.76"/>
    <n v="11.38"/>
    <n v="278.42"/>
    <n v="16.07"/>
    <n v="620.1"/>
  </r>
  <r>
    <s v="EU"/>
    <m/>
    <b v="1"/>
    <x v="105"/>
    <x v="8"/>
    <b v="1"/>
    <n v="203.73"/>
    <n v="100"/>
    <n v="453.75"/>
    <n v="-2.75"/>
    <n v="-1.33"/>
    <n v="0"/>
    <n v="-6.12"/>
    <n v="1732.38"/>
    <n v="100"/>
    <n v="3858.37"/>
  </r>
  <r>
    <s v="EU"/>
    <m/>
    <b v="1"/>
    <x v="105"/>
    <x v="9"/>
    <b v="0"/>
    <n v="28.07"/>
    <n v="13.78"/>
    <n v="62.52"/>
    <n v="1.1299999999999999"/>
    <n v="4.1900000000000004"/>
    <n v="0.73"/>
    <n v="2.52"/>
    <n v="281.69"/>
    <n v="16.260000000000002"/>
    <n v="627.38"/>
  </r>
  <r>
    <s v="EU"/>
    <m/>
    <b v="1"/>
    <x v="106"/>
    <x v="0"/>
    <b v="0"/>
    <n v="7.53"/>
    <n v="3.73"/>
    <n v="16.77"/>
    <n v="-0.14000000000000001"/>
    <n v="-1.83"/>
    <n v="-0.11"/>
    <n v="-0.31"/>
    <n v="75.05"/>
    <n v="3.88"/>
    <n v="167.15"/>
  </r>
  <r>
    <s v="EU"/>
    <m/>
    <b v="1"/>
    <x v="106"/>
    <x v="1"/>
    <b v="0"/>
    <n v="16.03"/>
    <n v="7.94"/>
    <n v="35.700000000000003"/>
    <n v="-2.62"/>
    <n v="-14.05"/>
    <n v="-1.39"/>
    <n v="-5.84"/>
    <n v="175.54"/>
    <n v="9.08"/>
    <n v="390.96"/>
  </r>
  <r>
    <s v="EU"/>
    <m/>
    <b v="1"/>
    <x v="106"/>
    <x v="2"/>
    <b v="0"/>
    <n v="29.95"/>
    <n v="14.84"/>
    <n v="66.7"/>
    <n v="0.11"/>
    <n v="0.37"/>
    <n v="-0.08"/>
    <n v="0.24"/>
    <n v="301.73"/>
    <n v="15.6"/>
    <n v="672.02"/>
  </r>
  <r>
    <s v="EU"/>
    <m/>
    <b v="1"/>
    <x v="106"/>
    <x v="3"/>
    <b v="0"/>
    <n v="21.52"/>
    <n v="10.66"/>
    <n v="47.93"/>
    <n v="-1.91"/>
    <n v="-8.15"/>
    <n v="-1.06"/>
    <n v="-4.25"/>
    <n v="234.6"/>
    <n v="12.13"/>
    <n v="522.5"/>
  </r>
  <r>
    <s v="EU"/>
    <m/>
    <b v="1"/>
    <x v="106"/>
    <x v="4"/>
    <b v="0"/>
    <n v="48.84"/>
    <n v="24.2"/>
    <n v="108.78"/>
    <n v="0.65"/>
    <n v="1.35"/>
    <n v="0.1"/>
    <n v="1.45"/>
    <n v="454"/>
    <n v="23.47"/>
    <n v="1011.15"/>
  </r>
  <r>
    <s v="EU"/>
    <m/>
    <b v="1"/>
    <x v="106"/>
    <x v="5"/>
    <b v="0"/>
    <n v="5.0999999999999996"/>
    <n v="2.5299999999999998"/>
    <n v="11.36"/>
    <n v="-0.47"/>
    <n v="-8.44"/>
    <n v="-0.26"/>
    <n v="-1.05"/>
    <n v="49.25"/>
    <n v="2.5499999999999998"/>
    <n v="109.69"/>
  </r>
  <r>
    <s v="EU"/>
    <m/>
    <b v="1"/>
    <x v="106"/>
    <x v="6"/>
    <b v="0"/>
    <n v="1.32"/>
    <n v="0.65"/>
    <n v="2.94"/>
    <n v="-0.01"/>
    <n v="-0.75"/>
    <n v="-0.02"/>
    <n v="-0.02"/>
    <n v="12.39"/>
    <n v="0.64"/>
    <n v="27.6"/>
  </r>
  <r>
    <s v="EU"/>
    <m/>
    <b v="1"/>
    <x v="106"/>
    <x v="7"/>
    <b v="0"/>
    <n v="33.659999999999997"/>
    <n v="16.68"/>
    <n v="74.97"/>
    <n v="4.8499999999999996"/>
    <n v="16.829999999999998"/>
    <n v="2.27"/>
    <n v="10.8"/>
    <n v="312.08"/>
    <n v="16.13"/>
    <n v="695.07"/>
  </r>
  <r>
    <s v="EU"/>
    <m/>
    <b v="1"/>
    <x v="106"/>
    <x v="8"/>
    <b v="1"/>
    <n v="201.81"/>
    <n v="100"/>
    <n v="449.47"/>
    <n v="1.82"/>
    <n v="0.91"/>
    <n v="0"/>
    <n v="4.05"/>
    <n v="1934.19"/>
    <n v="100"/>
    <n v="4307.84"/>
  </r>
  <r>
    <s v="EU"/>
    <m/>
    <b v="1"/>
    <x v="106"/>
    <x v="9"/>
    <b v="0"/>
    <n v="37.86"/>
    <n v="18.760000000000002"/>
    <n v="84.32"/>
    <n v="1.36"/>
    <n v="3.73"/>
    <n v="0.51"/>
    <n v="3.03"/>
    <n v="319.55"/>
    <n v="16.52"/>
    <n v="711.7"/>
  </r>
  <r>
    <s v="EU"/>
    <m/>
    <b v="1"/>
    <x v="107"/>
    <x v="0"/>
    <b v="0"/>
    <n v="8.4700000000000006"/>
    <n v="3.91"/>
    <n v="18.86"/>
    <n v="0.03"/>
    <n v="0.36"/>
    <n v="-0.1"/>
    <n v="7.0000000000000007E-2"/>
    <n v="83.52"/>
    <n v="3.88"/>
    <n v="186.02"/>
  </r>
  <r>
    <s v="EU"/>
    <m/>
    <b v="1"/>
    <x v="107"/>
    <x v="1"/>
    <b v="0"/>
    <n v="19.989999999999998"/>
    <n v="9.2200000000000006"/>
    <n v="44.52"/>
    <n v="-3.49"/>
    <n v="-14.86"/>
    <n v="-1.93"/>
    <n v="-7.77"/>
    <n v="195.53"/>
    <n v="9.09"/>
    <n v="435.49"/>
  </r>
  <r>
    <s v="EU"/>
    <m/>
    <b v="1"/>
    <x v="107"/>
    <x v="2"/>
    <b v="0"/>
    <n v="37.200000000000003"/>
    <n v="17.16"/>
    <n v="82.85"/>
    <n v="6.61"/>
    <n v="21.61"/>
    <n v="2.63"/>
    <n v="14.72"/>
    <n v="338.93"/>
    <n v="15.76"/>
    <n v="754.87"/>
  </r>
  <r>
    <s v="EU"/>
    <m/>
    <b v="1"/>
    <x v="107"/>
    <x v="3"/>
    <b v="0"/>
    <n v="21.67"/>
    <n v="9.99"/>
    <n v="48.26"/>
    <n v="-8.66"/>
    <n v="-28.55"/>
    <n v="-4.42"/>
    <n v="-19.29"/>
    <n v="256.27"/>
    <n v="11.91"/>
    <n v="570.77"/>
  </r>
  <r>
    <s v="EU"/>
    <m/>
    <b v="1"/>
    <x v="107"/>
    <x v="4"/>
    <b v="0"/>
    <n v="50.2"/>
    <n v="23.15"/>
    <n v="111.81"/>
    <n v="-1.1100000000000001"/>
    <n v="-2.16"/>
    <n v="-1.22"/>
    <n v="-2.4700000000000002"/>
    <n v="504.2"/>
    <n v="23.44"/>
    <n v="1122.96"/>
  </r>
  <r>
    <s v="EU"/>
    <m/>
    <b v="1"/>
    <x v="107"/>
    <x v="5"/>
    <b v="0"/>
    <n v="6.02"/>
    <n v="2.78"/>
    <n v="13.41"/>
    <n v="0.08"/>
    <n v="1.35"/>
    <n v="-0.04"/>
    <n v="0.18"/>
    <n v="55.27"/>
    <n v="2.57"/>
    <n v="123.1"/>
  </r>
  <r>
    <s v="EU"/>
    <m/>
    <b v="1"/>
    <x v="107"/>
    <x v="6"/>
    <b v="0"/>
    <n v="1.34"/>
    <n v="0.62"/>
    <n v="2.98"/>
    <n v="-0.09"/>
    <n v="-6.29"/>
    <n v="-0.06"/>
    <n v="-0.2"/>
    <n v="13.73"/>
    <n v="0.64"/>
    <n v="30.58"/>
  </r>
  <r>
    <s v="EU"/>
    <m/>
    <b v="1"/>
    <x v="107"/>
    <x v="7"/>
    <b v="0"/>
    <n v="23.29"/>
    <n v="10.74"/>
    <n v="51.87"/>
    <n v="3.81"/>
    <n v="19.559999999999999"/>
    <n v="1.49"/>
    <n v="8.49"/>
    <n v="335.37"/>
    <n v="15.59"/>
    <n v="746.94"/>
  </r>
  <r>
    <s v="EU"/>
    <m/>
    <b v="1"/>
    <x v="107"/>
    <x v="8"/>
    <b v="1"/>
    <n v="216.83"/>
    <n v="100"/>
    <n v="482.93"/>
    <n v="6.29"/>
    <n v="2.99"/>
    <n v="0"/>
    <n v="14.01"/>
    <n v="2151.02"/>
    <n v="100"/>
    <n v="4790.7700000000004"/>
  </r>
  <r>
    <s v="EU"/>
    <m/>
    <b v="1"/>
    <x v="107"/>
    <x v="9"/>
    <b v="0"/>
    <n v="48.65"/>
    <n v="22.44"/>
    <n v="108.35"/>
    <n v="9.11"/>
    <n v="23.04"/>
    <n v="3.66"/>
    <n v="20.29"/>
    <n v="368.2"/>
    <n v="17.12"/>
    <n v="820.06"/>
  </r>
  <r>
    <s v="EU"/>
    <m/>
    <b v="1"/>
    <x v="108"/>
    <x v="0"/>
    <b v="0"/>
    <n v="9.27"/>
    <n v="4.09"/>
    <n v="20.65"/>
    <n v="0.01"/>
    <n v="0.11"/>
    <n v="-0.06"/>
    <n v="0.02"/>
    <n v="92.79"/>
    <n v="3.9"/>
    <n v="206.66"/>
  </r>
  <r>
    <s v="EU"/>
    <m/>
    <b v="1"/>
    <x v="108"/>
    <x v="1"/>
    <b v="0"/>
    <n v="24.33"/>
    <n v="10.74"/>
    <n v="54.19"/>
    <n v="-3.42"/>
    <n v="-12.32"/>
    <n v="-1.69"/>
    <n v="-7.62"/>
    <n v="219.86"/>
    <n v="9.25"/>
    <n v="489.67"/>
  </r>
  <r>
    <s v="EU"/>
    <m/>
    <b v="1"/>
    <x v="108"/>
    <x v="2"/>
    <b v="0"/>
    <n v="43.53"/>
    <n v="19.22"/>
    <n v="96.95"/>
    <n v="-2.25"/>
    <n v="-4.91"/>
    <n v="-1.28"/>
    <n v="-5.01"/>
    <n v="382.46"/>
    <n v="16.09"/>
    <n v="851.82"/>
  </r>
  <r>
    <s v="EU"/>
    <m/>
    <b v="1"/>
    <x v="108"/>
    <x v="3"/>
    <b v="0"/>
    <n v="25.07"/>
    <n v="11.07"/>
    <n v="55.84"/>
    <n v="1.18"/>
    <n v="4.9400000000000004"/>
    <n v="0.37"/>
    <n v="2.63"/>
    <n v="281.33999999999997"/>
    <n v="11.83"/>
    <n v="626.6"/>
  </r>
  <r>
    <s v="EU"/>
    <m/>
    <b v="1"/>
    <x v="108"/>
    <x v="4"/>
    <b v="0"/>
    <n v="54.73"/>
    <n v="24.17"/>
    <n v="121.9"/>
    <n v="1.49"/>
    <n v="2.8"/>
    <n v="0.33"/>
    <n v="3.32"/>
    <n v="558.92999999999995"/>
    <n v="23.51"/>
    <n v="1244.8499999999999"/>
  </r>
  <r>
    <s v="EU"/>
    <m/>
    <b v="1"/>
    <x v="108"/>
    <x v="5"/>
    <b v="0"/>
    <n v="6.01"/>
    <n v="2.65"/>
    <n v="13.39"/>
    <n v="-0.3"/>
    <n v="-4.75"/>
    <n v="-0.18"/>
    <n v="-0.67"/>
    <n v="61.28"/>
    <n v="2.58"/>
    <n v="136.47999999999999"/>
  </r>
  <r>
    <s v="EU"/>
    <m/>
    <b v="1"/>
    <x v="108"/>
    <x v="6"/>
    <b v="0"/>
    <n v="1.35"/>
    <n v="0.6"/>
    <n v="3.01"/>
    <n v="-7.0000000000000007E-2"/>
    <n v="-4.93"/>
    <n v="-0.04"/>
    <n v="-0.16"/>
    <n v="15.08"/>
    <n v="0.63"/>
    <n v="33.590000000000003"/>
  </r>
  <r>
    <s v="EU"/>
    <m/>
    <b v="1"/>
    <x v="108"/>
    <x v="7"/>
    <b v="0"/>
    <n v="15.5"/>
    <n v="6.84"/>
    <n v="34.520000000000003"/>
    <n v="3.18"/>
    <n v="25.81"/>
    <n v="1.32"/>
    <n v="7.08"/>
    <n v="350.87"/>
    <n v="14.76"/>
    <n v="781.46"/>
  </r>
  <r>
    <s v="EU"/>
    <m/>
    <b v="1"/>
    <x v="108"/>
    <x v="8"/>
    <b v="1"/>
    <n v="226.47"/>
    <n v="100"/>
    <n v="504.4"/>
    <n v="3.17"/>
    <n v="1.42"/>
    <n v="0"/>
    <n v="7.06"/>
    <n v="2377.4899999999998"/>
    <n v="100"/>
    <n v="5295.17"/>
  </r>
  <r>
    <s v="EU"/>
    <m/>
    <b v="1"/>
    <x v="108"/>
    <x v="9"/>
    <b v="0"/>
    <n v="46.68"/>
    <n v="20.61"/>
    <n v="103.97"/>
    <n v="3.35"/>
    <n v="7.73"/>
    <n v="1.21"/>
    <n v="7.46"/>
    <n v="414.88"/>
    <n v="17.45"/>
    <n v="924.02"/>
  </r>
  <r>
    <s v="EU"/>
    <m/>
    <b v="1"/>
    <x v="109"/>
    <x v="0"/>
    <b v="0"/>
    <n v="9.7100000000000009"/>
    <n v="4.04"/>
    <n v="21.63"/>
    <n v="-0.13"/>
    <n v="-1.32"/>
    <n v="-0.09"/>
    <n v="-0.28999999999999998"/>
    <n v="102.5"/>
    <n v="3.92"/>
    <n v="228.29"/>
  </r>
  <r>
    <s v="EU"/>
    <m/>
    <b v="1"/>
    <x v="109"/>
    <x v="1"/>
    <b v="0"/>
    <n v="22.59"/>
    <n v="9.39"/>
    <n v="50.31"/>
    <n v="-3.8"/>
    <n v="-14.4"/>
    <n v="-1.69"/>
    <n v="-8.4600000000000009"/>
    <n v="242.45"/>
    <n v="9.26"/>
    <n v="539.99"/>
  </r>
  <r>
    <s v="EU"/>
    <m/>
    <b v="1"/>
    <x v="109"/>
    <x v="2"/>
    <b v="0"/>
    <n v="49.61"/>
    <n v="20.63"/>
    <n v="110.49"/>
    <n v="4.66"/>
    <n v="10.37"/>
    <n v="1.76"/>
    <n v="10.38"/>
    <n v="432.07"/>
    <n v="16.5"/>
    <n v="962.31"/>
  </r>
  <r>
    <s v="EU"/>
    <m/>
    <b v="1"/>
    <x v="109"/>
    <x v="3"/>
    <b v="0"/>
    <n v="26.92"/>
    <n v="11.19"/>
    <n v="59.96"/>
    <n v="2.35"/>
    <n v="9.56"/>
    <n v="0.88"/>
    <n v="5.23"/>
    <n v="308.26"/>
    <n v="11.77"/>
    <n v="686.56"/>
  </r>
  <r>
    <s v="EU"/>
    <m/>
    <b v="1"/>
    <x v="109"/>
    <x v="4"/>
    <b v="0"/>
    <n v="62.43"/>
    <n v="25.96"/>
    <n v="139.04"/>
    <n v="2.4700000000000002"/>
    <n v="4.12"/>
    <n v="0.8"/>
    <n v="5.5"/>
    <n v="621.36"/>
    <n v="23.73"/>
    <n v="1383.9"/>
  </r>
  <r>
    <s v="EU"/>
    <m/>
    <b v="1"/>
    <x v="109"/>
    <x v="5"/>
    <b v="0"/>
    <n v="6.48"/>
    <n v="2.69"/>
    <n v="14.43"/>
    <n v="7.0000000000000007E-2"/>
    <n v="1.0900000000000001"/>
    <n v="0"/>
    <n v="0.16"/>
    <n v="67.760000000000005"/>
    <n v="2.59"/>
    <n v="150.91999999999999"/>
  </r>
  <r>
    <s v="EU"/>
    <m/>
    <b v="1"/>
    <x v="109"/>
    <x v="6"/>
    <b v="0"/>
    <n v="1.42"/>
    <n v="0.59"/>
    <n v="3.16"/>
    <n v="-0.06"/>
    <n v="-4.05"/>
    <n v="-0.03"/>
    <n v="-0.13"/>
    <n v="16.5"/>
    <n v="0.63"/>
    <n v="36.75"/>
  </r>
  <r>
    <s v="EU"/>
    <m/>
    <b v="1"/>
    <x v="109"/>
    <x v="7"/>
    <b v="0"/>
    <n v="10.73"/>
    <n v="4.46"/>
    <n v="23.9"/>
    <n v="0.63"/>
    <n v="6.24"/>
    <n v="0.22"/>
    <n v="1.4"/>
    <n v="361.6"/>
    <n v="13.81"/>
    <n v="805.36"/>
  </r>
  <r>
    <s v="EU"/>
    <m/>
    <b v="1"/>
    <x v="109"/>
    <x v="8"/>
    <b v="1"/>
    <n v="240.52"/>
    <n v="100"/>
    <n v="535.69000000000005"/>
    <n v="2.25"/>
    <n v="0.94"/>
    <n v="0"/>
    <n v="5.01"/>
    <n v="2618.0100000000002"/>
    <n v="100"/>
    <n v="5830.85"/>
  </r>
  <r>
    <s v="EU"/>
    <m/>
    <b v="1"/>
    <x v="109"/>
    <x v="9"/>
    <b v="0"/>
    <n v="50.63"/>
    <n v="21.05"/>
    <n v="112.76"/>
    <n v="-3.94"/>
    <n v="-7.22"/>
    <n v="-1.85"/>
    <n v="-8.7799999999999994"/>
    <n v="465.51"/>
    <n v="17.78"/>
    <n v="1036.79"/>
  </r>
  <r>
    <s v="EU"/>
    <m/>
    <b v="1"/>
    <x v="110"/>
    <x v="0"/>
    <b v="0"/>
    <n v="10.08"/>
    <n v="3.84"/>
    <n v="22.51"/>
    <n v="0.08"/>
    <n v="0.8"/>
    <n v="-0.14000000000000001"/>
    <n v="0.18"/>
    <n v="10.08"/>
    <n v="3.84"/>
    <n v="22.51"/>
  </r>
  <r>
    <s v="EU"/>
    <m/>
    <b v="1"/>
    <x v="110"/>
    <x v="1"/>
    <b v="0"/>
    <n v="28.72"/>
    <n v="10.93"/>
    <n v="64.12"/>
    <n v="0.36"/>
    <n v="1.27"/>
    <n v="-0.35"/>
    <n v="0.8"/>
    <n v="28.72"/>
    <n v="10.93"/>
    <n v="64.12"/>
  </r>
  <r>
    <s v="EU"/>
    <m/>
    <b v="1"/>
    <x v="110"/>
    <x v="2"/>
    <b v="0"/>
    <n v="57.68"/>
    <n v="21.96"/>
    <n v="128.78"/>
    <n v="10.08"/>
    <n v="21.18"/>
    <n v="3.02"/>
    <n v="22.51"/>
    <n v="57.68"/>
    <n v="21.96"/>
    <n v="128.78"/>
  </r>
  <r>
    <s v="EU"/>
    <m/>
    <b v="1"/>
    <x v="110"/>
    <x v="3"/>
    <b v="0"/>
    <n v="29.23"/>
    <n v="11.13"/>
    <n v="65.260000000000005"/>
    <n v="-0.03"/>
    <n v="-0.1"/>
    <n v="-0.51"/>
    <n v="-7.0000000000000007E-2"/>
    <n v="29.23"/>
    <n v="11.13"/>
    <n v="65.260000000000005"/>
  </r>
  <r>
    <s v="EU"/>
    <m/>
    <b v="1"/>
    <x v="110"/>
    <x v="4"/>
    <b v="0"/>
    <n v="61.95"/>
    <n v="23.58"/>
    <n v="138.32"/>
    <n v="-1.25"/>
    <n v="-1.98"/>
    <n v="-1.56"/>
    <n v="-2.79"/>
    <n v="61.95"/>
    <n v="23.58"/>
    <n v="138.32"/>
  </r>
  <r>
    <s v="EU"/>
    <m/>
    <b v="1"/>
    <x v="110"/>
    <x v="5"/>
    <b v="0"/>
    <n v="6.89"/>
    <n v="2.62"/>
    <n v="15.38"/>
    <n v="0.69"/>
    <n v="11.13"/>
    <n v="0.15"/>
    <n v="1.54"/>
    <n v="6.89"/>
    <n v="2.62"/>
    <n v="15.38"/>
  </r>
  <r>
    <s v="EU"/>
    <m/>
    <b v="1"/>
    <x v="110"/>
    <x v="6"/>
    <b v="0"/>
    <n v="1.41"/>
    <n v="0.54"/>
    <n v="3.15"/>
    <n v="-0.1"/>
    <n v="-6.62"/>
    <n v="-0.06"/>
    <n v="-0.22"/>
    <n v="1.41"/>
    <n v="0.54"/>
    <n v="3.15"/>
  </r>
  <r>
    <s v="EU"/>
    <m/>
    <b v="1"/>
    <x v="110"/>
    <x v="7"/>
    <b v="0"/>
    <n v="11.37"/>
    <n v="4.33"/>
    <n v="25.39"/>
    <n v="-0.28999999999999998"/>
    <n v="-2.4900000000000002"/>
    <n v="-0.31"/>
    <n v="-0.65"/>
    <n v="11.37"/>
    <n v="4.33"/>
    <n v="25.39"/>
  </r>
  <r>
    <s v="EU"/>
    <m/>
    <b v="1"/>
    <x v="110"/>
    <x v="8"/>
    <b v="1"/>
    <n v="262.68"/>
    <n v="100"/>
    <n v="586.48"/>
    <n v="11.32"/>
    <n v="4.5"/>
    <n v="0"/>
    <n v="25.27"/>
    <n v="262.68"/>
    <n v="100"/>
    <n v="586.48"/>
  </r>
  <r>
    <s v="EU"/>
    <m/>
    <b v="1"/>
    <x v="110"/>
    <x v="9"/>
    <b v="0"/>
    <n v="55.35"/>
    <n v="21.07"/>
    <n v="123.58"/>
    <n v="1.78"/>
    <n v="3.32"/>
    <n v="-0.24"/>
    <n v="3.97"/>
    <n v="55.35"/>
    <n v="21.07"/>
    <n v="123.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DD344-CCBC-D140-9FF9-72D85621A01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116" firstHeaderRow="1" firstDataRow="2" firstDataCol="1"/>
  <pivotFields count="16">
    <pivotField showAll="0"/>
    <pivotField showAll="0"/>
    <pivotField showAll="0"/>
    <pivotField axis="axisRow" showAll="0">
      <items count="1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 t="grand">
      <x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generation_twh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ED680-A802-B243-B81A-5045824BB476}">
  <dimension ref="A3:L116"/>
  <sheetViews>
    <sheetView workbookViewId="0">
      <selection activeCell="A4" sqref="A4:L115"/>
    </sheetView>
  </sheetViews>
  <sheetFormatPr baseColWidth="10" defaultRowHeight="16" x14ac:dyDescent="0.2"/>
  <cols>
    <col min="1" max="1" width="20" bestFit="1" customWidth="1"/>
    <col min="2" max="2" width="16" bestFit="1" customWidth="1"/>
    <col min="3" max="6" width="8.1640625" bestFit="1" customWidth="1"/>
    <col min="8" max="8" width="15.6640625" bestFit="1" customWidth="1"/>
    <col min="9" max="9" width="8.1640625" bestFit="1" customWidth="1"/>
    <col min="10" max="10" width="14.33203125" bestFit="1" customWidth="1"/>
    <col min="11" max="11" width="8.1640625" bestFit="1" customWidth="1"/>
    <col min="12" max="12" width="10.5" bestFit="1" customWidth="1"/>
  </cols>
  <sheetData>
    <row r="3" spans="1:12" x14ac:dyDescent="0.2">
      <c r="A3" s="1" t="s">
        <v>141</v>
      </c>
      <c r="B3" s="1" t="s">
        <v>140</v>
      </c>
    </row>
    <row r="4" spans="1:12" x14ac:dyDescent="0.2">
      <c r="A4" s="1" t="s">
        <v>138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139</v>
      </c>
    </row>
    <row r="5" spans="1:12" x14ac:dyDescent="0.2">
      <c r="A5" s="2" t="s">
        <v>17</v>
      </c>
      <c r="B5">
        <v>8.9700000000000006</v>
      </c>
      <c r="C5">
        <v>57.4</v>
      </c>
      <c r="D5">
        <v>51.39</v>
      </c>
      <c r="E5">
        <v>23.37</v>
      </c>
      <c r="F5">
        <v>59.24</v>
      </c>
      <c r="G5">
        <v>6.62</v>
      </c>
      <c r="H5">
        <v>1.63</v>
      </c>
      <c r="I5">
        <v>3.5</v>
      </c>
      <c r="J5">
        <v>238.04</v>
      </c>
      <c r="K5">
        <v>25.92</v>
      </c>
      <c r="L5">
        <v>476.08</v>
      </c>
    </row>
    <row r="6" spans="1:12" x14ac:dyDescent="0.2">
      <c r="A6" s="2" t="s">
        <v>28</v>
      </c>
      <c r="B6">
        <v>9.4700000000000006</v>
      </c>
      <c r="C6">
        <v>59.07</v>
      </c>
      <c r="D6">
        <v>56.57</v>
      </c>
      <c r="E6">
        <v>22.95</v>
      </c>
      <c r="F6">
        <v>66.94</v>
      </c>
      <c r="G6">
        <v>6.77</v>
      </c>
      <c r="H6">
        <v>1.77</v>
      </c>
      <c r="I6">
        <v>3.16</v>
      </c>
      <c r="J6">
        <v>253.28</v>
      </c>
      <c r="K6">
        <v>26.58</v>
      </c>
      <c r="L6">
        <v>506.56</v>
      </c>
    </row>
    <row r="7" spans="1:12" x14ac:dyDescent="0.2">
      <c r="A7" s="2" t="s">
        <v>29</v>
      </c>
      <c r="B7">
        <v>10.53</v>
      </c>
      <c r="C7">
        <v>64.819999999999993</v>
      </c>
      <c r="D7">
        <v>60.87</v>
      </c>
      <c r="E7">
        <v>24.7</v>
      </c>
      <c r="F7">
        <v>72.34</v>
      </c>
      <c r="G7">
        <v>8.3800000000000008</v>
      </c>
      <c r="H7">
        <v>1.93</v>
      </c>
      <c r="I7">
        <v>3.39</v>
      </c>
      <c r="J7">
        <v>273.88</v>
      </c>
      <c r="K7">
        <v>26.92</v>
      </c>
      <c r="L7">
        <v>547.75999999999988</v>
      </c>
    </row>
    <row r="8" spans="1:12" x14ac:dyDescent="0.2">
      <c r="A8" s="2" t="s">
        <v>30</v>
      </c>
      <c r="B8">
        <v>9.7799999999999994</v>
      </c>
      <c r="C8">
        <v>52.31</v>
      </c>
      <c r="D8">
        <v>45.68</v>
      </c>
      <c r="E8">
        <v>21.7</v>
      </c>
      <c r="F8">
        <v>61.57</v>
      </c>
      <c r="G8">
        <v>7.17</v>
      </c>
      <c r="H8">
        <v>1.69</v>
      </c>
      <c r="I8">
        <v>4.46</v>
      </c>
      <c r="J8">
        <v>233.49</v>
      </c>
      <c r="K8">
        <v>29.13</v>
      </c>
      <c r="L8">
        <v>466.98</v>
      </c>
    </row>
    <row r="9" spans="1:12" x14ac:dyDescent="0.2">
      <c r="A9" s="2" t="s">
        <v>31</v>
      </c>
      <c r="B9">
        <v>10.34</v>
      </c>
      <c r="C9">
        <v>48.23</v>
      </c>
      <c r="D9">
        <v>40.69</v>
      </c>
      <c r="E9">
        <v>27.28</v>
      </c>
      <c r="F9">
        <v>64.92</v>
      </c>
      <c r="G9">
        <v>7.28</v>
      </c>
      <c r="H9">
        <v>1.84</v>
      </c>
      <c r="I9">
        <v>8.9</v>
      </c>
      <c r="J9">
        <v>238.95</v>
      </c>
      <c r="K9">
        <v>29.47</v>
      </c>
      <c r="L9">
        <v>477.9</v>
      </c>
    </row>
    <row r="10" spans="1:12" x14ac:dyDescent="0.2">
      <c r="A10" s="2" t="s">
        <v>32</v>
      </c>
      <c r="B10">
        <v>9.6</v>
      </c>
      <c r="C10">
        <v>44.1</v>
      </c>
      <c r="D10">
        <v>35.11</v>
      </c>
      <c r="E10">
        <v>22.43</v>
      </c>
      <c r="F10">
        <v>59.27</v>
      </c>
      <c r="G10">
        <v>6.38</v>
      </c>
      <c r="H10">
        <v>1.85</v>
      </c>
      <c r="I10">
        <v>10.78</v>
      </c>
      <c r="J10">
        <v>213.78</v>
      </c>
      <c r="K10">
        <v>24.26</v>
      </c>
      <c r="L10">
        <v>427.56</v>
      </c>
    </row>
    <row r="11" spans="1:12" x14ac:dyDescent="0.2">
      <c r="A11" s="2" t="s">
        <v>33</v>
      </c>
      <c r="B11">
        <v>9.1</v>
      </c>
      <c r="C11">
        <v>45.89</v>
      </c>
      <c r="D11">
        <v>33.590000000000003</v>
      </c>
      <c r="E11">
        <v>27.57</v>
      </c>
      <c r="F11">
        <v>56.12</v>
      </c>
      <c r="G11">
        <v>6.34</v>
      </c>
      <c r="H11">
        <v>1.88</v>
      </c>
      <c r="I11">
        <v>12.98</v>
      </c>
      <c r="J11">
        <v>212.68</v>
      </c>
      <c r="K11">
        <v>19.21</v>
      </c>
      <c r="L11">
        <v>425.35999999999996</v>
      </c>
    </row>
    <row r="12" spans="1:12" x14ac:dyDescent="0.2">
      <c r="A12" s="2" t="s">
        <v>34</v>
      </c>
      <c r="B12">
        <v>8.4600000000000009</v>
      </c>
      <c r="C12">
        <v>42.24</v>
      </c>
      <c r="D12">
        <v>37.11</v>
      </c>
      <c r="E12">
        <v>25.86</v>
      </c>
      <c r="F12">
        <v>53.39</v>
      </c>
      <c r="G12">
        <v>6.11</v>
      </c>
      <c r="H12">
        <v>1.74</v>
      </c>
      <c r="I12">
        <v>13.55</v>
      </c>
      <c r="J12">
        <v>209.16</v>
      </c>
      <c r="K12">
        <v>20.7</v>
      </c>
      <c r="L12">
        <v>418.32</v>
      </c>
    </row>
    <row r="13" spans="1:12" x14ac:dyDescent="0.2">
      <c r="A13" s="2" t="s">
        <v>35</v>
      </c>
      <c r="B13">
        <v>8.41</v>
      </c>
      <c r="C13">
        <v>46.03</v>
      </c>
      <c r="D13">
        <v>41.68</v>
      </c>
      <c r="E13">
        <v>24.72</v>
      </c>
      <c r="F13">
        <v>55.15</v>
      </c>
      <c r="G13">
        <v>6.39</v>
      </c>
      <c r="H13">
        <v>1.82</v>
      </c>
      <c r="I13">
        <v>13.23</v>
      </c>
      <c r="J13">
        <v>216.19</v>
      </c>
      <c r="K13">
        <v>18.760000000000002</v>
      </c>
      <c r="L13">
        <v>432.38</v>
      </c>
    </row>
    <row r="14" spans="1:12" x14ac:dyDescent="0.2">
      <c r="A14" s="2" t="s">
        <v>36</v>
      </c>
      <c r="B14">
        <v>8.49</v>
      </c>
      <c r="C14">
        <v>44.39</v>
      </c>
      <c r="D14">
        <v>35.94</v>
      </c>
      <c r="E14">
        <v>24.25</v>
      </c>
      <c r="F14">
        <v>58.02</v>
      </c>
      <c r="G14">
        <v>6.38</v>
      </c>
      <c r="H14">
        <v>1.74</v>
      </c>
      <c r="I14">
        <v>12.4</v>
      </c>
      <c r="J14">
        <v>210</v>
      </c>
      <c r="K14">
        <v>18.39</v>
      </c>
      <c r="L14">
        <v>420</v>
      </c>
    </row>
    <row r="15" spans="1:12" x14ac:dyDescent="0.2">
      <c r="A15" s="2" t="s">
        <v>37</v>
      </c>
      <c r="B15">
        <v>8.56</v>
      </c>
      <c r="C15">
        <v>46.12</v>
      </c>
      <c r="D15">
        <v>36.35</v>
      </c>
      <c r="E15">
        <v>24.51</v>
      </c>
      <c r="F15">
        <v>56.63</v>
      </c>
      <c r="G15">
        <v>5.86</v>
      </c>
      <c r="H15">
        <v>1.71</v>
      </c>
      <c r="I15">
        <v>9.1</v>
      </c>
      <c r="J15">
        <v>208.74</v>
      </c>
      <c r="K15">
        <v>19.899999999999999</v>
      </c>
      <c r="L15">
        <v>417.48</v>
      </c>
    </row>
    <row r="16" spans="1:12" x14ac:dyDescent="0.2">
      <c r="A16" s="2" t="s">
        <v>38</v>
      </c>
      <c r="B16">
        <v>9.42</v>
      </c>
      <c r="C16">
        <v>48.68</v>
      </c>
      <c r="D16">
        <v>42.22</v>
      </c>
      <c r="E16">
        <v>20.57</v>
      </c>
      <c r="F16">
        <v>56.55</v>
      </c>
      <c r="G16">
        <v>6.24</v>
      </c>
      <c r="H16">
        <v>1.68</v>
      </c>
      <c r="I16">
        <v>7.03</v>
      </c>
      <c r="J16">
        <v>223.26</v>
      </c>
      <c r="K16">
        <v>30.87</v>
      </c>
      <c r="L16">
        <v>446.52</v>
      </c>
    </row>
    <row r="17" spans="1:12" x14ac:dyDescent="0.2">
      <c r="A17" s="2" t="s">
        <v>39</v>
      </c>
      <c r="B17">
        <v>9.94</v>
      </c>
      <c r="C17">
        <v>54.84</v>
      </c>
      <c r="D17">
        <v>52.02</v>
      </c>
      <c r="E17">
        <v>22.4</v>
      </c>
      <c r="F17">
        <v>59.89</v>
      </c>
      <c r="G17">
        <v>6.61</v>
      </c>
      <c r="H17">
        <v>1.77</v>
      </c>
      <c r="I17">
        <v>3.69</v>
      </c>
      <c r="J17">
        <v>239.3</v>
      </c>
      <c r="K17">
        <v>28.14</v>
      </c>
      <c r="L17">
        <v>478.6</v>
      </c>
    </row>
    <row r="18" spans="1:12" x14ac:dyDescent="0.2">
      <c r="A18" s="2" t="s">
        <v>40</v>
      </c>
      <c r="B18">
        <v>10.3</v>
      </c>
      <c r="C18">
        <v>50.58</v>
      </c>
      <c r="D18">
        <v>47.03</v>
      </c>
      <c r="E18">
        <v>24.92</v>
      </c>
      <c r="F18">
        <v>70.27</v>
      </c>
      <c r="G18">
        <v>6.8</v>
      </c>
      <c r="H18">
        <v>1.69</v>
      </c>
      <c r="I18">
        <v>2.73</v>
      </c>
      <c r="J18">
        <v>253.94</v>
      </c>
      <c r="K18">
        <v>39.619999999999997</v>
      </c>
      <c r="L18">
        <v>507.88</v>
      </c>
    </row>
    <row r="19" spans="1:12" x14ac:dyDescent="0.2">
      <c r="A19" s="2" t="s">
        <v>41</v>
      </c>
      <c r="B19">
        <v>10.4</v>
      </c>
      <c r="C19">
        <v>49.22</v>
      </c>
      <c r="D19">
        <v>43.2</v>
      </c>
      <c r="E19">
        <v>30.35</v>
      </c>
      <c r="F19">
        <v>72.739999999999995</v>
      </c>
      <c r="G19">
        <v>7.34</v>
      </c>
      <c r="H19">
        <v>1.48</v>
      </c>
      <c r="I19">
        <v>3.19</v>
      </c>
      <c r="J19">
        <v>255.89</v>
      </c>
      <c r="K19">
        <v>37.97</v>
      </c>
      <c r="L19">
        <v>511.78</v>
      </c>
    </row>
    <row r="20" spans="1:12" x14ac:dyDescent="0.2">
      <c r="A20" s="2" t="s">
        <v>42</v>
      </c>
      <c r="B20">
        <v>10.16</v>
      </c>
      <c r="C20">
        <v>53.11</v>
      </c>
      <c r="D20">
        <v>45.94</v>
      </c>
      <c r="E20">
        <v>28.74</v>
      </c>
      <c r="F20">
        <v>65.61</v>
      </c>
      <c r="G20">
        <v>6.93</v>
      </c>
      <c r="H20">
        <v>1.35</v>
      </c>
      <c r="I20">
        <v>5.0999999999999996</v>
      </c>
      <c r="J20">
        <v>243</v>
      </c>
      <c r="K20">
        <v>26.06</v>
      </c>
      <c r="L20">
        <v>486</v>
      </c>
    </row>
    <row r="21" spans="1:12" x14ac:dyDescent="0.2">
      <c r="A21" s="2" t="s">
        <v>43</v>
      </c>
      <c r="B21">
        <v>10.55</v>
      </c>
      <c r="C21">
        <v>50.97</v>
      </c>
      <c r="D21">
        <v>40.119999999999997</v>
      </c>
      <c r="E21">
        <v>34.04</v>
      </c>
      <c r="F21">
        <v>67.010000000000005</v>
      </c>
      <c r="G21">
        <v>7.38</v>
      </c>
      <c r="H21">
        <v>1.46</v>
      </c>
      <c r="I21">
        <v>7.42</v>
      </c>
      <c r="J21">
        <v>253.63</v>
      </c>
      <c r="K21">
        <v>34.68</v>
      </c>
      <c r="L21">
        <v>507.26</v>
      </c>
    </row>
    <row r="22" spans="1:12" x14ac:dyDescent="0.2">
      <c r="A22" s="2" t="s">
        <v>44</v>
      </c>
      <c r="B22">
        <v>9.52</v>
      </c>
      <c r="C22">
        <v>37.76</v>
      </c>
      <c r="D22">
        <v>26.6</v>
      </c>
      <c r="E22">
        <v>35.42</v>
      </c>
      <c r="F22">
        <v>56.95</v>
      </c>
      <c r="G22">
        <v>6.32</v>
      </c>
      <c r="H22">
        <v>1.39</v>
      </c>
      <c r="I22">
        <v>11.7</v>
      </c>
      <c r="J22">
        <v>211.63</v>
      </c>
      <c r="K22">
        <v>25.97</v>
      </c>
      <c r="L22">
        <v>423.26</v>
      </c>
    </row>
    <row r="23" spans="1:12" x14ac:dyDescent="0.2">
      <c r="A23" s="2" t="s">
        <v>45</v>
      </c>
      <c r="B23">
        <v>8.93</v>
      </c>
      <c r="C23">
        <v>39.36</v>
      </c>
      <c r="D23">
        <v>27.57</v>
      </c>
      <c r="E23">
        <v>36.799999999999997</v>
      </c>
      <c r="F23">
        <v>54.5</v>
      </c>
      <c r="G23">
        <v>6.22</v>
      </c>
      <c r="H23">
        <v>1.43</v>
      </c>
      <c r="I23">
        <v>13.88</v>
      </c>
      <c r="J23">
        <v>208.68</v>
      </c>
      <c r="K23">
        <v>19.989999999999998</v>
      </c>
      <c r="L23">
        <v>417.36</v>
      </c>
    </row>
    <row r="24" spans="1:12" x14ac:dyDescent="0.2">
      <c r="A24" s="2" t="s">
        <v>46</v>
      </c>
      <c r="B24">
        <v>8.35</v>
      </c>
      <c r="C24">
        <v>41.08</v>
      </c>
      <c r="D24">
        <v>31.2</v>
      </c>
      <c r="E24">
        <v>31.72</v>
      </c>
      <c r="F24">
        <v>54.39</v>
      </c>
      <c r="G24">
        <v>5.85</v>
      </c>
      <c r="H24">
        <v>1.28</v>
      </c>
      <c r="I24">
        <v>13.44</v>
      </c>
      <c r="J24">
        <v>205.63</v>
      </c>
      <c r="K24">
        <v>18.32</v>
      </c>
      <c r="L24">
        <v>411.26</v>
      </c>
    </row>
    <row r="25" spans="1:12" x14ac:dyDescent="0.2">
      <c r="A25" s="2" t="s">
        <v>47</v>
      </c>
      <c r="B25">
        <v>8.65</v>
      </c>
      <c r="C25">
        <v>48.49</v>
      </c>
      <c r="D25">
        <v>38.82</v>
      </c>
      <c r="E25">
        <v>26.62</v>
      </c>
      <c r="F25">
        <v>58.06</v>
      </c>
      <c r="G25">
        <v>6.38</v>
      </c>
      <c r="H25">
        <v>1.38</v>
      </c>
      <c r="I25">
        <v>15.56</v>
      </c>
      <c r="J25">
        <v>218.49</v>
      </c>
      <c r="K25">
        <v>14.53</v>
      </c>
      <c r="L25">
        <v>436.98</v>
      </c>
    </row>
    <row r="26" spans="1:12" x14ac:dyDescent="0.2">
      <c r="A26" s="2" t="s">
        <v>48</v>
      </c>
      <c r="B26">
        <v>8.84</v>
      </c>
      <c r="C26">
        <v>46.55</v>
      </c>
      <c r="D26">
        <v>39.04</v>
      </c>
      <c r="E26">
        <v>22.2</v>
      </c>
      <c r="F26">
        <v>54.97</v>
      </c>
      <c r="G26">
        <v>6.49</v>
      </c>
      <c r="H26">
        <v>1.39</v>
      </c>
      <c r="I26">
        <v>13.4</v>
      </c>
      <c r="J26">
        <v>211.79</v>
      </c>
      <c r="K26">
        <v>18.91</v>
      </c>
      <c r="L26">
        <v>423.58000000000004</v>
      </c>
    </row>
    <row r="27" spans="1:12" x14ac:dyDescent="0.2">
      <c r="A27" s="2" t="s">
        <v>49</v>
      </c>
      <c r="B27">
        <v>8.89</v>
      </c>
      <c r="C27">
        <v>46.54</v>
      </c>
      <c r="D27">
        <v>37.64</v>
      </c>
      <c r="E27">
        <v>20.25</v>
      </c>
      <c r="F27">
        <v>55.14</v>
      </c>
      <c r="G27">
        <v>6.29</v>
      </c>
      <c r="H27">
        <v>1.32</v>
      </c>
      <c r="I27">
        <v>10.9</v>
      </c>
      <c r="J27">
        <v>209.33</v>
      </c>
      <c r="K27">
        <v>22.36</v>
      </c>
      <c r="L27">
        <v>418.65999999999997</v>
      </c>
    </row>
    <row r="28" spans="1:12" x14ac:dyDescent="0.2">
      <c r="A28" s="2" t="s">
        <v>50</v>
      </c>
      <c r="B28">
        <v>9.7799999999999994</v>
      </c>
      <c r="C28">
        <v>48.95</v>
      </c>
      <c r="D28">
        <v>42.45</v>
      </c>
      <c r="E28">
        <v>18.29</v>
      </c>
      <c r="F28">
        <v>58.8</v>
      </c>
      <c r="G28">
        <v>6.55</v>
      </c>
      <c r="H28">
        <v>1.4</v>
      </c>
      <c r="I28">
        <v>7.53</v>
      </c>
      <c r="J28">
        <v>224.25</v>
      </c>
      <c r="K28">
        <v>30.5</v>
      </c>
      <c r="L28">
        <v>448.5</v>
      </c>
    </row>
    <row r="29" spans="1:12" x14ac:dyDescent="0.2">
      <c r="A29" s="2" t="s">
        <v>51</v>
      </c>
      <c r="B29">
        <v>10.119999999999999</v>
      </c>
      <c r="C29">
        <v>50.93</v>
      </c>
      <c r="D29">
        <v>49.4</v>
      </c>
      <c r="E29">
        <v>23.93</v>
      </c>
      <c r="F29">
        <v>59.81</v>
      </c>
      <c r="G29">
        <v>6.58</v>
      </c>
      <c r="H29">
        <v>1.38</v>
      </c>
      <c r="I29">
        <v>3.76</v>
      </c>
      <c r="J29">
        <v>235.55</v>
      </c>
      <c r="K29">
        <v>29.64</v>
      </c>
      <c r="L29">
        <v>471.1</v>
      </c>
    </row>
    <row r="30" spans="1:12" x14ac:dyDescent="0.2">
      <c r="A30" s="2" t="s">
        <v>52</v>
      </c>
      <c r="B30">
        <v>11.05</v>
      </c>
      <c r="C30">
        <v>47.35</v>
      </c>
      <c r="D30">
        <v>48</v>
      </c>
      <c r="E30">
        <v>26.36</v>
      </c>
      <c r="F30">
        <v>68.69</v>
      </c>
      <c r="G30">
        <v>6.79</v>
      </c>
      <c r="H30">
        <v>1.41</v>
      </c>
      <c r="I30">
        <v>2.88</v>
      </c>
      <c r="J30">
        <v>249.04</v>
      </c>
      <c r="K30">
        <v>36.51</v>
      </c>
      <c r="L30">
        <v>498.07999999999993</v>
      </c>
    </row>
    <row r="31" spans="1:12" x14ac:dyDescent="0.2">
      <c r="A31" s="2" t="s">
        <v>53</v>
      </c>
      <c r="B31">
        <v>11.03</v>
      </c>
      <c r="C31">
        <v>51.13</v>
      </c>
      <c r="D31">
        <v>56.05</v>
      </c>
      <c r="E31">
        <v>25.43</v>
      </c>
      <c r="F31">
        <v>71.84</v>
      </c>
      <c r="G31">
        <v>8.31</v>
      </c>
      <c r="H31">
        <v>1.64</v>
      </c>
      <c r="I31">
        <v>3.53</v>
      </c>
      <c r="J31">
        <v>267.41000000000003</v>
      </c>
      <c r="K31">
        <v>38.450000000000003</v>
      </c>
      <c r="L31">
        <v>534.82000000000005</v>
      </c>
    </row>
    <row r="32" spans="1:12" x14ac:dyDescent="0.2">
      <c r="A32" s="2" t="s">
        <v>54</v>
      </c>
      <c r="B32">
        <v>9.57</v>
      </c>
      <c r="C32">
        <v>42.22</v>
      </c>
      <c r="D32">
        <v>43.95</v>
      </c>
      <c r="E32">
        <v>24.29</v>
      </c>
      <c r="F32">
        <v>64.92</v>
      </c>
      <c r="G32">
        <v>6.9</v>
      </c>
      <c r="H32">
        <v>1.51</v>
      </c>
      <c r="I32">
        <v>6.78</v>
      </c>
      <c r="J32">
        <v>231.29</v>
      </c>
      <c r="K32">
        <v>31.15</v>
      </c>
      <c r="L32">
        <v>462.57999999999993</v>
      </c>
    </row>
    <row r="33" spans="1:12" x14ac:dyDescent="0.2">
      <c r="A33" s="2" t="s">
        <v>55</v>
      </c>
      <c r="B33">
        <v>10.27</v>
      </c>
      <c r="C33">
        <v>35.549999999999997</v>
      </c>
      <c r="D33">
        <v>39.880000000000003</v>
      </c>
      <c r="E33">
        <v>26.1</v>
      </c>
      <c r="F33">
        <v>66.84</v>
      </c>
      <c r="G33">
        <v>7.02</v>
      </c>
      <c r="H33">
        <v>1.64</v>
      </c>
      <c r="I33">
        <v>9.7799999999999994</v>
      </c>
      <c r="J33">
        <v>238.64</v>
      </c>
      <c r="K33">
        <v>41.56</v>
      </c>
      <c r="L33">
        <v>477.28</v>
      </c>
    </row>
    <row r="34" spans="1:12" x14ac:dyDescent="0.2">
      <c r="A34" s="2" t="s">
        <v>56</v>
      </c>
      <c r="B34">
        <v>9.11</v>
      </c>
      <c r="C34">
        <v>34.21</v>
      </c>
      <c r="D34">
        <v>36.950000000000003</v>
      </c>
      <c r="E34">
        <v>25.94</v>
      </c>
      <c r="F34">
        <v>60.58</v>
      </c>
      <c r="G34">
        <v>6.44</v>
      </c>
      <c r="H34">
        <v>1.57</v>
      </c>
      <c r="I34">
        <v>12.19</v>
      </c>
      <c r="J34">
        <v>214</v>
      </c>
      <c r="K34">
        <v>27.01</v>
      </c>
      <c r="L34">
        <v>428</v>
      </c>
    </row>
    <row r="35" spans="1:12" x14ac:dyDescent="0.2">
      <c r="A35" s="2" t="s">
        <v>57</v>
      </c>
      <c r="B35">
        <v>8.7200000000000006</v>
      </c>
      <c r="C35">
        <v>32.33</v>
      </c>
      <c r="D35">
        <v>37.29</v>
      </c>
      <c r="E35">
        <v>30.34</v>
      </c>
      <c r="F35">
        <v>57.71</v>
      </c>
      <c r="G35">
        <v>6.29</v>
      </c>
      <c r="H35">
        <v>1.55</v>
      </c>
      <c r="I35">
        <v>13.39</v>
      </c>
      <c r="J35">
        <v>213.67</v>
      </c>
      <c r="K35">
        <v>26.05</v>
      </c>
      <c r="L35">
        <v>427.34</v>
      </c>
    </row>
    <row r="36" spans="1:12" x14ac:dyDescent="0.2">
      <c r="A36" s="2" t="s">
        <v>58</v>
      </c>
      <c r="B36">
        <v>8.11</v>
      </c>
      <c r="C36">
        <v>28.61</v>
      </c>
      <c r="D36">
        <v>39.86</v>
      </c>
      <c r="E36">
        <v>31.08</v>
      </c>
      <c r="F36">
        <v>55.24</v>
      </c>
      <c r="G36">
        <v>5.61</v>
      </c>
      <c r="H36">
        <v>1.25</v>
      </c>
      <c r="I36">
        <v>16.260000000000002</v>
      </c>
      <c r="J36">
        <v>206.3</v>
      </c>
      <c r="K36">
        <v>20.28</v>
      </c>
      <c r="L36">
        <v>412.6</v>
      </c>
    </row>
    <row r="37" spans="1:12" x14ac:dyDescent="0.2">
      <c r="A37" s="2" t="s">
        <v>59</v>
      </c>
      <c r="B37">
        <v>8.5500000000000007</v>
      </c>
      <c r="C37">
        <v>32.08</v>
      </c>
      <c r="D37">
        <v>50.6</v>
      </c>
      <c r="E37">
        <v>26.09</v>
      </c>
      <c r="F37">
        <v>57.99</v>
      </c>
      <c r="G37">
        <v>5.88</v>
      </c>
      <c r="H37">
        <v>1.45</v>
      </c>
      <c r="I37">
        <v>15.55</v>
      </c>
      <c r="J37">
        <v>217.87</v>
      </c>
      <c r="K37">
        <v>19.68</v>
      </c>
      <c r="L37">
        <v>435.74</v>
      </c>
    </row>
    <row r="38" spans="1:12" x14ac:dyDescent="0.2">
      <c r="A38" s="2" t="s">
        <v>60</v>
      </c>
      <c r="B38">
        <v>8.61</v>
      </c>
      <c r="C38">
        <v>29.86</v>
      </c>
      <c r="D38">
        <v>48.15</v>
      </c>
      <c r="E38">
        <v>22.19</v>
      </c>
      <c r="F38">
        <v>57.29</v>
      </c>
      <c r="G38">
        <v>6.26</v>
      </c>
      <c r="H38">
        <v>1.44</v>
      </c>
      <c r="I38">
        <v>14.65</v>
      </c>
      <c r="J38">
        <v>207.18</v>
      </c>
      <c r="K38">
        <v>18.73</v>
      </c>
      <c r="L38">
        <v>414.36</v>
      </c>
    </row>
    <row r="39" spans="1:12" x14ac:dyDescent="0.2">
      <c r="A39" s="2" t="s">
        <v>61</v>
      </c>
      <c r="B39">
        <v>8.27</v>
      </c>
      <c r="C39">
        <v>29.55</v>
      </c>
      <c r="D39">
        <v>47.71</v>
      </c>
      <c r="E39">
        <v>19.78</v>
      </c>
      <c r="F39">
        <v>55.87</v>
      </c>
      <c r="G39">
        <v>6.44</v>
      </c>
      <c r="H39">
        <v>1.46</v>
      </c>
      <c r="I39">
        <v>11.2</v>
      </c>
      <c r="J39">
        <v>206.64</v>
      </c>
      <c r="K39">
        <v>26.36</v>
      </c>
      <c r="L39">
        <v>413.28</v>
      </c>
    </row>
    <row r="40" spans="1:12" x14ac:dyDescent="0.2">
      <c r="A40" s="2" t="s">
        <v>62</v>
      </c>
      <c r="B40">
        <v>9.4499999999999993</v>
      </c>
      <c r="C40">
        <v>35.03</v>
      </c>
      <c r="D40">
        <v>52.01</v>
      </c>
      <c r="E40">
        <v>20.89</v>
      </c>
      <c r="F40">
        <v>58.77</v>
      </c>
      <c r="G40">
        <v>6.85</v>
      </c>
      <c r="H40">
        <v>1.56</v>
      </c>
      <c r="I40">
        <v>7.76</v>
      </c>
      <c r="J40">
        <v>221.99</v>
      </c>
      <c r="K40">
        <v>29.67</v>
      </c>
      <c r="L40">
        <v>443.98</v>
      </c>
    </row>
    <row r="41" spans="1:12" x14ac:dyDescent="0.2">
      <c r="A41" s="2" t="s">
        <v>63</v>
      </c>
      <c r="B41">
        <v>10.01</v>
      </c>
      <c r="C41">
        <v>39.58</v>
      </c>
      <c r="D41">
        <v>48.46</v>
      </c>
      <c r="E41">
        <v>29.36</v>
      </c>
      <c r="F41">
        <v>58.67</v>
      </c>
      <c r="G41">
        <v>6.91</v>
      </c>
      <c r="H41">
        <v>1.58</v>
      </c>
      <c r="I41">
        <v>3.84</v>
      </c>
      <c r="J41">
        <v>232.79</v>
      </c>
      <c r="K41">
        <v>34.380000000000003</v>
      </c>
      <c r="L41">
        <v>465.58</v>
      </c>
    </row>
    <row r="42" spans="1:12" x14ac:dyDescent="0.2">
      <c r="A42" s="2" t="s">
        <v>64</v>
      </c>
      <c r="B42">
        <v>10.5</v>
      </c>
      <c r="C42">
        <v>34.58</v>
      </c>
      <c r="D42">
        <v>42.91</v>
      </c>
      <c r="E42">
        <v>33.840000000000003</v>
      </c>
      <c r="F42">
        <v>64.31</v>
      </c>
      <c r="G42">
        <v>6.95</v>
      </c>
      <c r="H42">
        <v>1.64</v>
      </c>
      <c r="I42">
        <v>3.57</v>
      </c>
      <c r="J42">
        <v>240.45</v>
      </c>
      <c r="K42">
        <v>42.15</v>
      </c>
      <c r="L42">
        <v>480.89999999999992</v>
      </c>
    </row>
    <row r="43" spans="1:12" x14ac:dyDescent="0.2">
      <c r="A43" s="2" t="s">
        <v>65</v>
      </c>
      <c r="B43">
        <v>10.4</v>
      </c>
      <c r="C43">
        <v>35.31</v>
      </c>
      <c r="D43">
        <v>56.05</v>
      </c>
      <c r="E43">
        <v>29.43</v>
      </c>
      <c r="F43">
        <v>68.040000000000006</v>
      </c>
      <c r="G43">
        <v>6.9</v>
      </c>
      <c r="H43">
        <v>1.64</v>
      </c>
      <c r="I43">
        <v>4.46</v>
      </c>
      <c r="J43">
        <v>254.3</v>
      </c>
      <c r="K43">
        <v>42.07</v>
      </c>
      <c r="L43">
        <v>508.6</v>
      </c>
    </row>
    <row r="44" spans="1:12" x14ac:dyDescent="0.2">
      <c r="A44" s="2" t="s">
        <v>66</v>
      </c>
      <c r="B44">
        <v>9.27</v>
      </c>
      <c r="C44">
        <v>27.37</v>
      </c>
      <c r="D44">
        <v>45.31</v>
      </c>
      <c r="E44">
        <v>28.62</v>
      </c>
      <c r="F44">
        <v>60.58</v>
      </c>
      <c r="G44">
        <v>6.37</v>
      </c>
      <c r="H44">
        <v>1.49</v>
      </c>
      <c r="I44">
        <v>6.73</v>
      </c>
      <c r="J44">
        <v>235.21</v>
      </c>
      <c r="K44">
        <v>49.47</v>
      </c>
      <c r="L44">
        <v>470.42000000000007</v>
      </c>
    </row>
    <row r="45" spans="1:12" x14ac:dyDescent="0.2">
      <c r="A45" s="2" t="s">
        <v>67</v>
      </c>
      <c r="B45">
        <v>10.130000000000001</v>
      </c>
      <c r="C45">
        <v>27.88</v>
      </c>
      <c r="D45">
        <v>41.5</v>
      </c>
      <c r="E45">
        <v>31.76</v>
      </c>
      <c r="F45">
        <v>59.85</v>
      </c>
      <c r="G45">
        <v>6.42</v>
      </c>
      <c r="H45">
        <v>1.6</v>
      </c>
      <c r="I45">
        <v>11.43</v>
      </c>
      <c r="J45">
        <v>231.22</v>
      </c>
      <c r="K45">
        <v>40.65</v>
      </c>
      <c r="L45">
        <v>462.43999999999994</v>
      </c>
    </row>
    <row r="46" spans="1:12" x14ac:dyDescent="0.2">
      <c r="A46" s="2" t="s">
        <v>68</v>
      </c>
      <c r="B46">
        <v>9.2200000000000006</v>
      </c>
      <c r="C46">
        <v>20.12</v>
      </c>
      <c r="D46">
        <v>32.35</v>
      </c>
      <c r="E46">
        <v>27.56</v>
      </c>
      <c r="F46">
        <v>51.59</v>
      </c>
      <c r="G46">
        <v>5.52</v>
      </c>
      <c r="H46">
        <v>1.47</v>
      </c>
      <c r="I46">
        <v>16.03</v>
      </c>
      <c r="J46">
        <v>190.34</v>
      </c>
      <c r="K46">
        <v>26.48</v>
      </c>
      <c r="L46">
        <v>380.68000000000006</v>
      </c>
    </row>
    <row r="47" spans="1:12" x14ac:dyDescent="0.2">
      <c r="A47" s="2" t="s">
        <v>69</v>
      </c>
      <c r="B47">
        <v>9.26</v>
      </c>
      <c r="C47">
        <v>19.8</v>
      </c>
      <c r="D47">
        <v>32.97</v>
      </c>
      <c r="E47">
        <v>31.36</v>
      </c>
      <c r="F47">
        <v>47.87</v>
      </c>
      <c r="G47">
        <v>5.53</v>
      </c>
      <c r="H47">
        <v>1.47</v>
      </c>
      <c r="I47">
        <v>17.489999999999998</v>
      </c>
      <c r="J47">
        <v>191.24</v>
      </c>
      <c r="K47">
        <v>25.49</v>
      </c>
      <c r="L47">
        <v>382.48</v>
      </c>
    </row>
    <row r="48" spans="1:12" x14ac:dyDescent="0.2">
      <c r="A48" s="2" t="s">
        <v>70</v>
      </c>
      <c r="B48">
        <v>8.3699999999999992</v>
      </c>
      <c r="C48">
        <v>22.01</v>
      </c>
      <c r="D48">
        <v>40.21</v>
      </c>
      <c r="E48">
        <v>30.8</v>
      </c>
      <c r="F48">
        <v>43.96</v>
      </c>
      <c r="G48">
        <v>5.33</v>
      </c>
      <c r="H48">
        <v>1.33</v>
      </c>
      <c r="I48">
        <v>16.809999999999999</v>
      </c>
      <c r="J48">
        <v>189.67</v>
      </c>
      <c r="K48">
        <v>20.85</v>
      </c>
      <c r="L48">
        <v>379.34000000000003</v>
      </c>
    </row>
    <row r="49" spans="1:12" x14ac:dyDescent="0.2">
      <c r="A49" s="2" t="s">
        <v>71</v>
      </c>
      <c r="B49">
        <v>8.3699999999999992</v>
      </c>
      <c r="C49">
        <v>23.87</v>
      </c>
      <c r="D49">
        <v>48.97</v>
      </c>
      <c r="E49">
        <v>27.42</v>
      </c>
      <c r="F49">
        <v>47.27</v>
      </c>
      <c r="G49">
        <v>5.73</v>
      </c>
      <c r="H49">
        <v>1.42</v>
      </c>
      <c r="I49">
        <v>18.350000000000001</v>
      </c>
      <c r="J49">
        <v>204.5</v>
      </c>
      <c r="K49">
        <v>23.1</v>
      </c>
      <c r="L49">
        <v>409</v>
      </c>
    </row>
    <row r="50" spans="1:12" x14ac:dyDescent="0.2">
      <c r="A50" s="2" t="s">
        <v>72</v>
      </c>
      <c r="B50">
        <v>8.64</v>
      </c>
      <c r="C50">
        <v>26.65</v>
      </c>
      <c r="D50">
        <v>45.95</v>
      </c>
      <c r="E50">
        <v>25.79</v>
      </c>
      <c r="F50">
        <v>48.04</v>
      </c>
      <c r="G50">
        <v>6.18</v>
      </c>
      <c r="H50">
        <v>1.39</v>
      </c>
      <c r="I50">
        <v>16.59</v>
      </c>
      <c r="J50">
        <v>200.2</v>
      </c>
      <c r="K50">
        <v>20.97</v>
      </c>
      <c r="L50">
        <v>400.4</v>
      </c>
    </row>
    <row r="51" spans="1:12" x14ac:dyDescent="0.2">
      <c r="A51" s="2" t="s">
        <v>73</v>
      </c>
      <c r="B51">
        <v>8.7100000000000009</v>
      </c>
      <c r="C51">
        <v>30.35</v>
      </c>
      <c r="D51">
        <v>45.26</v>
      </c>
      <c r="E51">
        <v>23.22</v>
      </c>
      <c r="F51">
        <v>47.42</v>
      </c>
      <c r="G51">
        <v>6.3</v>
      </c>
      <c r="H51">
        <v>1.45</v>
      </c>
      <c r="I51">
        <v>13.53</v>
      </c>
      <c r="J51">
        <v>200.43</v>
      </c>
      <c r="K51">
        <v>24.19</v>
      </c>
      <c r="L51">
        <v>400.85999999999996</v>
      </c>
    </row>
    <row r="52" spans="1:12" x14ac:dyDescent="0.2">
      <c r="A52" s="2" t="s">
        <v>74</v>
      </c>
      <c r="B52">
        <v>9.39</v>
      </c>
      <c r="C52">
        <v>32.119999999999997</v>
      </c>
      <c r="D52">
        <v>39.590000000000003</v>
      </c>
      <c r="E52">
        <v>28.2</v>
      </c>
      <c r="F52">
        <v>54.19</v>
      </c>
      <c r="G52">
        <v>6.25</v>
      </c>
      <c r="H52">
        <v>1.58</v>
      </c>
      <c r="I52">
        <v>8.2100000000000009</v>
      </c>
      <c r="J52">
        <v>218.39</v>
      </c>
      <c r="K52">
        <v>38.86</v>
      </c>
      <c r="L52">
        <v>436.78000000000003</v>
      </c>
    </row>
    <row r="53" spans="1:12" x14ac:dyDescent="0.2">
      <c r="A53" s="2" t="s">
        <v>75</v>
      </c>
      <c r="B53">
        <v>9.7799999999999994</v>
      </c>
      <c r="C53">
        <v>35.43</v>
      </c>
      <c r="D53">
        <v>48.54</v>
      </c>
      <c r="E53">
        <v>27.24</v>
      </c>
      <c r="F53">
        <v>57.76</v>
      </c>
      <c r="G53">
        <v>6.46</v>
      </c>
      <c r="H53">
        <v>1.56</v>
      </c>
      <c r="I53">
        <v>5.59</v>
      </c>
      <c r="J53">
        <v>225.72</v>
      </c>
      <c r="K53">
        <v>33.36</v>
      </c>
      <c r="L53">
        <v>451.44000000000005</v>
      </c>
    </row>
    <row r="54" spans="1:12" x14ac:dyDescent="0.2">
      <c r="A54" s="2" t="s">
        <v>76</v>
      </c>
      <c r="B54">
        <v>10.79</v>
      </c>
      <c r="C54">
        <v>34.979999999999997</v>
      </c>
      <c r="D54">
        <v>50.07</v>
      </c>
      <c r="E54">
        <v>30.12</v>
      </c>
      <c r="F54">
        <v>63.96</v>
      </c>
      <c r="G54">
        <v>6.61</v>
      </c>
      <c r="H54">
        <v>1.64</v>
      </c>
      <c r="I54">
        <v>3.39</v>
      </c>
      <c r="J54">
        <v>241.47</v>
      </c>
      <c r="K54">
        <v>39.909999999999997</v>
      </c>
      <c r="L54">
        <v>482.93999999999994</v>
      </c>
    </row>
    <row r="55" spans="1:12" x14ac:dyDescent="0.2">
      <c r="A55" s="2" t="s">
        <v>77</v>
      </c>
      <c r="B55">
        <v>11.37</v>
      </c>
      <c r="C55">
        <v>39.81</v>
      </c>
      <c r="D55">
        <v>52.18</v>
      </c>
      <c r="E55">
        <v>34.729999999999997</v>
      </c>
      <c r="F55">
        <v>67.98</v>
      </c>
      <c r="G55">
        <v>6.84</v>
      </c>
      <c r="H55">
        <v>1.69</v>
      </c>
      <c r="I55">
        <v>4.08</v>
      </c>
      <c r="J55">
        <v>256.83</v>
      </c>
      <c r="K55">
        <v>38.15</v>
      </c>
      <c r="L55">
        <v>513.66</v>
      </c>
    </row>
    <row r="56" spans="1:12" x14ac:dyDescent="0.2">
      <c r="A56" s="2" t="s">
        <v>78</v>
      </c>
      <c r="B56">
        <v>10.220000000000001</v>
      </c>
      <c r="C56">
        <v>31.25</v>
      </c>
      <c r="D56">
        <v>42.3</v>
      </c>
      <c r="E56">
        <v>35</v>
      </c>
      <c r="F56">
        <v>58.64</v>
      </c>
      <c r="G56">
        <v>6.2</v>
      </c>
      <c r="H56">
        <v>1.48</v>
      </c>
      <c r="I56">
        <v>7.29</v>
      </c>
      <c r="J56">
        <v>229.44</v>
      </c>
      <c r="K56">
        <v>37.06</v>
      </c>
      <c r="L56">
        <v>458.87999999999994</v>
      </c>
    </row>
    <row r="57" spans="1:12" x14ac:dyDescent="0.2">
      <c r="A57" s="2" t="s">
        <v>79</v>
      </c>
      <c r="B57">
        <v>10.66</v>
      </c>
      <c r="C57">
        <v>31.75</v>
      </c>
      <c r="D57">
        <v>46.72</v>
      </c>
      <c r="E57">
        <v>30.55</v>
      </c>
      <c r="F57">
        <v>62.14</v>
      </c>
      <c r="G57">
        <v>6.21</v>
      </c>
      <c r="H57">
        <v>1.63</v>
      </c>
      <c r="I57">
        <v>13.52</v>
      </c>
      <c r="J57">
        <v>239.91</v>
      </c>
      <c r="K57">
        <v>36.729999999999997</v>
      </c>
      <c r="L57">
        <v>479.82000000000005</v>
      </c>
    </row>
    <row r="58" spans="1:12" x14ac:dyDescent="0.2">
      <c r="A58" s="2" t="s">
        <v>80</v>
      </c>
      <c r="B58">
        <v>10.14</v>
      </c>
      <c r="C58">
        <v>28.73</v>
      </c>
      <c r="D58">
        <v>43.02</v>
      </c>
      <c r="E58">
        <v>26.54</v>
      </c>
      <c r="F58">
        <v>54.03</v>
      </c>
      <c r="G58">
        <v>5.78</v>
      </c>
      <c r="H58">
        <v>1.46</v>
      </c>
      <c r="I58">
        <v>16.190000000000001</v>
      </c>
      <c r="J58">
        <v>215.8</v>
      </c>
      <c r="K58">
        <v>29.91</v>
      </c>
      <c r="L58">
        <v>431.60000000000008</v>
      </c>
    </row>
    <row r="59" spans="1:12" x14ac:dyDescent="0.2">
      <c r="A59" s="2" t="s">
        <v>81</v>
      </c>
      <c r="B59">
        <v>9.64</v>
      </c>
      <c r="C59">
        <v>23.5</v>
      </c>
      <c r="D59">
        <v>31.72</v>
      </c>
      <c r="E59">
        <v>33.24</v>
      </c>
      <c r="F59">
        <v>52.94</v>
      </c>
      <c r="G59">
        <v>5.87</v>
      </c>
      <c r="H59">
        <v>1.48</v>
      </c>
      <c r="I59">
        <v>19.02</v>
      </c>
      <c r="J59">
        <v>208.83</v>
      </c>
      <c r="K59">
        <v>31.42</v>
      </c>
      <c r="L59">
        <v>417.66</v>
      </c>
    </row>
    <row r="60" spans="1:12" x14ac:dyDescent="0.2">
      <c r="A60" s="2" t="s">
        <v>82</v>
      </c>
      <c r="B60">
        <v>8.42</v>
      </c>
      <c r="C60">
        <v>27.07</v>
      </c>
      <c r="D60">
        <v>38.68</v>
      </c>
      <c r="E60">
        <v>32.4</v>
      </c>
      <c r="F60">
        <v>52.65</v>
      </c>
      <c r="G60">
        <v>5.71</v>
      </c>
      <c r="H60">
        <v>1.39</v>
      </c>
      <c r="I60">
        <v>21.28</v>
      </c>
      <c r="J60">
        <v>205.02</v>
      </c>
      <c r="K60">
        <v>17.420000000000002</v>
      </c>
      <c r="L60">
        <v>410.04</v>
      </c>
    </row>
    <row r="61" spans="1:12" x14ac:dyDescent="0.2">
      <c r="A61" s="2" t="s">
        <v>83</v>
      </c>
      <c r="B61">
        <v>8.77</v>
      </c>
      <c r="C61">
        <v>30.26</v>
      </c>
      <c r="D61">
        <v>39.51</v>
      </c>
      <c r="E61">
        <v>30.26</v>
      </c>
      <c r="F61">
        <v>56.69</v>
      </c>
      <c r="G61">
        <v>6.19</v>
      </c>
      <c r="H61">
        <v>1.44</v>
      </c>
      <c r="I61">
        <v>20.55</v>
      </c>
      <c r="J61">
        <v>215.99</v>
      </c>
      <c r="K61">
        <v>22.32</v>
      </c>
      <c r="L61">
        <v>431.98</v>
      </c>
    </row>
    <row r="62" spans="1:12" x14ac:dyDescent="0.2">
      <c r="A62" s="2" t="s">
        <v>84</v>
      </c>
      <c r="B62">
        <v>9.0399999999999991</v>
      </c>
      <c r="C62">
        <v>30.17</v>
      </c>
      <c r="D62">
        <v>33.01</v>
      </c>
      <c r="E62">
        <v>27.85</v>
      </c>
      <c r="F62">
        <v>57.38</v>
      </c>
      <c r="G62">
        <v>6.29</v>
      </c>
      <c r="H62">
        <v>1.41</v>
      </c>
      <c r="I62">
        <v>18.350000000000001</v>
      </c>
      <c r="J62">
        <v>208.86</v>
      </c>
      <c r="K62">
        <v>25.36</v>
      </c>
      <c r="L62">
        <v>417.72</v>
      </c>
    </row>
    <row r="63" spans="1:12" x14ac:dyDescent="0.2">
      <c r="A63" s="2" t="s">
        <v>85</v>
      </c>
      <c r="B63">
        <v>9.2100000000000009</v>
      </c>
      <c r="C63">
        <v>36.74</v>
      </c>
      <c r="D63">
        <v>40.07</v>
      </c>
      <c r="E63">
        <v>21.6</v>
      </c>
      <c r="F63">
        <v>56.54</v>
      </c>
      <c r="G63">
        <v>5.97</v>
      </c>
      <c r="H63">
        <v>1.39</v>
      </c>
      <c r="I63">
        <v>15.47</v>
      </c>
      <c r="J63">
        <v>207.96</v>
      </c>
      <c r="K63">
        <v>20.97</v>
      </c>
      <c r="L63">
        <v>415.91999999999996</v>
      </c>
    </row>
    <row r="64" spans="1:12" x14ac:dyDescent="0.2">
      <c r="A64" s="2" t="s">
        <v>86</v>
      </c>
      <c r="B64">
        <v>10.01</v>
      </c>
      <c r="C64">
        <v>36.71</v>
      </c>
      <c r="D64">
        <v>39.07</v>
      </c>
      <c r="E64">
        <v>20.309999999999999</v>
      </c>
      <c r="F64">
        <v>59.28</v>
      </c>
      <c r="G64">
        <v>6.26</v>
      </c>
      <c r="H64">
        <v>1.51</v>
      </c>
      <c r="I64">
        <v>11.45</v>
      </c>
      <c r="J64">
        <v>222.85</v>
      </c>
      <c r="K64">
        <v>38.25</v>
      </c>
      <c r="L64">
        <v>445.69999999999993</v>
      </c>
    </row>
    <row r="65" spans="1:12" x14ac:dyDescent="0.2">
      <c r="A65" s="2" t="s">
        <v>87</v>
      </c>
      <c r="B65">
        <v>10.61</v>
      </c>
      <c r="C65">
        <v>40.49</v>
      </c>
      <c r="D65">
        <v>54.94</v>
      </c>
      <c r="E65">
        <v>22.27</v>
      </c>
      <c r="F65">
        <v>58.55</v>
      </c>
      <c r="G65">
        <v>6.74</v>
      </c>
      <c r="H65">
        <v>1.53</v>
      </c>
      <c r="I65">
        <v>5.83</v>
      </c>
      <c r="J65">
        <v>236.07</v>
      </c>
      <c r="K65">
        <v>35.11</v>
      </c>
      <c r="L65">
        <v>472.14000000000004</v>
      </c>
    </row>
    <row r="66" spans="1:12" x14ac:dyDescent="0.2">
      <c r="A66" s="2" t="s">
        <v>88</v>
      </c>
      <c r="B66">
        <v>11.71</v>
      </c>
      <c r="C66">
        <v>42.48</v>
      </c>
      <c r="D66">
        <v>52.83</v>
      </c>
      <c r="E66">
        <v>27.87</v>
      </c>
      <c r="F66">
        <v>61.27</v>
      </c>
      <c r="G66">
        <v>7.41</v>
      </c>
      <c r="H66">
        <v>1.57</v>
      </c>
      <c r="I66">
        <v>4.5</v>
      </c>
      <c r="J66">
        <v>252.58</v>
      </c>
      <c r="K66">
        <v>42.94</v>
      </c>
      <c r="L66">
        <v>505.16</v>
      </c>
    </row>
    <row r="67" spans="1:12" x14ac:dyDescent="0.2">
      <c r="A67" s="2" t="s">
        <v>89</v>
      </c>
      <c r="B67">
        <v>11.39</v>
      </c>
      <c r="C67">
        <v>40.090000000000003</v>
      </c>
      <c r="D67">
        <v>54.66</v>
      </c>
      <c r="E67">
        <v>26.68</v>
      </c>
      <c r="F67">
        <v>63.61</v>
      </c>
      <c r="G67">
        <v>7.29</v>
      </c>
      <c r="H67">
        <v>1.71</v>
      </c>
      <c r="I67">
        <v>6.68</v>
      </c>
      <c r="J67">
        <v>258.37</v>
      </c>
      <c r="K67">
        <v>46.26</v>
      </c>
      <c r="L67">
        <v>516.74</v>
      </c>
    </row>
    <row r="68" spans="1:12" x14ac:dyDescent="0.2">
      <c r="A68" s="2" t="s">
        <v>90</v>
      </c>
      <c r="B68">
        <v>10.15</v>
      </c>
      <c r="C68">
        <v>31.99</v>
      </c>
      <c r="D68">
        <v>42.86</v>
      </c>
      <c r="E68">
        <v>21.41</v>
      </c>
      <c r="F68">
        <v>54.74</v>
      </c>
      <c r="G68">
        <v>6.17</v>
      </c>
      <c r="H68">
        <v>1.49</v>
      </c>
      <c r="I68">
        <v>9.92</v>
      </c>
      <c r="J68">
        <v>230.72</v>
      </c>
      <c r="K68">
        <v>51.99</v>
      </c>
      <c r="L68">
        <v>461.44</v>
      </c>
    </row>
    <row r="69" spans="1:12" x14ac:dyDescent="0.2">
      <c r="A69" s="2" t="s">
        <v>91</v>
      </c>
      <c r="B69">
        <v>11.21</v>
      </c>
      <c r="C69">
        <v>42.42</v>
      </c>
      <c r="D69">
        <v>47.6</v>
      </c>
      <c r="E69">
        <v>22.81</v>
      </c>
      <c r="F69">
        <v>54.51</v>
      </c>
      <c r="G69">
        <v>7.1</v>
      </c>
      <c r="H69">
        <v>1.66</v>
      </c>
      <c r="I69">
        <v>16.690000000000001</v>
      </c>
      <c r="J69">
        <v>237.69</v>
      </c>
      <c r="K69">
        <v>33.69</v>
      </c>
      <c r="L69">
        <v>475.38</v>
      </c>
    </row>
    <row r="70" spans="1:12" x14ac:dyDescent="0.2">
      <c r="A70" s="2" t="s">
        <v>92</v>
      </c>
      <c r="B70">
        <v>10.09</v>
      </c>
      <c r="C70">
        <v>32.33</v>
      </c>
      <c r="D70">
        <v>34.590000000000003</v>
      </c>
      <c r="E70">
        <v>24.54</v>
      </c>
      <c r="F70">
        <v>47.32</v>
      </c>
      <c r="G70">
        <v>5.82</v>
      </c>
      <c r="H70">
        <v>1.5</v>
      </c>
      <c r="I70">
        <v>20.100000000000001</v>
      </c>
      <c r="J70">
        <v>212.49</v>
      </c>
      <c r="K70">
        <v>36.200000000000003</v>
      </c>
      <c r="L70">
        <v>424.97999999999996</v>
      </c>
    </row>
    <row r="71" spans="1:12" x14ac:dyDescent="0.2">
      <c r="A71" s="2" t="s">
        <v>93</v>
      </c>
      <c r="B71">
        <v>9.74</v>
      </c>
      <c r="C71">
        <v>29.99</v>
      </c>
      <c r="D71">
        <v>35.549999999999997</v>
      </c>
      <c r="E71">
        <v>26.72</v>
      </c>
      <c r="F71">
        <v>42.74</v>
      </c>
      <c r="G71">
        <v>6</v>
      </c>
      <c r="H71">
        <v>1.44</v>
      </c>
      <c r="I71">
        <v>25.69</v>
      </c>
      <c r="J71">
        <v>205.17</v>
      </c>
      <c r="K71">
        <v>27.3</v>
      </c>
      <c r="L71">
        <v>410.34</v>
      </c>
    </row>
    <row r="72" spans="1:12" x14ac:dyDescent="0.2">
      <c r="A72" s="2" t="s">
        <v>94</v>
      </c>
      <c r="B72">
        <v>9.11</v>
      </c>
      <c r="C72">
        <v>31.96</v>
      </c>
      <c r="D72">
        <v>39.83</v>
      </c>
      <c r="E72">
        <v>24.45</v>
      </c>
      <c r="F72">
        <v>42.67</v>
      </c>
      <c r="G72">
        <v>5.85</v>
      </c>
      <c r="H72">
        <v>1.32</v>
      </c>
      <c r="I72">
        <v>26.18</v>
      </c>
      <c r="J72">
        <v>203.09</v>
      </c>
      <c r="K72">
        <v>21.72</v>
      </c>
      <c r="L72">
        <v>406.18000000000006</v>
      </c>
    </row>
    <row r="73" spans="1:12" x14ac:dyDescent="0.2">
      <c r="A73" s="2" t="s">
        <v>95</v>
      </c>
      <c r="B73">
        <v>9.16</v>
      </c>
      <c r="C73">
        <v>33.78</v>
      </c>
      <c r="D73">
        <v>44.04</v>
      </c>
      <c r="E73">
        <v>22.04</v>
      </c>
      <c r="F73">
        <v>43.9</v>
      </c>
      <c r="G73">
        <v>6.16</v>
      </c>
      <c r="H73">
        <v>1.36</v>
      </c>
      <c r="I73">
        <v>27.16</v>
      </c>
      <c r="J73">
        <v>212.78</v>
      </c>
      <c r="K73">
        <v>25.18</v>
      </c>
      <c r="L73">
        <v>425.56</v>
      </c>
    </row>
    <row r="74" spans="1:12" x14ac:dyDescent="0.2">
      <c r="A74" s="2" t="s">
        <v>96</v>
      </c>
      <c r="B74">
        <v>9.14</v>
      </c>
      <c r="C74">
        <v>35.67</v>
      </c>
      <c r="D74">
        <v>42.83</v>
      </c>
      <c r="E74">
        <v>19.97</v>
      </c>
      <c r="F74">
        <v>43.3</v>
      </c>
      <c r="G74">
        <v>5.91</v>
      </c>
      <c r="H74">
        <v>1.36</v>
      </c>
      <c r="I74">
        <v>24.97</v>
      </c>
      <c r="J74">
        <v>204.2</v>
      </c>
      <c r="K74">
        <v>21.05</v>
      </c>
      <c r="L74">
        <v>408.40000000000003</v>
      </c>
    </row>
    <row r="75" spans="1:12" x14ac:dyDescent="0.2">
      <c r="A75" s="2" t="s">
        <v>97</v>
      </c>
      <c r="B75">
        <v>9.19</v>
      </c>
      <c r="C75">
        <v>35.65</v>
      </c>
      <c r="D75">
        <v>39.5</v>
      </c>
      <c r="E75">
        <v>19.579999999999998</v>
      </c>
      <c r="F75">
        <v>42.91</v>
      </c>
      <c r="G75">
        <v>6.08</v>
      </c>
      <c r="H75">
        <v>1.34</v>
      </c>
      <c r="I75">
        <v>17.93</v>
      </c>
      <c r="J75">
        <v>199.19</v>
      </c>
      <c r="K75">
        <v>27.01</v>
      </c>
      <c r="L75">
        <v>398.38</v>
      </c>
    </row>
    <row r="76" spans="1:12" x14ac:dyDescent="0.2">
      <c r="A76" s="2" t="s">
        <v>98</v>
      </c>
      <c r="B76">
        <v>9.33</v>
      </c>
      <c r="C76">
        <v>31.76</v>
      </c>
      <c r="D76">
        <v>41.22</v>
      </c>
      <c r="E76">
        <v>18.89</v>
      </c>
      <c r="F76">
        <v>43.52</v>
      </c>
      <c r="G76">
        <v>6.05</v>
      </c>
      <c r="H76">
        <v>1.42</v>
      </c>
      <c r="I76">
        <v>13.85</v>
      </c>
      <c r="J76">
        <v>202.33</v>
      </c>
      <c r="K76">
        <v>36.29</v>
      </c>
      <c r="L76">
        <v>404.66</v>
      </c>
    </row>
    <row r="77" spans="1:12" x14ac:dyDescent="0.2">
      <c r="A77" s="2" t="s">
        <v>99</v>
      </c>
      <c r="B77">
        <v>10.28</v>
      </c>
      <c r="C77">
        <v>36.770000000000003</v>
      </c>
      <c r="D77">
        <v>40.04</v>
      </c>
      <c r="E77">
        <v>21.87</v>
      </c>
      <c r="F77">
        <v>46.38</v>
      </c>
      <c r="G77">
        <v>6.26</v>
      </c>
      <c r="H77">
        <v>1.45</v>
      </c>
      <c r="I77">
        <v>7.76</v>
      </c>
      <c r="J77">
        <v>212.39</v>
      </c>
      <c r="K77">
        <v>41.58</v>
      </c>
      <c r="L77">
        <v>424.77999999999992</v>
      </c>
    </row>
    <row r="78" spans="1:12" x14ac:dyDescent="0.2">
      <c r="A78" s="2" t="s">
        <v>100</v>
      </c>
      <c r="B78">
        <v>11.43</v>
      </c>
      <c r="C78">
        <v>41.63</v>
      </c>
      <c r="D78">
        <v>47.1</v>
      </c>
      <c r="E78">
        <v>26.51</v>
      </c>
      <c r="F78">
        <v>54.36</v>
      </c>
      <c r="G78">
        <v>6.76</v>
      </c>
      <c r="H78">
        <v>1.55</v>
      </c>
      <c r="I78">
        <v>4.8600000000000003</v>
      </c>
      <c r="J78">
        <v>234.48</v>
      </c>
      <c r="K78">
        <v>40.28</v>
      </c>
      <c r="L78">
        <v>468.96000000000004</v>
      </c>
    </row>
    <row r="79" spans="1:12" x14ac:dyDescent="0.2">
      <c r="A79" s="2" t="s">
        <v>101</v>
      </c>
      <c r="B79">
        <v>10.5</v>
      </c>
      <c r="C79">
        <v>36.04</v>
      </c>
      <c r="D79">
        <v>39.04</v>
      </c>
      <c r="E79">
        <v>29.76</v>
      </c>
      <c r="F79">
        <v>57.12</v>
      </c>
      <c r="G79">
        <v>6.62</v>
      </c>
      <c r="H79">
        <v>1.49</v>
      </c>
      <c r="I79">
        <v>6.73</v>
      </c>
      <c r="J79">
        <v>240.54</v>
      </c>
      <c r="K79">
        <v>53.24</v>
      </c>
      <c r="L79">
        <v>481.08000000000004</v>
      </c>
    </row>
    <row r="80" spans="1:12" x14ac:dyDescent="0.2">
      <c r="A80" s="2" t="s">
        <v>102</v>
      </c>
      <c r="B80">
        <v>9.76</v>
      </c>
      <c r="C80">
        <v>34.32</v>
      </c>
      <c r="D80">
        <v>42.99</v>
      </c>
      <c r="E80">
        <v>22.56</v>
      </c>
      <c r="F80">
        <v>51.75</v>
      </c>
      <c r="G80">
        <v>6.23</v>
      </c>
      <c r="H80">
        <v>1.4</v>
      </c>
      <c r="I80">
        <v>11.73</v>
      </c>
      <c r="J80">
        <v>219.62</v>
      </c>
      <c r="K80">
        <v>38.880000000000003</v>
      </c>
      <c r="L80">
        <v>439.24</v>
      </c>
    </row>
    <row r="81" spans="1:12" x14ac:dyDescent="0.2">
      <c r="A81" s="2" t="s">
        <v>103</v>
      </c>
      <c r="B81">
        <v>10.119999999999999</v>
      </c>
      <c r="C81">
        <v>30.54</v>
      </c>
      <c r="D81">
        <v>38.04</v>
      </c>
      <c r="E81">
        <v>25.69</v>
      </c>
      <c r="F81">
        <v>51.26</v>
      </c>
      <c r="G81">
        <v>6.36</v>
      </c>
      <c r="H81">
        <v>1.54</v>
      </c>
      <c r="I81">
        <v>17.899999999999999</v>
      </c>
      <c r="J81">
        <v>228.03</v>
      </c>
      <c r="K81">
        <v>46.58</v>
      </c>
      <c r="L81">
        <v>456.06</v>
      </c>
    </row>
    <row r="82" spans="1:12" x14ac:dyDescent="0.2">
      <c r="A82" s="2" t="s">
        <v>104</v>
      </c>
      <c r="B82">
        <v>9.1</v>
      </c>
      <c r="C82">
        <v>24.39</v>
      </c>
      <c r="D82">
        <v>31.03</v>
      </c>
      <c r="E82">
        <v>24.61</v>
      </c>
      <c r="F82">
        <v>47.38</v>
      </c>
      <c r="G82">
        <v>5.31</v>
      </c>
      <c r="H82">
        <v>1.44</v>
      </c>
      <c r="I82">
        <v>24.09</v>
      </c>
      <c r="J82">
        <v>200.86</v>
      </c>
      <c r="K82">
        <v>33.51</v>
      </c>
      <c r="L82">
        <v>401.72</v>
      </c>
    </row>
    <row r="83" spans="1:12" x14ac:dyDescent="0.2">
      <c r="A83" s="2" t="s">
        <v>105</v>
      </c>
      <c r="B83">
        <v>8.3699999999999992</v>
      </c>
      <c r="C83">
        <v>19.3</v>
      </c>
      <c r="D83">
        <v>27.88</v>
      </c>
      <c r="E83">
        <v>29.23</v>
      </c>
      <c r="F83">
        <v>43.46</v>
      </c>
      <c r="G83">
        <v>5.25</v>
      </c>
      <c r="H83">
        <v>1.4</v>
      </c>
      <c r="I83">
        <v>29.9</v>
      </c>
      <c r="J83">
        <v>196.43</v>
      </c>
      <c r="K83">
        <v>31.64</v>
      </c>
      <c r="L83">
        <v>392.86</v>
      </c>
    </row>
    <row r="84" spans="1:12" x14ac:dyDescent="0.2">
      <c r="A84" s="2" t="s">
        <v>106</v>
      </c>
      <c r="B84">
        <v>7.31</v>
      </c>
      <c r="C84">
        <v>19.46</v>
      </c>
      <c r="D84">
        <v>33</v>
      </c>
      <c r="E84">
        <v>27.39</v>
      </c>
      <c r="F84">
        <v>42.95</v>
      </c>
      <c r="G84">
        <v>4.6399999999999997</v>
      </c>
      <c r="H84">
        <v>1.27</v>
      </c>
      <c r="I84">
        <v>33.03</v>
      </c>
      <c r="J84">
        <v>190.49</v>
      </c>
      <c r="K84">
        <v>21.44</v>
      </c>
      <c r="L84">
        <v>380.98</v>
      </c>
    </row>
    <row r="85" spans="1:12" x14ac:dyDescent="0.2">
      <c r="A85" s="2" t="s">
        <v>107</v>
      </c>
      <c r="B85">
        <v>7.6</v>
      </c>
      <c r="C85">
        <v>19.41</v>
      </c>
      <c r="D85">
        <v>36.28</v>
      </c>
      <c r="E85">
        <v>22.58</v>
      </c>
      <c r="F85">
        <v>47.02</v>
      </c>
      <c r="G85">
        <v>5.31</v>
      </c>
      <c r="H85">
        <v>1.3</v>
      </c>
      <c r="I85">
        <v>32.68</v>
      </c>
      <c r="J85">
        <v>202.88</v>
      </c>
      <c r="K85">
        <v>30.7</v>
      </c>
      <c r="L85">
        <v>405.76000000000005</v>
      </c>
    </row>
    <row r="86" spans="1:12" x14ac:dyDescent="0.2">
      <c r="A86" s="2" t="s">
        <v>108</v>
      </c>
      <c r="B86">
        <v>7.9</v>
      </c>
      <c r="C86">
        <v>21.61</v>
      </c>
      <c r="D86">
        <v>34.35</v>
      </c>
      <c r="E86">
        <v>24.61</v>
      </c>
      <c r="F86">
        <v>46</v>
      </c>
      <c r="G86">
        <v>5.59</v>
      </c>
      <c r="H86">
        <v>1.29</v>
      </c>
      <c r="I86">
        <v>29.43</v>
      </c>
      <c r="J86">
        <v>197.75</v>
      </c>
      <c r="K86">
        <v>26.97</v>
      </c>
      <c r="L86">
        <v>395.5</v>
      </c>
    </row>
    <row r="87" spans="1:12" x14ac:dyDescent="0.2">
      <c r="A87" s="2" t="s">
        <v>109</v>
      </c>
      <c r="B87">
        <v>7.79</v>
      </c>
      <c r="C87">
        <v>23.51</v>
      </c>
      <c r="D87">
        <v>34.01</v>
      </c>
      <c r="E87">
        <v>20.7</v>
      </c>
      <c r="F87">
        <v>46.74</v>
      </c>
      <c r="G87">
        <v>5.21</v>
      </c>
      <c r="H87">
        <v>1.34</v>
      </c>
      <c r="I87">
        <v>26.24</v>
      </c>
      <c r="J87">
        <v>192.47</v>
      </c>
      <c r="K87">
        <v>26.93</v>
      </c>
      <c r="L87">
        <v>384.94</v>
      </c>
    </row>
    <row r="88" spans="1:12" x14ac:dyDescent="0.2">
      <c r="A88" s="2" t="s">
        <v>110</v>
      </c>
      <c r="B88">
        <v>8.35</v>
      </c>
      <c r="C88">
        <v>25.53</v>
      </c>
      <c r="D88">
        <v>32.81</v>
      </c>
      <c r="E88">
        <v>22.57</v>
      </c>
      <c r="F88">
        <v>49.43</v>
      </c>
      <c r="G88">
        <v>5.43</v>
      </c>
      <c r="H88">
        <v>1.43</v>
      </c>
      <c r="I88">
        <v>16.61</v>
      </c>
      <c r="J88">
        <v>206.15</v>
      </c>
      <c r="K88">
        <v>43.99</v>
      </c>
      <c r="L88">
        <v>412.30000000000007</v>
      </c>
    </row>
    <row r="89" spans="1:12" x14ac:dyDescent="0.2">
      <c r="A89" s="2" t="s">
        <v>111</v>
      </c>
      <c r="B89">
        <v>9.19</v>
      </c>
      <c r="C89">
        <v>28.32</v>
      </c>
      <c r="D89">
        <v>32.770000000000003</v>
      </c>
      <c r="E89">
        <v>32.5</v>
      </c>
      <c r="F89">
        <v>49.8</v>
      </c>
      <c r="G89">
        <v>5.82</v>
      </c>
      <c r="H89">
        <v>1.46</v>
      </c>
      <c r="I89">
        <v>9.7799999999999994</v>
      </c>
      <c r="J89">
        <v>220.52</v>
      </c>
      <c r="K89">
        <v>50.88</v>
      </c>
      <c r="L89">
        <v>441.03999999999996</v>
      </c>
    </row>
    <row r="90" spans="1:12" x14ac:dyDescent="0.2">
      <c r="A90" s="2" t="s">
        <v>112</v>
      </c>
      <c r="B90">
        <v>9.93</v>
      </c>
      <c r="C90">
        <v>28.18</v>
      </c>
      <c r="D90">
        <v>37.409999999999997</v>
      </c>
      <c r="E90">
        <v>33.81</v>
      </c>
      <c r="F90">
        <v>56.38</v>
      </c>
      <c r="G90">
        <v>6.07</v>
      </c>
      <c r="H90">
        <v>1.43</v>
      </c>
      <c r="I90">
        <v>7.45</v>
      </c>
      <c r="J90">
        <v>234.99</v>
      </c>
      <c r="K90">
        <v>54.33</v>
      </c>
      <c r="L90">
        <v>469.97999999999996</v>
      </c>
    </row>
    <row r="91" spans="1:12" x14ac:dyDescent="0.2">
      <c r="A91" s="2" t="s">
        <v>113</v>
      </c>
      <c r="B91">
        <v>10</v>
      </c>
      <c r="C91">
        <v>27.2</v>
      </c>
      <c r="D91">
        <v>43.86</v>
      </c>
      <c r="E91">
        <v>34.11</v>
      </c>
      <c r="F91">
        <v>61.2</v>
      </c>
      <c r="G91">
        <v>6.53</v>
      </c>
      <c r="H91">
        <v>1.59</v>
      </c>
      <c r="I91">
        <v>9.98</v>
      </c>
      <c r="J91">
        <v>251.28</v>
      </c>
      <c r="K91">
        <v>56.81</v>
      </c>
      <c r="L91">
        <v>502.56</v>
      </c>
    </row>
    <row r="92" spans="1:12" x14ac:dyDescent="0.2">
      <c r="A92" s="2" t="s">
        <v>114</v>
      </c>
      <c r="B92">
        <v>9.25</v>
      </c>
      <c r="C92">
        <v>22.62</v>
      </c>
      <c r="D92">
        <v>33.090000000000003</v>
      </c>
      <c r="E92">
        <v>29.13</v>
      </c>
      <c r="F92">
        <v>53.89</v>
      </c>
      <c r="G92">
        <v>5.69</v>
      </c>
      <c r="H92">
        <v>1.44</v>
      </c>
      <c r="I92">
        <v>13.1</v>
      </c>
      <c r="J92">
        <v>221.7</v>
      </c>
      <c r="K92">
        <v>53.49</v>
      </c>
      <c r="L92">
        <v>443.4</v>
      </c>
    </row>
    <row r="93" spans="1:12" x14ac:dyDescent="0.2">
      <c r="A93" s="2" t="s">
        <v>115</v>
      </c>
      <c r="B93">
        <v>9.7799999999999994</v>
      </c>
      <c r="C93">
        <v>22.62</v>
      </c>
      <c r="D93">
        <v>32.57</v>
      </c>
      <c r="E93">
        <v>34.94</v>
      </c>
      <c r="F93">
        <v>51.3</v>
      </c>
      <c r="G93">
        <v>5.67</v>
      </c>
      <c r="H93">
        <v>1.41</v>
      </c>
      <c r="I93">
        <v>21.86</v>
      </c>
      <c r="J93">
        <v>222.67</v>
      </c>
      <c r="K93">
        <v>42.52</v>
      </c>
      <c r="L93">
        <v>445.33999999999992</v>
      </c>
    </row>
    <row r="94" spans="1:12" x14ac:dyDescent="0.2">
      <c r="A94" s="2" t="s">
        <v>116</v>
      </c>
      <c r="B94">
        <v>8.6300000000000008</v>
      </c>
      <c r="C94">
        <v>17.309999999999999</v>
      </c>
      <c r="D94">
        <v>24.24</v>
      </c>
      <c r="E94">
        <v>32.46</v>
      </c>
      <c r="F94">
        <v>45.29</v>
      </c>
      <c r="G94">
        <v>5.33</v>
      </c>
      <c r="H94">
        <v>1.33</v>
      </c>
      <c r="I94">
        <v>29.66</v>
      </c>
      <c r="J94">
        <v>205.02</v>
      </c>
      <c r="K94">
        <v>40.770000000000003</v>
      </c>
      <c r="L94">
        <v>410.03999999999996</v>
      </c>
    </row>
    <row r="95" spans="1:12" x14ac:dyDescent="0.2">
      <c r="A95" s="2" t="s">
        <v>117</v>
      </c>
      <c r="B95">
        <v>8.52</v>
      </c>
      <c r="C95">
        <v>16.34</v>
      </c>
      <c r="D95">
        <v>23.42</v>
      </c>
      <c r="E95">
        <v>34.24</v>
      </c>
      <c r="F95">
        <v>45.75</v>
      </c>
      <c r="G95">
        <v>5.25</v>
      </c>
      <c r="H95">
        <v>1.38</v>
      </c>
      <c r="I95">
        <v>37.21</v>
      </c>
      <c r="J95">
        <v>200.56</v>
      </c>
      <c r="K95">
        <v>28.45</v>
      </c>
      <c r="L95">
        <v>401.12</v>
      </c>
    </row>
    <row r="96" spans="1:12" x14ac:dyDescent="0.2">
      <c r="A96" s="2" t="s">
        <v>118</v>
      </c>
      <c r="B96">
        <v>7.59</v>
      </c>
      <c r="C96">
        <v>17.28</v>
      </c>
      <c r="D96">
        <v>25.23</v>
      </c>
      <c r="E96">
        <v>31.6</v>
      </c>
      <c r="F96">
        <v>45.55</v>
      </c>
      <c r="G96">
        <v>5.8</v>
      </c>
      <c r="H96">
        <v>1.28</v>
      </c>
      <c r="I96">
        <v>37.69</v>
      </c>
      <c r="J96">
        <v>198.78</v>
      </c>
      <c r="K96">
        <v>26.76</v>
      </c>
      <c r="L96">
        <v>397.56</v>
      </c>
    </row>
    <row r="97" spans="1:12" x14ac:dyDescent="0.2">
      <c r="A97" s="2" t="s">
        <v>119</v>
      </c>
      <c r="B97">
        <v>7.66</v>
      </c>
      <c r="C97">
        <v>18.18</v>
      </c>
      <c r="D97">
        <v>32.17</v>
      </c>
      <c r="E97">
        <v>29.48</v>
      </c>
      <c r="F97">
        <v>51.22</v>
      </c>
      <c r="G97">
        <v>6.1</v>
      </c>
      <c r="H97">
        <v>1.37</v>
      </c>
      <c r="I97">
        <v>41.3</v>
      </c>
      <c r="J97">
        <v>214.02</v>
      </c>
      <c r="K97">
        <v>26.54</v>
      </c>
      <c r="L97">
        <v>428.04</v>
      </c>
    </row>
    <row r="98" spans="1:12" x14ac:dyDescent="0.2">
      <c r="A98" s="2" t="s">
        <v>120</v>
      </c>
      <c r="B98">
        <v>7.6</v>
      </c>
      <c r="C98">
        <v>18.79</v>
      </c>
      <c r="D98">
        <v>32.130000000000003</v>
      </c>
      <c r="E98">
        <v>22.85</v>
      </c>
      <c r="F98">
        <v>51.59</v>
      </c>
      <c r="G98">
        <v>5.93</v>
      </c>
      <c r="H98">
        <v>1.36</v>
      </c>
      <c r="I98">
        <v>39.29</v>
      </c>
      <c r="J98">
        <v>206.48</v>
      </c>
      <c r="K98">
        <v>26.94</v>
      </c>
      <c r="L98">
        <v>412.96</v>
      </c>
    </row>
    <row r="99" spans="1:12" x14ac:dyDescent="0.2">
      <c r="A99" s="2" t="s">
        <v>121</v>
      </c>
      <c r="B99">
        <v>7.67</v>
      </c>
      <c r="C99">
        <v>18.649999999999999</v>
      </c>
      <c r="D99">
        <v>29.84</v>
      </c>
      <c r="E99">
        <v>23.43</v>
      </c>
      <c r="F99">
        <v>48.19</v>
      </c>
      <c r="G99">
        <v>5.57</v>
      </c>
      <c r="H99">
        <v>1.33</v>
      </c>
      <c r="I99">
        <v>28.81</v>
      </c>
      <c r="J99">
        <v>199.99</v>
      </c>
      <c r="K99">
        <v>36.5</v>
      </c>
      <c r="L99">
        <v>399.98</v>
      </c>
    </row>
    <row r="100" spans="1:12" x14ac:dyDescent="0.2">
      <c r="A100" s="2" t="s">
        <v>122</v>
      </c>
      <c r="B100">
        <v>8.44</v>
      </c>
      <c r="C100">
        <v>23.48</v>
      </c>
      <c r="D100">
        <v>30.59</v>
      </c>
      <c r="E100">
        <v>30.33</v>
      </c>
      <c r="F100">
        <v>51.31</v>
      </c>
      <c r="G100">
        <v>5.94</v>
      </c>
      <c r="H100">
        <v>1.43</v>
      </c>
      <c r="I100">
        <v>19.48</v>
      </c>
      <c r="J100">
        <v>210.54</v>
      </c>
      <c r="K100">
        <v>39.54</v>
      </c>
      <c r="L100">
        <v>421.08</v>
      </c>
    </row>
    <row r="101" spans="1:12" x14ac:dyDescent="0.2">
      <c r="A101" s="2" t="s">
        <v>123</v>
      </c>
      <c r="B101">
        <v>9.26</v>
      </c>
      <c r="C101">
        <v>27.75</v>
      </c>
      <c r="D101">
        <v>45.78</v>
      </c>
      <c r="E101">
        <v>23.89</v>
      </c>
      <c r="F101">
        <v>53.24</v>
      </c>
      <c r="G101">
        <v>6.31</v>
      </c>
      <c r="H101">
        <v>1.42</v>
      </c>
      <c r="I101">
        <v>12.32</v>
      </c>
      <c r="J101">
        <v>223.3</v>
      </c>
      <c r="K101">
        <v>43.33</v>
      </c>
      <c r="L101">
        <v>446.59999999999997</v>
      </c>
    </row>
    <row r="102" spans="1:12" x14ac:dyDescent="0.2">
      <c r="A102" s="2" t="s">
        <v>124</v>
      </c>
      <c r="B102">
        <v>9.84</v>
      </c>
      <c r="C102">
        <v>26.39</v>
      </c>
      <c r="D102">
        <v>44.95</v>
      </c>
      <c r="E102">
        <v>24.57</v>
      </c>
      <c r="F102">
        <v>59.96</v>
      </c>
      <c r="G102">
        <v>6.41</v>
      </c>
      <c r="H102">
        <v>1.48</v>
      </c>
      <c r="I102">
        <v>10.1</v>
      </c>
      <c r="J102">
        <v>238.27</v>
      </c>
      <c r="K102">
        <v>54.57</v>
      </c>
      <c r="L102">
        <v>476.54</v>
      </c>
    </row>
    <row r="103" spans="1:12" x14ac:dyDescent="0.2">
      <c r="A103" s="2" t="s">
        <v>125</v>
      </c>
      <c r="B103">
        <v>10</v>
      </c>
      <c r="C103">
        <v>28.36</v>
      </c>
      <c r="D103">
        <v>47.6</v>
      </c>
      <c r="E103">
        <v>29.26</v>
      </c>
      <c r="F103">
        <v>63.2</v>
      </c>
      <c r="G103">
        <v>6.2</v>
      </c>
      <c r="H103">
        <v>1.51</v>
      </c>
      <c r="I103">
        <v>11.66</v>
      </c>
      <c r="J103">
        <v>251.36</v>
      </c>
      <c r="K103">
        <v>53.57</v>
      </c>
      <c r="L103">
        <v>502.71999999999997</v>
      </c>
    </row>
    <row r="104" spans="1:12" x14ac:dyDescent="0.2">
      <c r="A104" s="2" t="s">
        <v>126</v>
      </c>
      <c r="B104">
        <v>9.27</v>
      </c>
      <c r="C104">
        <v>28.96</v>
      </c>
      <c r="D104">
        <v>45.36</v>
      </c>
      <c r="E104">
        <v>27.6</v>
      </c>
      <c r="F104">
        <v>54.53</v>
      </c>
      <c r="G104">
        <v>5.92</v>
      </c>
      <c r="H104">
        <v>1.36</v>
      </c>
      <c r="I104">
        <v>17.78</v>
      </c>
      <c r="J104">
        <v>225.48</v>
      </c>
      <c r="K104">
        <v>34.700000000000003</v>
      </c>
      <c r="L104">
        <v>450.96</v>
      </c>
    </row>
    <row r="105" spans="1:12" x14ac:dyDescent="0.2">
      <c r="A105" s="2" t="s">
        <v>127</v>
      </c>
      <c r="B105">
        <v>9.65</v>
      </c>
      <c r="C105">
        <v>24.51</v>
      </c>
      <c r="D105">
        <v>36.729999999999997</v>
      </c>
      <c r="E105">
        <v>26.45</v>
      </c>
      <c r="F105">
        <v>54.85</v>
      </c>
      <c r="G105">
        <v>5.77</v>
      </c>
      <c r="H105">
        <v>1.45</v>
      </c>
      <c r="I105">
        <v>29.84</v>
      </c>
      <c r="J105">
        <v>229.07</v>
      </c>
      <c r="K105">
        <v>39.82</v>
      </c>
      <c r="L105">
        <v>458.14</v>
      </c>
    </row>
    <row r="106" spans="1:12" x14ac:dyDescent="0.2">
      <c r="A106" s="2" t="s">
        <v>128</v>
      </c>
      <c r="B106">
        <v>8.69</v>
      </c>
      <c r="C106">
        <v>18.36</v>
      </c>
      <c r="D106">
        <v>26.91</v>
      </c>
      <c r="E106">
        <v>27.08</v>
      </c>
      <c r="F106">
        <v>45</v>
      </c>
      <c r="G106">
        <v>5.46</v>
      </c>
      <c r="H106">
        <v>1.36</v>
      </c>
      <c r="I106">
        <v>37.36</v>
      </c>
      <c r="J106">
        <v>201.46</v>
      </c>
      <c r="K106">
        <v>31.24</v>
      </c>
      <c r="L106">
        <v>402.92000000000007</v>
      </c>
    </row>
    <row r="107" spans="1:12" x14ac:dyDescent="0.2">
      <c r="A107" s="2" t="s">
        <v>129</v>
      </c>
      <c r="B107">
        <v>8.0500000000000007</v>
      </c>
      <c r="C107">
        <v>13.73</v>
      </c>
      <c r="D107">
        <v>23.99</v>
      </c>
      <c r="E107">
        <v>28.47</v>
      </c>
      <c r="F107">
        <v>43.66</v>
      </c>
      <c r="G107">
        <v>5.22</v>
      </c>
      <c r="H107">
        <v>1.36</v>
      </c>
      <c r="I107">
        <v>43.61</v>
      </c>
      <c r="J107">
        <v>201.83</v>
      </c>
      <c r="K107">
        <v>33.74</v>
      </c>
      <c r="L107">
        <v>403.65999999999997</v>
      </c>
    </row>
    <row r="108" spans="1:12" x14ac:dyDescent="0.2">
      <c r="A108" s="2" t="s">
        <v>130</v>
      </c>
      <c r="B108">
        <v>7.17</v>
      </c>
      <c r="C108">
        <v>12.51</v>
      </c>
      <c r="D108">
        <v>27.73</v>
      </c>
      <c r="E108">
        <v>26.28</v>
      </c>
      <c r="F108">
        <v>44.7</v>
      </c>
      <c r="G108">
        <v>4.97</v>
      </c>
      <c r="H108">
        <v>1.29</v>
      </c>
      <c r="I108">
        <v>47.64</v>
      </c>
      <c r="J108">
        <v>204.59</v>
      </c>
      <c r="K108">
        <v>32.299999999999997</v>
      </c>
      <c r="L108">
        <v>409.18</v>
      </c>
    </row>
    <row r="109" spans="1:12" x14ac:dyDescent="0.2">
      <c r="A109" s="2" t="s">
        <v>131</v>
      </c>
      <c r="B109">
        <v>7.17</v>
      </c>
      <c r="C109">
        <v>17.98</v>
      </c>
      <c r="D109">
        <v>33.72</v>
      </c>
      <c r="E109">
        <v>25.08</v>
      </c>
      <c r="F109">
        <v>49.81</v>
      </c>
      <c r="G109">
        <v>5.35</v>
      </c>
      <c r="H109">
        <v>1.37</v>
      </c>
      <c r="I109">
        <v>46.13</v>
      </c>
      <c r="J109">
        <v>214.86</v>
      </c>
      <c r="K109">
        <v>28.25</v>
      </c>
      <c r="L109">
        <v>429.72</v>
      </c>
    </row>
    <row r="110" spans="1:12" x14ac:dyDescent="0.2">
      <c r="A110" s="2" t="s">
        <v>132</v>
      </c>
      <c r="B110">
        <v>7.52</v>
      </c>
      <c r="C110">
        <v>15.1</v>
      </c>
      <c r="D110">
        <v>29.74</v>
      </c>
      <c r="E110">
        <v>22.86</v>
      </c>
      <c r="F110">
        <v>49.41</v>
      </c>
      <c r="G110">
        <v>5.26</v>
      </c>
      <c r="H110">
        <v>1.37</v>
      </c>
      <c r="I110">
        <v>44.4</v>
      </c>
      <c r="J110">
        <v>203.73</v>
      </c>
      <c r="K110">
        <v>28.07</v>
      </c>
      <c r="L110">
        <v>407.46</v>
      </c>
    </row>
    <row r="111" spans="1:12" x14ac:dyDescent="0.2">
      <c r="A111" s="2" t="s">
        <v>133</v>
      </c>
      <c r="B111">
        <v>7.53</v>
      </c>
      <c r="C111">
        <v>16.03</v>
      </c>
      <c r="D111">
        <v>29.95</v>
      </c>
      <c r="E111">
        <v>21.52</v>
      </c>
      <c r="F111">
        <v>48.84</v>
      </c>
      <c r="G111">
        <v>5.0999999999999996</v>
      </c>
      <c r="H111">
        <v>1.32</v>
      </c>
      <c r="I111">
        <v>33.659999999999997</v>
      </c>
      <c r="J111">
        <v>201.81</v>
      </c>
      <c r="K111">
        <v>37.86</v>
      </c>
      <c r="L111">
        <v>403.62</v>
      </c>
    </row>
    <row r="112" spans="1:12" x14ac:dyDescent="0.2">
      <c r="A112" s="2" t="s">
        <v>134</v>
      </c>
      <c r="B112">
        <v>8.4700000000000006</v>
      </c>
      <c r="C112">
        <v>19.989999999999998</v>
      </c>
      <c r="D112">
        <v>37.200000000000003</v>
      </c>
      <c r="E112">
        <v>21.67</v>
      </c>
      <c r="F112">
        <v>50.2</v>
      </c>
      <c r="G112">
        <v>6.02</v>
      </c>
      <c r="H112">
        <v>1.34</v>
      </c>
      <c r="I112">
        <v>23.29</v>
      </c>
      <c r="J112">
        <v>216.83</v>
      </c>
      <c r="K112">
        <v>48.65</v>
      </c>
      <c r="L112">
        <v>433.65999999999997</v>
      </c>
    </row>
    <row r="113" spans="1:12" x14ac:dyDescent="0.2">
      <c r="A113" s="2" t="s">
        <v>135</v>
      </c>
      <c r="B113">
        <v>9.27</v>
      </c>
      <c r="C113">
        <v>24.33</v>
      </c>
      <c r="D113">
        <v>43.53</v>
      </c>
      <c r="E113">
        <v>25.07</v>
      </c>
      <c r="F113">
        <v>54.73</v>
      </c>
      <c r="G113">
        <v>6.01</v>
      </c>
      <c r="H113">
        <v>1.35</v>
      </c>
      <c r="I113">
        <v>15.5</v>
      </c>
      <c r="J113">
        <v>226.47</v>
      </c>
      <c r="K113">
        <v>46.68</v>
      </c>
      <c r="L113">
        <v>452.94</v>
      </c>
    </row>
    <row r="114" spans="1:12" x14ac:dyDescent="0.2">
      <c r="A114" s="2" t="s">
        <v>136</v>
      </c>
      <c r="B114">
        <v>9.7100000000000009</v>
      </c>
      <c r="C114">
        <v>22.59</v>
      </c>
      <c r="D114">
        <v>49.61</v>
      </c>
      <c r="E114">
        <v>26.92</v>
      </c>
      <c r="F114">
        <v>62.43</v>
      </c>
      <c r="G114">
        <v>6.48</v>
      </c>
      <c r="H114">
        <v>1.42</v>
      </c>
      <c r="I114">
        <v>10.73</v>
      </c>
      <c r="J114">
        <v>240.52</v>
      </c>
      <c r="K114">
        <v>50.63</v>
      </c>
      <c r="L114">
        <v>481.03999999999996</v>
      </c>
    </row>
    <row r="115" spans="1:12" x14ac:dyDescent="0.2">
      <c r="A115" s="2" t="s">
        <v>137</v>
      </c>
      <c r="B115">
        <v>10.08</v>
      </c>
      <c r="C115">
        <v>28.72</v>
      </c>
      <c r="D115">
        <v>57.68</v>
      </c>
      <c r="E115">
        <v>29.23</v>
      </c>
      <c r="F115">
        <v>61.95</v>
      </c>
      <c r="G115">
        <v>6.89</v>
      </c>
      <c r="H115">
        <v>1.41</v>
      </c>
      <c r="I115">
        <v>11.37</v>
      </c>
      <c r="J115">
        <v>262.68</v>
      </c>
      <c r="K115">
        <v>55.35</v>
      </c>
      <c r="L115">
        <v>525.36</v>
      </c>
    </row>
    <row r="116" spans="1:12" x14ac:dyDescent="0.2">
      <c r="A116" s="2" t="s">
        <v>139</v>
      </c>
      <c r="B116">
        <v>1033.8999999999999</v>
      </c>
      <c r="C116">
        <v>3687.0200000000004</v>
      </c>
      <c r="D116">
        <v>4487.92</v>
      </c>
      <c r="E116">
        <v>2951.4199999999996</v>
      </c>
      <c r="F116">
        <v>6126.6700000000019</v>
      </c>
      <c r="G116">
        <v>689.85000000000025</v>
      </c>
      <c r="H116">
        <v>164.84000000000003</v>
      </c>
      <c r="I116">
        <v>1753.4299999999994</v>
      </c>
      <c r="J116">
        <v>24549.590000000015</v>
      </c>
      <c r="K116">
        <v>3654.5399999999995</v>
      </c>
      <c r="L116">
        <v>49099.180000000029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F764-ACA2-234F-8F39-D131065C74D3}">
  <dimension ref="A2:AC114"/>
  <sheetViews>
    <sheetView tabSelected="1" topLeftCell="N1" workbookViewId="0">
      <selection activeCell="Z28" sqref="Z28"/>
    </sheetView>
  </sheetViews>
  <sheetFormatPr baseColWidth="10" defaultRowHeight="16" x14ac:dyDescent="0.2"/>
  <cols>
    <col min="1" max="13" width="0" hidden="1" customWidth="1"/>
  </cols>
  <sheetData>
    <row r="2" spans="1:29" x14ac:dyDescent="0.2">
      <c r="U2" t="s">
        <v>148</v>
      </c>
      <c r="V2" t="s">
        <v>145</v>
      </c>
      <c r="W2" t="s">
        <v>146</v>
      </c>
      <c r="X2" t="s">
        <v>147</v>
      </c>
      <c r="Z2" t="s">
        <v>149</v>
      </c>
    </row>
    <row r="3" spans="1:29" x14ac:dyDescent="0.2">
      <c r="A3" s="3" t="s">
        <v>138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139</v>
      </c>
      <c r="O3" s="4" t="s">
        <v>142</v>
      </c>
      <c r="P3" s="4" t="s">
        <v>143</v>
      </c>
      <c r="Q3" s="4" t="s">
        <v>144</v>
      </c>
      <c r="V3" s="4" t="s">
        <v>142</v>
      </c>
      <c r="W3" s="4" t="s">
        <v>143</v>
      </c>
      <c r="X3" s="4" t="s">
        <v>144</v>
      </c>
      <c r="AA3" s="4" t="s">
        <v>142</v>
      </c>
      <c r="AB3" s="4" t="s">
        <v>143</v>
      </c>
      <c r="AC3" s="4" t="s">
        <v>144</v>
      </c>
    </row>
    <row r="4" spans="1:29" x14ac:dyDescent="0.2">
      <c r="A4" s="2" t="s">
        <v>17</v>
      </c>
      <c r="B4">
        <v>8.9700000000000006</v>
      </c>
      <c r="C4">
        <v>57.4</v>
      </c>
      <c r="D4">
        <v>51.39</v>
      </c>
      <c r="E4">
        <v>23.37</v>
      </c>
      <c r="F4">
        <v>59.24</v>
      </c>
      <c r="G4">
        <v>6.62</v>
      </c>
      <c r="H4">
        <v>1.63</v>
      </c>
      <c r="I4">
        <v>3.5</v>
      </c>
      <c r="J4">
        <v>238.04</v>
      </c>
      <c r="K4">
        <v>25.92</v>
      </c>
      <c r="L4">
        <v>476.08</v>
      </c>
      <c r="N4" t="str">
        <f>A4</f>
        <v>2016-11</v>
      </c>
      <c r="O4">
        <f>I4+K4</f>
        <v>29.42</v>
      </c>
      <c r="P4">
        <f>J4-O4</f>
        <v>208.62</v>
      </c>
      <c r="Q4">
        <f>J4</f>
        <v>238.04</v>
      </c>
      <c r="T4">
        <v>4</v>
      </c>
      <c r="U4" t="str" cm="1">
        <f t="array" aca="1" ref="U4" ca="1">INDIRECT("N"&amp;T4)</f>
        <v>2016-11</v>
      </c>
      <c r="V4">
        <f t="shared" ref="V4:V13" ca="1" si="0">SUM(INDIRECT("O"&amp;T4&amp;":O"&amp;(T4+2)))</f>
        <v>89.47</v>
      </c>
      <c r="W4">
        <f ca="1">SUM(INDIRECT("P"&amp;T4&amp;":P"&amp;(T4+2)))</f>
        <v>675.73</v>
      </c>
      <c r="X4">
        <f ca="1">SUM(INDIRECT("Q"&amp;T4&amp;":Q"&amp;(T4+2)))</f>
        <v>765.2</v>
      </c>
      <c r="Z4" t="str">
        <f ca="1">U5</f>
        <v>2017-11</v>
      </c>
      <c r="AA4">
        <f ca="1">V5-V4</f>
        <v>25.86999999999999</v>
      </c>
      <c r="AB4">
        <f t="shared" ref="AB4:AC4" ca="1" si="1">W5-W4</f>
        <v>-41.940000000000055</v>
      </c>
      <c r="AC4">
        <f t="shared" ca="1" si="1"/>
        <v>-16.07000000000005</v>
      </c>
    </row>
    <row r="5" spans="1:29" x14ac:dyDescent="0.2">
      <c r="A5" s="2" t="s">
        <v>28</v>
      </c>
      <c r="B5">
        <v>9.4700000000000006</v>
      </c>
      <c r="C5">
        <v>59.07</v>
      </c>
      <c r="D5">
        <v>56.57</v>
      </c>
      <c r="E5">
        <v>22.95</v>
      </c>
      <c r="F5">
        <v>66.94</v>
      </c>
      <c r="G5">
        <v>6.77</v>
      </c>
      <c r="H5">
        <v>1.77</v>
      </c>
      <c r="I5">
        <v>3.16</v>
      </c>
      <c r="J5">
        <v>253.28</v>
      </c>
      <c r="K5">
        <v>26.58</v>
      </c>
      <c r="L5">
        <v>506.56</v>
      </c>
      <c r="N5" t="str">
        <f t="shared" ref="N5:N68" si="2">A5</f>
        <v>2016-12</v>
      </c>
      <c r="O5">
        <f t="shared" ref="O5:O68" si="3">I5+K5</f>
        <v>29.74</v>
      </c>
      <c r="P5">
        <f t="shared" ref="P5:P68" si="4">J5-O5</f>
        <v>223.54</v>
      </c>
      <c r="Q5">
        <f t="shared" ref="Q5:Q68" si="5">J5</f>
        <v>253.28</v>
      </c>
      <c r="T5">
        <f>T4+12</f>
        <v>16</v>
      </c>
      <c r="U5" t="str" cm="1">
        <f t="array" aca="1" ref="U5" ca="1">INDIRECT("N"&amp;T5)</f>
        <v>2017-11</v>
      </c>
      <c r="V5">
        <f t="shared" ca="1" si="0"/>
        <v>115.33999999999999</v>
      </c>
      <c r="W5">
        <f t="shared" ref="W5:W13" ca="1" si="6">SUM(INDIRECT("P"&amp;T5&amp;":P"&amp;(T5+2)))</f>
        <v>633.79</v>
      </c>
      <c r="X5">
        <f t="shared" ref="X5:X13" ca="1" si="7">SUM(INDIRECT("Q"&amp;T5&amp;":Q"&amp;(T5+2)))</f>
        <v>749.13</v>
      </c>
      <c r="Z5" t="str">
        <f t="shared" ref="Z5:Z12" ca="1" si="8">U6</f>
        <v>2018-11</v>
      </c>
      <c r="AA5">
        <f t="shared" ref="AA5:AA12" ca="1" si="9">V6-V5</f>
        <v>-0.56999999999999318</v>
      </c>
      <c r="AB5">
        <f t="shared" ref="AB5:AB12" ca="1" si="10">W6-W5</f>
        <v>3.4400000000000546</v>
      </c>
      <c r="AC5">
        <f t="shared" ref="AC5:AC12" ca="1" si="11">X6-X5</f>
        <v>2.8700000000000045</v>
      </c>
    </row>
    <row r="6" spans="1:29" x14ac:dyDescent="0.2">
      <c r="A6" s="2" t="s">
        <v>29</v>
      </c>
      <c r="B6">
        <v>10.53</v>
      </c>
      <c r="C6">
        <v>64.819999999999993</v>
      </c>
      <c r="D6">
        <v>60.87</v>
      </c>
      <c r="E6">
        <v>24.7</v>
      </c>
      <c r="F6">
        <v>72.34</v>
      </c>
      <c r="G6">
        <v>8.3800000000000008</v>
      </c>
      <c r="H6">
        <v>1.93</v>
      </c>
      <c r="I6">
        <v>3.39</v>
      </c>
      <c r="J6">
        <v>273.88</v>
      </c>
      <c r="K6">
        <v>26.92</v>
      </c>
      <c r="L6">
        <v>547.75999999999988</v>
      </c>
      <c r="N6" t="str">
        <f t="shared" si="2"/>
        <v>2017-01</v>
      </c>
      <c r="O6">
        <f t="shared" si="3"/>
        <v>30.310000000000002</v>
      </c>
      <c r="P6">
        <f t="shared" si="4"/>
        <v>243.57</v>
      </c>
      <c r="Q6">
        <f t="shared" si="5"/>
        <v>273.88</v>
      </c>
      <c r="T6">
        <f t="shared" ref="T6:T13" si="12">T5+12</f>
        <v>28</v>
      </c>
      <c r="U6" t="str" cm="1">
        <f t="array" aca="1" ref="U6" ca="1">INDIRECT("N"&amp;T6)</f>
        <v>2018-11</v>
      </c>
      <c r="V6">
        <f t="shared" ca="1" si="0"/>
        <v>114.77</v>
      </c>
      <c r="W6">
        <f t="shared" ca="1" si="6"/>
        <v>637.23</v>
      </c>
      <c r="X6">
        <f t="shared" ca="1" si="7"/>
        <v>752</v>
      </c>
      <c r="Z6" t="str">
        <f t="shared" ca="1" si="8"/>
        <v>2019-11</v>
      </c>
      <c r="AA6">
        <f t="shared" ca="1" si="9"/>
        <v>15.700000000000003</v>
      </c>
      <c r="AB6">
        <f t="shared" ca="1" si="10"/>
        <v>-40.160000000000082</v>
      </c>
      <c r="AC6">
        <f t="shared" ca="1" si="11"/>
        <v>-24.460000000000036</v>
      </c>
    </row>
    <row r="7" spans="1:29" x14ac:dyDescent="0.2">
      <c r="A7" s="2" t="s">
        <v>30</v>
      </c>
      <c r="B7">
        <v>9.7799999999999994</v>
      </c>
      <c r="C7">
        <v>52.31</v>
      </c>
      <c r="D7">
        <v>45.68</v>
      </c>
      <c r="E7">
        <v>21.7</v>
      </c>
      <c r="F7">
        <v>61.57</v>
      </c>
      <c r="G7">
        <v>7.17</v>
      </c>
      <c r="H7">
        <v>1.69</v>
      </c>
      <c r="I7">
        <v>4.46</v>
      </c>
      <c r="J7">
        <v>233.49</v>
      </c>
      <c r="K7">
        <v>29.13</v>
      </c>
      <c r="L7">
        <v>466.98</v>
      </c>
      <c r="N7" t="str">
        <f t="shared" si="2"/>
        <v>2017-02</v>
      </c>
      <c r="O7">
        <f t="shared" si="3"/>
        <v>33.589999999999996</v>
      </c>
      <c r="P7">
        <f t="shared" si="4"/>
        <v>199.9</v>
      </c>
      <c r="Q7">
        <f t="shared" si="5"/>
        <v>233.49</v>
      </c>
      <c r="T7">
        <f t="shared" si="12"/>
        <v>40</v>
      </c>
      <c r="U7" t="str" cm="1">
        <f t="array" aca="1" ref="U7" ca="1">INDIRECT("N"&amp;T7)</f>
        <v>2019-11</v>
      </c>
      <c r="V7">
        <f t="shared" ca="1" si="0"/>
        <v>130.47</v>
      </c>
      <c r="W7">
        <f t="shared" ca="1" si="6"/>
        <v>597.06999999999994</v>
      </c>
      <c r="X7">
        <f t="shared" ca="1" si="7"/>
        <v>727.54</v>
      </c>
      <c r="Z7" t="str">
        <f t="shared" ca="1" si="8"/>
        <v>2020-11</v>
      </c>
      <c r="AA7">
        <f t="shared" ca="1" si="9"/>
        <v>-5.9900000000000091</v>
      </c>
      <c r="AB7">
        <f t="shared" ca="1" si="10"/>
        <v>2.4700000000000273</v>
      </c>
      <c r="AC7">
        <f t="shared" ca="1" si="11"/>
        <v>-3.5199999999999818</v>
      </c>
    </row>
    <row r="8" spans="1:29" x14ac:dyDescent="0.2">
      <c r="A8" s="2" t="s">
        <v>31</v>
      </c>
      <c r="B8">
        <v>10.34</v>
      </c>
      <c r="C8">
        <v>48.23</v>
      </c>
      <c r="D8">
        <v>40.69</v>
      </c>
      <c r="E8">
        <v>27.28</v>
      </c>
      <c r="F8">
        <v>64.92</v>
      </c>
      <c r="G8">
        <v>7.28</v>
      </c>
      <c r="H8">
        <v>1.84</v>
      </c>
      <c r="I8">
        <v>8.9</v>
      </c>
      <c r="J8">
        <v>238.95</v>
      </c>
      <c r="K8">
        <v>29.47</v>
      </c>
      <c r="L8">
        <v>477.9</v>
      </c>
      <c r="N8" t="str">
        <f t="shared" si="2"/>
        <v>2017-03</v>
      </c>
      <c r="O8">
        <f t="shared" si="3"/>
        <v>38.369999999999997</v>
      </c>
      <c r="P8">
        <f t="shared" si="4"/>
        <v>200.57999999999998</v>
      </c>
      <c r="Q8">
        <f t="shared" si="5"/>
        <v>238.95</v>
      </c>
      <c r="T8">
        <f t="shared" si="12"/>
        <v>52</v>
      </c>
      <c r="U8" t="str" cm="1">
        <f t="array" aca="1" ref="U8" ca="1">INDIRECT("N"&amp;T8)</f>
        <v>2020-11</v>
      </c>
      <c r="V8">
        <f t="shared" ca="1" si="0"/>
        <v>124.47999999999999</v>
      </c>
      <c r="W8">
        <f t="shared" ca="1" si="6"/>
        <v>599.54</v>
      </c>
      <c r="X8">
        <f t="shared" ca="1" si="7"/>
        <v>724.02</v>
      </c>
      <c r="Z8" t="str">
        <f t="shared" ca="1" si="8"/>
        <v>2021-11</v>
      </c>
      <c r="AA8">
        <f t="shared" ca="1" si="9"/>
        <v>16.840000000000003</v>
      </c>
      <c r="AB8">
        <f t="shared" ca="1" si="10"/>
        <v>6.1600000000000819</v>
      </c>
      <c r="AC8">
        <f t="shared" ca="1" si="11"/>
        <v>23</v>
      </c>
    </row>
    <row r="9" spans="1:29" x14ac:dyDescent="0.2">
      <c r="A9" s="2" t="s">
        <v>32</v>
      </c>
      <c r="B9">
        <v>9.6</v>
      </c>
      <c r="C9">
        <v>44.1</v>
      </c>
      <c r="D9">
        <v>35.11</v>
      </c>
      <c r="E9">
        <v>22.43</v>
      </c>
      <c r="F9">
        <v>59.27</v>
      </c>
      <c r="G9">
        <v>6.38</v>
      </c>
      <c r="H9">
        <v>1.85</v>
      </c>
      <c r="I9">
        <v>10.78</v>
      </c>
      <c r="J9">
        <v>213.78</v>
      </c>
      <c r="K9">
        <v>24.26</v>
      </c>
      <c r="L9">
        <v>427.56</v>
      </c>
      <c r="N9" t="str">
        <f t="shared" si="2"/>
        <v>2017-04</v>
      </c>
      <c r="O9">
        <f t="shared" si="3"/>
        <v>35.04</v>
      </c>
      <c r="P9">
        <f t="shared" si="4"/>
        <v>178.74</v>
      </c>
      <c r="Q9">
        <f t="shared" si="5"/>
        <v>213.78</v>
      </c>
      <c r="T9">
        <f t="shared" si="12"/>
        <v>64</v>
      </c>
      <c r="U9" t="str" cm="1">
        <f t="array" aca="1" ref="U9" ca="1">INDIRECT("N"&amp;T9)</f>
        <v>2021-11</v>
      </c>
      <c r="V9">
        <f t="shared" ca="1" si="0"/>
        <v>141.32</v>
      </c>
      <c r="W9">
        <f t="shared" ca="1" si="6"/>
        <v>605.70000000000005</v>
      </c>
      <c r="X9">
        <f t="shared" ca="1" si="7"/>
        <v>747.02</v>
      </c>
      <c r="Z9" t="str">
        <f t="shared" ca="1" si="8"/>
        <v>2022-11</v>
      </c>
      <c r="AA9">
        <f t="shared" ca="1" si="9"/>
        <v>13.129999999999995</v>
      </c>
      <c r="AB9">
        <f t="shared" ca="1" si="10"/>
        <v>-72.740000000000009</v>
      </c>
      <c r="AC9">
        <f t="shared" ca="1" si="11"/>
        <v>-59.610000000000014</v>
      </c>
    </row>
    <row r="10" spans="1:29" x14ac:dyDescent="0.2">
      <c r="A10" s="2" t="s">
        <v>33</v>
      </c>
      <c r="B10">
        <v>9.1</v>
      </c>
      <c r="C10">
        <v>45.89</v>
      </c>
      <c r="D10">
        <v>33.590000000000003</v>
      </c>
      <c r="E10">
        <v>27.57</v>
      </c>
      <c r="F10">
        <v>56.12</v>
      </c>
      <c r="G10">
        <v>6.34</v>
      </c>
      <c r="H10">
        <v>1.88</v>
      </c>
      <c r="I10">
        <v>12.98</v>
      </c>
      <c r="J10">
        <v>212.68</v>
      </c>
      <c r="K10">
        <v>19.21</v>
      </c>
      <c r="L10">
        <v>425.35999999999996</v>
      </c>
      <c r="N10" t="str">
        <f t="shared" si="2"/>
        <v>2017-05</v>
      </c>
      <c r="O10">
        <f t="shared" si="3"/>
        <v>32.19</v>
      </c>
      <c r="P10">
        <f t="shared" si="4"/>
        <v>180.49</v>
      </c>
      <c r="Q10">
        <f t="shared" si="5"/>
        <v>212.68</v>
      </c>
      <c r="T10">
        <f t="shared" si="12"/>
        <v>76</v>
      </c>
      <c r="U10" t="str" cm="1">
        <f t="array" aca="1" ref="U10" ca="1">INDIRECT("N"&amp;T10)</f>
        <v>2022-11</v>
      </c>
      <c r="V10">
        <f t="shared" ca="1" si="0"/>
        <v>154.44999999999999</v>
      </c>
      <c r="W10">
        <f t="shared" ca="1" si="6"/>
        <v>532.96</v>
      </c>
      <c r="X10">
        <f t="shared" ca="1" si="7"/>
        <v>687.41</v>
      </c>
      <c r="Z10" t="str">
        <f t="shared" ca="1" si="8"/>
        <v>2023-11</v>
      </c>
      <c r="AA10">
        <f t="shared" ca="1" si="9"/>
        <v>34.78000000000003</v>
      </c>
      <c r="AB10">
        <f t="shared" ca="1" si="10"/>
        <v>-15.399999999999977</v>
      </c>
      <c r="AC10">
        <f t="shared" ca="1" si="11"/>
        <v>19.379999999999995</v>
      </c>
    </row>
    <row r="11" spans="1:29" x14ac:dyDescent="0.2">
      <c r="A11" s="2" t="s">
        <v>34</v>
      </c>
      <c r="B11">
        <v>8.4600000000000009</v>
      </c>
      <c r="C11">
        <v>42.24</v>
      </c>
      <c r="D11">
        <v>37.11</v>
      </c>
      <c r="E11">
        <v>25.86</v>
      </c>
      <c r="F11">
        <v>53.39</v>
      </c>
      <c r="G11">
        <v>6.11</v>
      </c>
      <c r="H11">
        <v>1.74</v>
      </c>
      <c r="I11">
        <v>13.55</v>
      </c>
      <c r="J11">
        <v>209.16</v>
      </c>
      <c r="K11">
        <v>20.7</v>
      </c>
      <c r="L11">
        <v>418.32</v>
      </c>
      <c r="N11" t="str">
        <f t="shared" si="2"/>
        <v>2017-06</v>
      </c>
      <c r="O11">
        <f t="shared" si="3"/>
        <v>34.25</v>
      </c>
      <c r="P11">
        <f t="shared" si="4"/>
        <v>174.91</v>
      </c>
      <c r="Q11">
        <f t="shared" si="5"/>
        <v>209.16</v>
      </c>
      <c r="T11">
        <f t="shared" si="12"/>
        <v>88</v>
      </c>
      <c r="U11" t="str" cm="1">
        <f t="array" aca="1" ref="U11" ca="1">INDIRECT("N"&amp;T11)</f>
        <v>2023-11</v>
      </c>
      <c r="V11">
        <f t="shared" ca="1" si="0"/>
        <v>189.23000000000002</v>
      </c>
      <c r="W11">
        <f t="shared" ca="1" si="6"/>
        <v>517.56000000000006</v>
      </c>
      <c r="X11">
        <f t="shared" ca="1" si="7"/>
        <v>706.79</v>
      </c>
      <c r="Z11" t="str">
        <f t="shared" ca="1" si="8"/>
        <v>2024-11</v>
      </c>
      <c r="AA11">
        <f t="shared" ca="1" si="9"/>
        <v>-3.6800000000000068</v>
      </c>
      <c r="AB11">
        <f t="shared" ca="1" si="10"/>
        <v>9.8199999999999363</v>
      </c>
      <c r="AC11">
        <f t="shared" ca="1" si="11"/>
        <v>6.1400000000001</v>
      </c>
    </row>
    <row r="12" spans="1:29" x14ac:dyDescent="0.2">
      <c r="A12" s="2" t="s">
        <v>35</v>
      </c>
      <c r="B12">
        <v>8.41</v>
      </c>
      <c r="C12">
        <v>46.03</v>
      </c>
      <c r="D12">
        <v>41.68</v>
      </c>
      <c r="E12">
        <v>24.72</v>
      </c>
      <c r="F12">
        <v>55.15</v>
      </c>
      <c r="G12">
        <v>6.39</v>
      </c>
      <c r="H12">
        <v>1.82</v>
      </c>
      <c r="I12">
        <v>13.23</v>
      </c>
      <c r="J12">
        <v>216.19</v>
      </c>
      <c r="K12">
        <v>18.760000000000002</v>
      </c>
      <c r="L12">
        <v>432.38</v>
      </c>
      <c r="N12" t="str">
        <f t="shared" si="2"/>
        <v>2017-07</v>
      </c>
      <c r="O12">
        <f t="shared" si="3"/>
        <v>31.990000000000002</v>
      </c>
      <c r="P12">
        <f t="shared" si="4"/>
        <v>184.2</v>
      </c>
      <c r="Q12">
        <f t="shared" si="5"/>
        <v>216.19</v>
      </c>
      <c r="T12">
        <f t="shared" si="12"/>
        <v>100</v>
      </c>
      <c r="U12" t="str" cm="1">
        <f t="array" aca="1" ref="U12" ca="1">INDIRECT("N"&amp;T12)</f>
        <v>2024-11</v>
      </c>
      <c r="V12">
        <f t="shared" ca="1" si="0"/>
        <v>185.55</v>
      </c>
      <c r="W12">
        <f t="shared" ca="1" si="6"/>
        <v>527.38</v>
      </c>
      <c r="X12">
        <f t="shared" ca="1" si="7"/>
        <v>712.93000000000006</v>
      </c>
      <c r="Z12" t="str">
        <f t="shared" ca="1" si="8"/>
        <v>2025-11</v>
      </c>
      <c r="AA12">
        <f t="shared" ca="1" si="9"/>
        <v>4.7099999999999795</v>
      </c>
      <c r="AB12">
        <f t="shared" ca="1" si="10"/>
        <v>12.030000000000086</v>
      </c>
      <c r="AC12">
        <f t="shared" ca="1" si="11"/>
        <v>16.740000000000009</v>
      </c>
    </row>
    <row r="13" spans="1:29" x14ac:dyDescent="0.2">
      <c r="A13" s="2" t="s">
        <v>36</v>
      </c>
      <c r="B13">
        <v>8.49</v>
      </c>
      <c r="C13">
        <v>44.39</v>
      </c>
      <c r="D13">
        <v>35.94</v>
      </c>
      <c r="E13">
        <v>24.25</v>
      </c>
      <c r="F13">
        <v>58.02</v>
      </c>
      <c r="G13">
        <v>6.38</v>
      </c>
      <c r="H13">
        <v>1.74</v>
      </c>
      <c r="I13">
        <v>12.4</v>
      </c>
      <c r="J13">
        <v>210</v>
      </c>
      <c r="K13">
        <v>18.39</v>
      </c>
      <c r="L13">
        <v>420</v>
      </c>
      <c r="N13" t="str">
        <f t="shared" si="2"/>
        <v>2017-08</v>
      </c>
      <c r="O13">
        <f t="shared" si="3"/>
        <v>30.79</v>
      </c>
      <c r="P13">
        <f t="shared" si="4"/>
        <v>179.21</v>
      </c>
      <c r="Q13">
        <f t="shared" si="5"/>
        <v>210</v>
      </c>
      <c r="T13">
        <f t="shared" si="12"/>
        <v>112</v>
      </c>
      <c r="U13" t="str" cm="1">
        <f t="array" aca="1" ref="U13" ca="1">INDIRECT("N"&amp;T13)</f>
        <v>2025-11</v>
      </c>
      <c r="V13">
        <f t="shared" ca="1" si="0"/>
        <v>190.26</v>
      </c>
      <c r="W13">
        <f t="shared" ca="1" si="6"/>
        <v>539.41000000000008</v>
      </c>
      <c r="X13">
        <f t="shared" ca="1" si="7"/>
        <v>729.67000000000007</v>
      </c>
    </row>
    <row r="14" spans="1:29" x14ac:dyDescent="0.2">
      <c r="A14" s="2" t="s">
        <v>37</v>
      </c>
      <c r="B14">
        <v>8.56</v>
      </c>
      <c r="C14">
        <v>46.12</v>
      </c>
      <c r="D14">
        <v>36.35</v>
      </c>
      <c r="E14">
        <v>24.51</v>
      </c>
      <c r="F14">
        <v>56.63</v>
      </c>
      <c r="G14">
        <v>5.86</v>
      </c>
      <c r="H14">
        <v>1.71</v>
      </c>
      <c r="I14">
        <v>9.1</v>
      </c>
      <c r="J14">
        <v>208.74</v>
      </c>
      <c r="K14">
        <v>19.899999999999999</v>
      </c>
      <c r="L14">
        <v>417.48</v>
      </c>
      <c r="N14" t="str">
        <f t="shared" si="2"/>
        <v>2017-09</v>
      </c>
      <c r="O14">
        <f t="shared" si="3"/>
        <v>29</v>
      </c>
      <c r="P14">
        <f t="shared" si="4"/>
        <v>179.74</v>
      </c>
      <c r="Q14">
        <f t="shared" si="5"/>
        <v>208.74</v>
      </c>
      <c r="V14">
        <f ca="1">V13-V4</f>
        <v>100.78999999999999</v>
      </c>
      <c r="W14">
        <f ca="1">W13-W4</f>
        <v>-136.31999999999994</v>
      </c>
      <c r="X14">
        <f ca="1">X13-X4</f>
        <v>-35.529999999999973</v>
      </c>
    </row>
    <row r="15" spans="1:29" x14ac:dyDescent="0.2">
      <c r="A15" s="2" t="s">
        <v>38</v>
      </c>
      <c r="B15">
        <v>9.42</v>
      </c>
      <c r="C15">
        <v>48.68</v>
      </c>
      <c r="D15">
        <v>42.22</v>
      </c>
      <c r="E15">
        <v>20.57</v>
      </c>
      <c r="F15">
        <v>56.55</v>
      </c>
      <c r="G15">
        <v>6.24</v>
      </c>
      <c r="H15">
        <v>1.68</v>
      </c>
      <c r="I15">
        <v>7.03</v>
      </c>
      <c r="J15">
        <v>223.26</v>
      </c>
      <c r="K15">
        <v>30.87</v>
      </c>
      <c r="L15">
        <v>446.52</v>
      </c>
      <c r="N15" t="str">
        <f t="shared" si="2"/>
        <v>2017-10</v>
      </c>
      <c r="O15">
        <f t="shared" si="3"/>
        <v>37.9</v>
      </c>
      <c r="P15">
        <f t="shared" si="4"/>
        <v>185.35999999999999</v>
      </c>
      <c r="Q15">
        <f t="shared" si="5"/>
        <v>223.26</v>
      </c>
    </row>
    <row r="16" spans="1:29" x14ac:dyDescent="0.2">
      <c r="A16" s="2" t="s">
        <v>39</v>
      </c>
      <c r="B16">
        <v>9.94</v>
      </c>
      <c r="C16">
        <v>54.84</v>
      </c>
      <c r="D16">
        <v>52.02</v>
      </c>
      <c r="E16">
        <v>22.4</v>
      </c>
      <c r="F16">
        <v>59.89</v>
      </c>
      <c r="G16">
        <v>6.61</v>
      </c>
      <c r="H16">
        <v>1.77</v>
      </c>
      <c r="I16">
        <v>3.69</v>
      </c>
      <c r="J16">
        <v>239.3</v>
      </c>
      <c r="K16">
        <v>28.14</v>
      </c>
      <c r="L16">
        <v>478.6</v>
      </c>
      <c r="N16" t="str">
        <f t="shared" si="2"/>
        <v>2017-11</v>
      </c>
      <c r="O16">
        <f t="shared" si="3"/>
        <v>31.830000000000002</v>
      </c>
      <c r="P16">
        <f t="shared" si="4"/>
        <v>207.47</v>
      </c>
      <c r="Q16">
        <f t="shared" si="5"/>
        <v>239.3</v>
      </c>
      <c r="U16" t="s">
        <v>148</v>
      </c>
      <c r="V16" t="s">
        <v>145</v>
      </c>
      <c r="W16" t="s">
        <v>146</v>
      </c>
      <c r="X16" t="s">
        <v>147</v>
      </c>
    </row>
    <row r="17" spans="1:29" x14ac:dyDescent="0.2">
      <c r="A17" s="2" t="s">
        <v>40</v>
      </c>
      <c r="B17">
        <v>10.3</v>
      </c>
      <c r="C17">
        <v>50.58</v>
      </c>
      <c r="D17">
        <v>47.03</v>
      </c>
      <c r="E17">
        <v>24.92</v>
      </c>
      <c r="F17">
        <v>70.27</v>
      </c>
      <c r="G17">
        <v>6.8</v>
      </c>
      <c r="H17">
        <v>1.69</v>
      </c>
      <c r="I17">
        <v>2.73</v>
      </c>
      <c r="J17">
        <v>253.94</v>
      </c>
      <c r="K17">
        <v>39.619999999999997</v>
      </c>
      <c r="L17">
        <v>507.88</v>
      </c>
      <c r="N17" t="str">
        <f t="shared" si="2"/>
        <v>2017-12</v>
      </c>
      <c r="O17">
        <f t="shared" si="3"/>
        <v>42.349999999999994</v>
      </c>
      <c r="P17">
        <f t="shared" si="4"/>
        <v>211.59</v>
      </c>
      <c r="Q17">
        <f t="shared" si="5"/>
        <v>253.94</v>
      </c>
      <c r="V17" s="4" t="s">
        <v>142</v>
      </c>
      <c r="W17" s="4" t="s">
        <v>143</v>
      </c>
      <c r="X17" s="4" t="s">
        <v>144</v>
      </c>
      <c r="AA17" s="4" t="s">
        <v>142</v>
      </c>
      <c r="AB17" s="4" t="s">
        <v>143</v>
      </c>
      <c r="AC17" s="4" t="s">
        <v>144</v>
      </c>
    </row>
    <row r="18" spans="1:29" x14ac:dyDescent="0.2">
      <c r="A18" s="2" t="s">
        <v>41</v>
      </c>
      <c r="B18">
        <v>10.4</v>
      </c>
      <c r="C18">
        <v>49.22</v>
      </c>
      <c r="D18">
        <v>43.2</v>
      </c>
      <c r="E18">
        <v>30.35</v>
      </c>
      <c r="F18">
        <v>72.739999999999995</v>
      </c>
      <c r="G18">
        <v>7.34</v>
      </c>
      <c r="H18">
        <v>1.48</v>
      </c>
      <c r="I18">
        <v>3.19</v>
      </c>
      <c r="J18">
        <v>255.89</v>
      </c>
      <c r="K18">
        <v>37.97</v>
      </c>
      <c r="L18">
        <v>511.78</v>
      </c>
      <c r="N18" t="str">
        <f t="shared" si="2"/>
        <v>2018-01</v>
      </c>
      <c r="O18">
        <f t="shared" si="3"/>
        <v>41.16</v>
      </c>
      <c r="P18">
        <f t="shared" si="4"/>
        <v>214.73</v>
      </c>
      <c r="Q18">
        <f t="shared" si="5"/>
        <v>255.89</v>
      </c>
      <c r="T18">
        <v>11</v>
      </c>
      <c r="U18" t="str" cm="1">
        <f t="array" aca="1" ref="U18" ca="1">INDIRECT("N"&amp;T18)</f>
        <v>2017-06</v>
      </c>
      <c r="V18">
        <f t="shared" ref="V18:V26" ca="1" si="13">SUM(INDIRECT("O"&amp;T18&amp;":O"&amp;(T18+2)))</f>
        <v>97.03</v>
      </c>
      <c r="W18">
        <f ca="1">SUM(INDIRECT("P"&amp;T18&amp;":P"&amp;(T18+2)))</f>
        <v>538.32000000000005</v>
      </c>
      <c r="X18">
        <f ca="1">SUM(INDIRECT("Q"&amp;T18&amp;":Q"&amp;(T18+2)))</f>
        <v>635.35</v>
      </c>
      <c r="Z18" t="str">
        <f t="shared" ref="Z18:Z25" ca="1" si="14">U19</f>
        <v>2018-06</v>
      </c>
      <c r="AA18">
        <f t="shared" ref="AA18:AC25" ca="1" si="15">V19-V18</f>
        <v>-2.8700000000000045</v>
      </c>
      <c r="AB18">
        <f t="shared" ca="1" si="15"/>
        <v>3.42999999999995</v>
      </c>
      <c r="AC18">
        <f t="shared" ca="1" si="15"/>
        <v>0.55999999999994543</v>
      </c>
    </row>
    <row r="19" spans="1:29" x14ac:dyDescent="0.2">
      <c r="A19" s="2" t="s">
        <v>42</v>
      </c>
      <c r="B19">
        <v>10.16</v>
      </c>
      <c r="C19">
        <v>53.11</v>
      </c>
      <c r="D19">
        <v>45.94</v>
      </c>
      <c r="E19">
        <v>28.74</v>
      </c>
      <c r="F19">
        <v>65.61</v>
      </c>
      <c r="G19">
        <v>6.93</v>
      </c>
      <c r="H19">
        <v>1.35</v>
      </c>
      <c r="I19">
        <v>5.0999999999999996</v>
      </c>
      <c r="J19">
        <v>243</v>
      </c>
      <c r="K19">
        <v>26.06</v>
      </c>
      <c r="L19">
        <v>486</v>
      </c>
      <c r="N19" t="str">
        <f t="shared" si="2"/>
        <v>2018-02</v>
      </c>
      <c r="O19">
        <f t="shared" si="3"/>
        <v>31.159999999999997</v>
      </c>
      <c r="P19">
        <f t="shared" si="4"/>
        <v>211.84</v>
      </c>
      <c r="Q19">
        <f t="shared" si="5"/>
        <v>243</v>
      </c>
      <c r="T19">
        <f>T18+12</f>
        <v>23</v>
      </c>
      <c r="U19" t="str" cm="1">
        <f t="array" aca="1" ref="U19" ca="1">INDIRECT("N"&amp;T19)</f>
        <v>2018-06</v>
      </c>
      <c r="V19">
        <f t="shared" ca="1" si="13"/>
        <v>94.16</v>
      </c>
      <c r="W19">
        <f t="shared" ref="W19:W26" ca="1" si="16">SUM(INDIRECT("P"&amp;T19&amp;":P"&amp;(T19+2)))</f>
        <v>541.75</v>
      </c>
      <c r="X19">
        <f t="shared" ref="X19:X26" ca="1" si="17">SUM(INDIRECT("Q"&amp;T19&amp;":Q"&amp;(T19+2)))</f>
        <v>635.91</v>
      </c>
      <c r="Z19" t="str">
        <f t="shared" ca="1" si="14"/>
        <v>2019-06</v>
      </c>
      <c r="AA19">
        <f t="shared" ca="1" si="15"/>
        <v>10.990000000000009</v>
      </c>
      <c r="AB19">
        <f t="shared" ca="1" si="15"/>
        <v>-15.549999999999955</v>
      </c>
      <c r="AC19">
        <f t="shared" ca="1" si="15"/>
        <v>-4.5599999999999454</v>
      </c>
    </row>
    <row r="20" spans="1:29" x14ac:dyDescent="0.2">
      <c r="A20" s="2" t="s">
        <v>43</v>
      </c>
      <c r="B20">
        <v>10.55</v>
      </c>
      <c r="C20">
        <v>50.97</v>
      </c>
      <c r="D20">
        <v>40.119999999999997</v>
      </c>
      <c r="E20">
        <v>34.04</v>
      </c>
      <c r="F20">
        <v>67.010000000000005</v>
      </c>
      <c r="G20">
        <v>7.38</v>
      </c>
      <c r="H20">
        <v>1.46</v>
      </c>
      <c r="I20">
        <v>7.42</v>
      </c>
      <c r="J20">
        <v>253.63</v>
      </c>
      <c r="K20">
        <v>34.68</v>
      </c>
      <c r="L20">
        <v>507.26</v>
      </c>
      <c r="N20" t="str">
        <f t="shared" si="2"/>
        <v>2018-03</v>
      </c>
      <c r="O20">
        <f t="shared" si="3"/>
        <v>42.1</v>
      </c>
      <c r="P20">
        <f t="shared" si="4"/>
        <v>211.53</v>
      </c>
      <c r="Q20">
        <f t="shared" si="5"/>
        <v>253.63</v>
      </c>
      <c r="T20">
        <f t="shared" ref="T20:T26" si="18">T19+12</f>
        <v>35</v>
      </c>
      <c r="U20" t="str" cm="1">
        <f t="array" aca="1" ref="U20" ca="1">INDIRECT("N"&amp;T20)</f>
        <v>2019-06</v>
      </c>
      <c r="V20">
        <f t="shared" ca="1" si="13"/>
        <v>105.15</v>
      </c>
      <c r="W20">
        <f t="shared" ca="1" si="16"/>
        <v>526.20000000000005</v>
      </c>
      <c r="X20">
        <f t="shared" ca="1" si="17"/>
        <v>631.35</v>
      </c>
      <c r="Z20" t="str">
        <f t="shared" ca="1" si="14"/>
        <v>2020-06</v>
      </c>
      <c r="AA20">
        <f t="shared" ca="1" si="15"/>
        <v>11.519999999999996</v>
      </c>
      <c r="AB20">
        <f t="shared" ca="1" si="15"/>
        <v>-48.500000000000057</v>
      </c>
      <c r="AC20">
        <f t="shared" ca="1" si="15"/>
        <v>-36.980000000000132</v>
      </c>
    </row>
    <row r="21" spans="1:29" x14ac:dyDescent="0.2">
      <c r="A21" s="2" t="s">
        <v>44</v>
      </c>
      <c r="B21">
        <v>9.52</v>
      </c>
      <c r="C21">
        <v>37.76</v>
      </c>
      <c r="D21">
        <v>26.6</v>
      </c>
      <c r="E21">
        <v>35.42</v>
      </c>
      <c r="F21">
        <v>56.95</v>
      </c>
      <c r="G21">
        <v>6.32</v>
      </c>
      <c r="H21">
        <v>1.39</v>
      </c>
      <c r="I21">
        <v>11.7</v>
      </c>
      <c r="J21">
        <v>211.63</v>
      </c>
      <c r="K21">
        <v>25.97</v>
      </c>
      <c r="L21">
        <v>423.26</v>
      </c>
      <c r="N21" t="str">
        <f t="shared" si="2"/>
        <v>2018-04</v>
      </c>
      <c r="O21">
        <f t="shared" si="3"/>
        <v>37.67</v>
      </c>
      <c r="P21">
        <f t="shared" si="4"/>
        <v>173.95999999999998</v>
      </c>
      <c r="Q21">
        <f t="shared" si="5"/>
        <v>211.63</v>
      </c>
      <c r="T21">
        <f t="shared" si="18"/>
        <v>47</v>
      </c>
      <c r="U21" t="str" cm="1">
        <f t="array" aca="1" ref="U21" ca="1">INDIRECT("N"&amp;T21)</f>
        <v>2020-06</v>
      </c>
      <c r="V21">
        <f t="shared" ca="1" si="13"/>
        <v>116.67</v>
      </c>
      <c r="W21">
        <f t="shared" ca="1" si="16"/>
        <v>477.7</v>
      </c>
      <c r="X21">
        <f t="shared" ca="1" si="17"/>
        <v>594.36999999999989</v>
      </c>
      <c r="Z21" t="str">
        <f t="shared" ca="1" si="14"/>
        <v>2021-06</v>
      </c>
      <c r="AA21">
        <f t="shared" ca="1" si="15"/>
        <v>8.61</v>
      </c>
      <c r="AB21">
        <f t="shared" ca="1" si="15"/>
        <v>26.890000000000043</v>
      </c>
      <c r="AC21">
        <f t="shared" ca="1" si="15"/>
        <v>35.500000000000114</v>
      </c>
    </row>
    <row r="22" spans="1:29" x14ac:dyDescent="0.2">
      <c r="A22" s="2" t="s">
        <v>45</v>
      </c>
      <c r="B22">
        <v>8.93</v>
      </c>
      <c r="C22">
        <v>39.36</v>
      </c>
      <c r="D22">
        <v>27.57</v>
      </c>
      <c r="E22">
        <v>36.799999999999997</v>
      </c>
      <c r="F22">
        <v>54.5</v>
      </c>
      <c r="G22">
        <v>6.22</v>
      </c>
      <c r="H22">
        <v>1.43</v>
      </c>
      <c r="I22">
        <v>13.88</v>
      </c>
      <c r="J22">
        <v>208.68</v>
      </c>
      <c r="K22">
        <v>19.989999999999998</v>
      </c>
      <c r="L22">
        <v>417.36</v>
      </c>
      <c r="N22" t="str">
        <f t="shared" si="2"/>
        <v>2018-05</v>
      </c>
      <c r="O22">
        <f t="shared" si="3"/>
        <v>33.869999999999997</v>
      </c>
      <c r="P22">
        <f t="shared" si="4"/>
        <v>174.81</v>
      </c>
      <c r="Q22">
        <f t="shared" si="5"/>
        <v>208.68</v>
      </c>
      <c r="T22">
        <f t="shared" si="18"/>
        <v>59</v>
      </c>
      <c r="U22" t="str" cm="1">
        <f t="array" aca="1" ref="U22" ca="1">INDIRECT("N"&amp;T22)</f>
        <v>2021-06</v>
      </c>
      <c r="V22">
        <f t="shared" ca="1" si="13"/>
        <v>125.28</v>
      </c>
      <c r="W22">
        <f t="shared" ca="1" si="16"/>
        <v>504.59000000000003</v>
      </c>
      <c r="X22">
        <f t="shared" ca="1" si="17"/>
        <v>629.87</v>
      </c>
      <c r="Z22" t="str">
        <f t="shared" ca="1" si="14"/>
        <v>2022-06</v>
      </c>
      <c r="AA22">
        <f t="shared" ca="1" si="15"/>
        <v>20.97999999999999</v>
      </c>
      <c r="AB22">
        <f t="shared" ca="1" si="15"/>
        <v>-30.78000000000003</v>
      </c>
      <c r="AC22">
        <f t="shared" ca="1" si="15"/>
        <v>-9.8000000000000682</v>
      </c>
    </row>
    <row r="23" spans="1:29" x14ac:dyDescent="0.2">
      <c r="A23" s="2" t="s">
        <v>46</v>
      </c>
      <c r="B23">
        <v>8.35</v>
      </c>
      <c r="C23">
        <v>41.08</v>
      </c>
      <c r="D23">
        <v>31.2</v>
      </c>
      <c r="E23">
        <v>31.72</v>
      </c>
      <c r="F23">
        <v>54.39</v>
      </c>
      <c r="G23">
        <v>5.85</v>
      </c>
      <c r="H23">
        <v>1.28</v>
      </c>
      <c r="I23">
        <v>13.44</v>
      </c>
      <c r="J23">
        <v>205.63</v>
      </c>
      <c r="K23">
        <v>18.32</v>
      </c>
      <c r="L23">
        <v>411.26</v>
      </c>
      <c r="N23" t="str">
        <f t="shared" si="2"/>
        <v>2018-06</v>
      </c>
      <c r="O23">
        <f t="shared" si="3"/>
        <v>31.759999999999998</v>
      </c>
      <c r="P23">
        <f t="shared" si="4"/>
        <v>173.87</v>
      </c>
      <c r="Q23">
        <f t="shared" si="5"/>
        <v>205.63</v>
      </c>
      <c r="T23">
        <f t="shared" si="18"/>
        <v>71</v>
      </c>
      <c r="U23" t="str" cm="1">
        <f t="array" aca="1" ref="U23" ca="1">INDIRECT("N"&amp;T23)</f>
        <v>2022-06</v>
      </c>
      <c r="V23">
        <f t="shared" ca="1" si="13"/>
        <v>146.26</v>
      </c>
      <c r="W23">
        <f t="shared" ca="1" si="16"/>
        <v>473.81</v>
      </c>
      <c r="X23">
        <f t="shared" ca="1" si="17"/>
        <v>620.06999999999994</v>
      </c>
      <c r="Z23" t="str">
        <f t="shared" ca="1" si="14"/>
        <v>2023-06</v>
      </c>
      <c r="AA23">
        <f t="shared" ca="1" si="15"/>
        <v>27.990000000000009</v>
      </c>
      <c r="AB23">
        <f t="shared" ca="1" si="15"/>
        <v>-56.94</v>
      </c>
      <c r="AC23">
        <f t="shared" ca="1" si="15"/>
        <v>-28.949999999999932</v>
      </c>
    </row>
    <row r="24" spans="1:29" x14ac:dyDescent="0.2">
      <c r="A24" s="2" t="s">
        <v>47</v>
      </c>
      <c r="B24">
        <v>8.65</v>
      </c>
      <c r="C24">
        <v>48.49</v>
      </c>
      <c r="D24">
        <v>38.82</v>
      </c>
      <c r="E24">
        <v>26.62</v>
      </c>
      <c r="F24">
        <v>58.06</v>
      </c>
      <c r="G24">
        <v>6.38</v>
      </c>
      <c r="H24">
        <v>1.38</v>
      </c>
      <c r="I24">
        <v>15.56</v>
      </c>
      <c r="J24">
        <v>218.49</v>
      </c>
      <c r="K24">
        <v>14.53</v>
      </c>
      <c r="L24">
        <v>436.98</v>
      </c>
      <c r="N24" t="str">
        <f t="shared" si="2"/>
        <v>2018-07</v>
      </c>
      <c r="O24">
        <f t="shared" si="3"/>
        <v>30.09</v>
      </c>
      <c r="P24">
        <f t="shared" si="4"/>
        <v>188.4</v>
      </c>
      <c r="Q24">
        <f t="shared" si="5"/>
        <v>218.49</v>
      </c>
      <c r="T24">
        <f t="shared" si="18"/>
        <v>83</v>
      </c>
      <c r="U24" t="str" cm="1">
        <f t="array" aca="1" ref="U24" ca="1">INDIRECT("N"&amp;T24)</f>
        <v>2023-06</v>
      </c>
      <c r="V24">
        <f t="shared" ca="1" si="13"/>
        <v>174.25</v>
      </c>
      <c r="W24">
        <f t="shared" ca="1" si="16"/>
        <v>416.87</v>
      </c>
      <c r="X24">
        <f t="shared" ca="1" si="17"/>
        <v>591.12</v>
      </c>
      <c r="Z24" t="str">
        <f t="shared" ca="1" si="14"/>
        <v>2024-06</v>
      </c>
      <c r="AA24">
        <f t="shared" ca="1" si="15"/>
        <v>24.270000000000039</v>
      </c>
      <c r="AB24">
        <f t="shared" ca="1" si="15"/>
        <v>3.8899999999999864</v>
      </c>
      <c r="AC24">
        <f t="shared" ca="1" si="15"/>
        <v>28.159999999999968</v>
      </c>
    </row>
    <row r="25" spans="1:29" x14ac:dyDescent="0.2">
      <c r="A25" s="2" t="s">
        <v>48</v>
      </c>
      <c r="B25">
        <v>8.84</v>
      </c>
      <c r="C25">
        <v>46.55</v>
      </c>
      <c r="D25">
        <v>39.04</v>
      </c>
      <c r="E25">
        <v>22.2</v>
      </c>
      <c r="F25">
        <v>54.97</v>
      </c>
      <c r="G25">
        <v>6.49</v>
      </c>
      <c r="H25">
        <v>1.39</v>
      </c>
      <c r="I25">
        <v>13.4</v>
      </c>
      <c r="J25">
        <v>211.79</v>
      </c>
      <c r="K25">
        <v>18.91</v>
      </c>
      <c r="L25">
        <v>423.58000000000004</v>
      </c>
      <c r="N25" t="str">
        <f t="shared" si="2"/>
        <v>2018-08</v>
      </c>
      <c r="O25">
        <f t="shared" si="3"/>
        <v>32.31</v>
      </c>
      <c r="P25">
        <f t="shared" si="4"/>
        <v>179.48</v>
      </c>
      <c r="Q25">
        <f t="shared" si="5"/>
        <v>211.79</v>
      </c>
      <c r="T25">
        <f t="shared" si="18"/>
        <v>95</v>
      </c>
      <c r="U25" t="str" cm="1">
        <f t="array" aca="1" ref="U25" ca="1">INDIRECT("N"&amp;T25)</f>
        <v>2024-06</v>
      </c>
      <c r="V25">
        <f t="shared" ca="1" si="13"/>
        <v>198.52000000000004</v>
      </c>
      <c r="W25">
        <f t="shared" ca="1" si="16"/>
        <v>420.76</v>
      </c>
      <c r="X25">
        <f t="shared" ca="1" si="17"/>
        <v>619.28</v>
      </c>
      <c r="Z25" t="str">
        <f t="shared" ca="1" si="14"/>
        <v>2025-06</v>
      </c>
      <c r="AA25">
        <f t="shared" ca="1" si="15"/>
        <v>28.269999999999953</v>
      </c>
      <c r="AB25">
        <f t="shared" ca="1" si="15"/>
        <v>-24.370000000000005</v>
      </c>
      <c r="AC25">
        <f t="shared" ca="1" si="15"/>
        <v>3.9000000000000909</v>
      </c>
    </row>
    <row r="26" spans="1:29" x14ac:dyDescent="0.2">
      <c r="A26" s="2" t="s">
        <v>49</v>
      </c>
      <c r="B26">
        <v>8.89</v>
      </c>
      <c r="C26">
        <v>46.54</v>
      </c>
      <c r="D26">
        <v>37.64</v>
      </c>
      <c r="E26">
        <v>20.25</v>
      </c>
      <c r="F26">
        <v>55.14</v>
      </c>
      <c r="G26">
        <v>6.29</v>
      </c>
      <c r="H26">
        <v>1.32</v>
      </c>
      <c r="I26">
        <v>10.9</v>
      </c>
      <c r="J26">
        <v>209.33</v>
      </c>
      <c r="K26">
        <v>22.36</v>
      </c>
      <c r="L26">
        <v>418.65999999999997</v>
      </c>
      <c r="N26" t="str">
        <f t="shared" si="2"/>
        <v>2018-09</v>
      </c>
      <c r="O26">
        <f t="shared" si="3"/>
        <v>33.26</v>
      </c>
      <c r="P26">
        <f t="shared" si="4"/>
        <v>176.07000000000002</v>
      </c>
      <c r="Q26">
        <f t="shared" si="5"/>
        <v>209.33</v>
      </c>
      <c r="T26">
        <f t="shared" si="18"/>
        <v>107</v>
      </c>
      <c r="U26" t="str" cm="1">
        <f t="array" aca="1" ref="U26" ca="1">INDIRECT("N"&amp;T26)</f>
        <v>2025-06</v>
      </c>
      <c r="V26">
        <f t="shared" ca="1" si="13"/>
        <v>226.79</v>
      </c>
      <c r="W26">
        <f t="shared" ca="1" si="16"/>
        <v>396.39</v>
      </c>
      <c r="X26">
        <f t="shared" ca="1" si="17"/>
        <v>623.18000000000006</v>
      </c>
    </row>
    <row r="27" spans="1:29" x14ac:dyDescent="0.2">
      <c r="A27" s="2" t="s">
        <v>50</v>
      </c>
      <c r="B27">
        <v>9.7799999999999994</v>
      </c>
      <c r="C27">
        <v>48.95</v>
      </c>
      <c r="D27">
        <v>42.45</v>
      </c>
      <c r="E27">
        <v>18.29</v>
      </c>
      <c r="F27">
        <v>58.8</v>
      </c>
      <c r="G27">
        <v>6.55</v>
      </c>
      <c r="H27">
        <v>1.4</v>
      </c>
      <c r="I27">
        <v>7.53</v>
      </c>
      <c r="J27">
        <v>224.25</v>
      </c>
      <c r="K27">
        <v>30.5</v>
      </c>
      <c r="L27">
        <v>448.5</v>
      </c>
      <c r="N27" t="str">
        <f t="shared" si="2"/>
        <v>2018-10</v>
      </c>
      <c r="O27">
        <f t="shared" si="3"/>
        <v>38.03</v>
      </c>
      <c r="P27">
        <f t="shared" si="4"/>
        <v>186.22</v>
      </c>
      <c r="Q27">
        <f t="shared" si="5"/>
        <v>224.25</v>
      </c>
      <c r="V27">
        <f ca="1">V26-V18</f>
        <v>129.76</v>
      </c>
      <c r="W27">
        <f t="shared" ref="W27:X27" ca="1" si="19">W26-W18</f>
        <v>-141.93000000000006</v>
      </c>
      <c r="X27">
        <f t="shared" ca="1" si="19"/>
        <v>-12.169999999999959</v>
      </c>
    </row>
    <row r="28" spans="1:29" x14ac:dyDescent="0.2">
      <c r="A28" s="2" t="s">
        <v>51</v>
      </c>
      <c r="B28">
        <v>10.119999999999999</v>
      </c>
      <c r="C28">
        <v>50.93</v>
      </c>
      <c r="D28">
        <v>49.4</v>
      </c>
      <c r="E28">
        <v>23.93</v>
      </c>
      <c r="F28">
        <v>59.81</v>
      </c>
      <c r="G28">
        <v>6.58</v>
      </c>
      <c r="H28">
        <v>1.38</v>
      </c>
      <c r="I28">
        <v>3.76</v>
      </c>
      <c r="J28">
        <v>235.55</v>
      </c>
      <c r="K28">
        <v>29.64</v>
      </c>
      <c r="L28">
        <v>471.1</v>
      </c>
      <c r="N28" t="str">
        <f t="shared" si="2"/>
        <v>2018-11</v>
      </c>
      <c r="O28">
        <f t="shared" si="3"/>
        <v>33.4</v>
      </c>
      <c r="P28">
        <f t="shared" si="4"/>
        <v>202.15</v>
      </c>
      <c r="Q28">
        <f t="shared" si="5"/>
        <v>235.55</v>
      </c>
    </row>
    <row r="29" spans="1:29" x14ac:dyDescent="0.2">
      <c r="A29" s="2" t="s">
        <v>52</v>
      </c>
      <c r="B29">
        <v>11.05</v>
      </c>
      <c r="C29">
        <v>47.35</v>
      </c>
      <c r="D29">
        <v>48</v>
      </c>
      <c r="E29">
        <v>26.36</v>
      </c>
      <c r="F29">
        <v>68.69</v>
      </c>
      <c r="G29">
        <v>6.79</v>
      </c>
      <c r="H29">
        <v>1.41</v>
      </c>
      <c r="I29">
        <v>2.88</v>
      </c>
      <c r="J29">
        <v>249.04</v>
      </c>
      <c r="K29">
        <v>36.51</v>
      </c>
      <c r="L29">
        <v>498.07999999999993</v>
      </c>
      <c r="N29" t="str">
        <f t="shared" si="2"/>
        <v>2018-12</v>
      </c>
      <c r="O29">
        <f t="shared" si="3"/>
        <v>39.39</v>
      </c>
      <c r="P29">
        <f t="shared" si="4"/>
        <v>209.64999999999998</v>
      </c>
      <c r="Q29">
        <f t="shared" si="5"/>
        <v>249.04</v>
      </c>
    </row>
    <row r="30" spans="1:29" x14ac:dyDescent="0.2">
      <c r="A30" s="2" t="s">
        <v>53</v>
      </c>
      <c r="B30">
        <v>11.03</v>
      </c>
      <c r="C30">
        <v>51.13</v>
      </c>
      <c r="D30">
        <v>56.05</v>
      </c>
      <c r="E30">
        <v>25.43</v>
      </c>
      <c r="F30">
        <v>71.84</v>
      </c>
      <c r="G30">
        <v>8.31</v>
      </c>
      <c r="H30">
        <v>1.64</v>
      </c>
      <c r="I30">
        <v>3.53</v>
      </c>
      <c r="J30">
        <v>267.41000000000003</v>
      </c>
      <c r="K30">
        <v>38.450000000000003</v>
      </c>
      <c r="L30">
        <v>534.82000000000005</v>
      </c>
      <c r="N30" t="str">
        <f t="shared" si="2"/>
        <v>2019-01</v>
      </c>
      <c r="O30">
        <f t="shared" si="3"/>
        <v>41.980000000000004</v>
      </c>
      <c r="P30">
        <f t="shared" si="4"/>
        <v>225.43</v>
      </c>
      <c r="Q30">
        <f t="shared" si="5"/>
        <v>267.41000000000003</v>
      </c>
    </row>
    <row r="31" spans="1:29" x14ac:dyDescent="0.2">
      <c r="A31" s="2" t="s">
        <v>54</v>
      </c>
      <c r="B31">
        <v>9.57</v>
      </c>
      <c r="C31">
        <v>42.22</v>
      </c>
      <c r="D31">
        <v>43.95</v>
      </c>
      <c r="E31">
        <v>24.29</v>
      </c>
      <c r="F31">
        <v>64.92</v>
      </c>
      <c r="G31">
        <v>6.9</v>
      </c>
      <c r="H31">
        <v>1.51</v>
      </c>
      <c r="I31">
        <v>6.78</v>
      </c>
      <c r="J31">
        <v>231.29</v>
      </c>
      <c r="K31">
        <v>31.15</v>
      </c>
      <c r="L31">
        <v>462.57999999999993</v>
      </c>
      <c r="N31" t="str">
        <f t="shared" si="2"/>
        <v>2019-02</v>
      </c>
      <c r="O31">
        <f t="shared" si="3"/>
        <v>37.93</v>
      </c>
      <c r="P31">
        <f t="shared" si="4"/>
        <v>193.35999999999999</v>
      </c>
      <c r="Q31">
        <f t="shared" si="5"/>
        <v>231.29</v>
      </c>
    </row>
    <row r="32" spans="1:29" x14ac:dyDescent="0.2">
      <c r="A32" s="2" t="s">
        <v>55</v>
      </c>
      <c r="B32">
        <v>10.27</v>
      </c>
      <c r="C32">
        <v>35.549999999999997</v>
      </c>
      <c r="D32">
        <v>39.880000000000003</v>
      </c>
      <c r="E32">
        <v>26.1</v>
      </c>
      <c r="F32">
        <v>66.84</v>
      </c>
      <c r="G32">
        <v>7.02</v>
      </c>
      <c r="H32">
        <v>1.64</v>
      </c>
      <c r="I32">
        <v>9.7799999999999994</v>
      </c>
      <c r="J32">
        <v>238.64</v>
      </c>
      <c r="K32">
        <v>41.56</v>
      </c>
      <c r="L32">
        <v>477.28</v>
      </c>
      <c r="N32" t="str">
        <f t="shared" si="2"/>
        <v>2019-03</v>
      </c>
      <c r="O32">
        <f t="shared" si="3"/>
        <v>51.34</v>
      </c>
      <c r="P32">
        <f t="shared" si="4"/>
        <v>187.29999999999998</v>
      </c>
      <c r="Q32">
        <f t="shared" si="5"/>
        <v>238.64</v>
      </c>
    </row>
    <row r="33" spans="1:17" x14ac:dyDescent="0.2">
      <c r="A33" s="2" t="s">
        <v>56</v>
      </c>
      <c r="B33">
        <v>9.11</v>
      </c>
      <c r="C33">
        <v>34.21</v>
      </c>
      <c r="D33">
        <v>36.950000000000003</v>
      </c>
      <c r="E33">
        <v>25.94</v>
      </c>
      <c r="F33">
        <v>60.58</v>
      </c>
      <c r="G33">
        <v>6.44</v>
      </c>
      <c r="H33">
        <v>1.57</v>
      </c>
      <c r="I33">
        <v>12.19</v>
      </c>
      <c r="J33">
        <v>214</v>
      </c>
      <c r="K33">
        <v>27.01</v>
      </c>
      <c r="L33">
        <v>428</v>
      </c>
      <c r="N33" t="str">
        <f t="shared" si="2"/>
        <v>2019-04</v>
      </c>
      <c r="O33">
        <f t="shared" si="3"/>
        <v>39.200000000000003</v>
      </c>
      <c r="P33">
        <f t="shared" si="4"/>
        <v>174.8</v>
      </c>
      <c r="Q33">
        <f t="shared" si="5"/>
        <v>214</v>
      </c>
    </row>
    <row r="34" spans="1:17" x14ac:dyDescent="0.2">
      <c r="A34" s="2" t="s">
        <v>57</v>
      </c>
      <c r="B34">
        <v>8.7200000000000006</v>
      </c>
      <c r="C34">
        <v>32.33</v>
      </c>
      <c r="D34">
        <v>37.29</v>
      </c>
      <c r="E34">
        <v>30.34</v>
      </c>
      <c r="F34">
        <v>57.71</v>
      </c>
      <c r="G34">
        <v>6.29</v>
      </c>
      <c r="H34">
        <v>1.55</v>
      </c>
      <c r="I34">
        <v>13.39</v>
      </c>
      <c r="J34">
        <v>213.67</v>
      </c>
      <c r="K34">
        <v>26.05</v>
      </c>
      <c r="L34">
        <v>427.34</v>
      </c>
      <c r="N34" t="str">
        <f t="shared" si="2"/>
        <v>2019-05</v>
      </c>
      <c r="O34">
        <f t="shared" si="3"/>
        <v>39.44</v>
      </c>
      <c r="P34">
        <f t="shared" si="4"/>
        <v>174.23</v>
      </c>
      <c r="Q34">
        <f t="shared" si="5"/>
        <v>213.67</v>
      </c>
    </row>
    <row r="35" spans="1:17" x14ac:dyDescent="0.2">
      <c r="A35" s="2" t="s">
        <v>58</v>
      </c>
      <c r="B35">
        <v>8.11</v>
      </c>
      <c r="C35">
        <v>28.61</v>
      </c>
      <c r="D35">
        <v>39.86</v>
      </c>
      <c r="E35">
        <v>31.08</v>
      </c>
      <c r="F35">
        <v>55.24</v>
      </c>
      <c r="G35">
        <v>5.61</v>
      </c>
      <c r="H35">
        <v>1.25</v>
      </c>
      <c r="I35">
        <v>16.260000000000002</v>
      </c>
      <c r="J35">
        <v>206.3</v>
      </c>
      <c r="K35">
        <v>20.28</v>
      </c>
      <c r="L35">
        <v>412.6</v>
      </c>
      <c r="N35" t="str">
        <f t="shared" si="2"/>
        <v>2019-06</v>
      </c>
      <c r="O35">
        <f t="shared" si="3"/>
        <v>36.540000000000006</v>
      </c>
      <c r="P35">
        <f t="shared" si="4"/>
        <v>169.76</v>
      </c>
      <c r="Q35">
        <f t="shared" si="5"/>
        <v>206.3</v>
      </c>
    </row>
    <row r="36" spans="1:17" x14ac:dyDescent="0.2">
      <c r="A36" s="2" t="s">
        <v>59</v>
      </c>
      <c r="B36">
        <v>8.5500000000000007</v>
      </c>
      <c r="C36">
        <v>32.08</v>
      </c>
      <c r="D36">
        <v>50.6</v>
      </c>
      <c r="E36">
        <v>26.09</v>
      </c>
      <c r="F36">
        <v>57.99</v>
      </c>
      <c r="G36">
        <v>5.88</v>
      </c>
      <c r="H36">
        <v>1.45</v>
      </c>
      <c r="I36">
        <v>15.55</v>
      </c>
      <c r="J36">
        <v>217.87</v>
      </c>
      <c r="K36">
        <v>19.68</v>
      </c>
      <c r="L36">
        <v>435.74</v>
      </c>
      <c r="N36" t="str">
        <f t="shared" si="2"/>
        <v>2019-07</v>
      </c>
      <c r="O36">
        <f t="shared" si="3"/>
        <v>35.230000000000004</v>
      </c>
      <c r="P36">
        <f t="shared" si="4"/>
        <v>182.64</v>
      </c>
      <c r="Q36">
        <f t="shared" si="5"/>
        <v>217.87</v>
      </c>
    </row>
    <row r="37" spans="1:17" x14ac:dyDescent="0.2">
      <c r="A37" s="2" t="s">
        <v>60</v>
      </c>
      <c r="B37">
        <v>8.61</v>
      </c>
      <c r="C37">
        <v>29.86</v>
      </c>
      <c r="D37">
        <v>48.15</v>
      </c>
      <c r="E37">
        <v>22.19</v>
      </c>
      <c r="F37">
        <v>57.29</v>
      </c>
      <c r="G37">
        <v>6.26</v>
      </c>
      <c r="H37">
        <v>1.44</v>
      </c>
      <c r="I37">
        <v>14.65</v>
      </c>
      <c r="J37">
        <v>207.18</v>
      </c>
      <c r="K37">
        <v>18.73</v>
      </c>
      <c r="L37">
        <v>414.36</v>
      </c>
      <c r="N37" t="str">
        <f t="shared" si="2"/>
        <v>2019-08</v>
      </c>
      <c r="O37">
        <f t="shared" si="3"/>
        <v>33.380000000000003</v>
      </c>
      <c r="P37">
        <f t="shared" si="4"/>
        <v>173.8</v>
      </c>
      <c r="Q37">
        <f t="shared" si="5"/>
        <v>207.18</v>
      </c>
    </row>
    <row r="38" spans="1:17" x14ac:dyDescent="0.2">
      <c r="A38" s="2" t="s">
        <v>61</v>
      </c>
      <c r="B38">
        <v>8.27</v>
      </c>
      <c r="C38">
        <v>29.55</v>
      </c>
      <c r="D38">
        <v>47.71</v>
      </c>
      <c r="E38">
        <v>19.78</v>
      </c>
      <c r="F38">
        <v>55.87</v>
      </c>
      <c r="G38">
        <v>6.44</v>
      </c>
      <c r="H38">
        <v>1.46</v>
      </c>
      <c r="I38">
        <v>11.2</v>
      </c>
      <c r="J38">
        <v>206.64</v>
      </c>
      <c r="K38">
        <v>26.36</v>
      </c>
      <c r="L38">
        <v>413.28</v>
      </c>
      <c r="N38" t="str">
        <f t="shared" si="2"/>
        <v>2019-09</v>
      </c>
      <c r="O38">
        <f t="shared" si="3"/>
        <v>37.56</v>
      </c>
      <c r="P38">
        <f t="shared" si="4"/>
        <v>169.07999999999998</v>
      </c>
      <c r="Q38">
        <f t="shared" si="5"/>
        <v>206.64</v>
      </c>
    </row>
    <row r="39" spans="1:17" x14ac:dyDescent="0.2">
      <c r="A39" s="2" t="s">
        <v>62</v>
      </c>
      <c r="B39">
        <v>9.4499999999999993</v>
      </c>
      <c r="C39">
        <v>35.03</v>
      </c>
      <c r="D39">
        <v>52.01</v>
      </c>
      <c r="E39">
        <v>20.89</v>
      </c>
      <c r="F39">
        <v>58.77</v>
      </c>
      <c r="G39">
        <v>6.85</v>
      </c>
      <c r="H39">
        <v>1.56</v>
      </c>
      <c r="I39">
        <v>7.76</v>
      </c>
      <c r="J39">
        <v>221.99</v>
      </c>
      <c r="K39">
        <v>29.67</v>
      </c>
      <c r="L39">
        <v>443.98</v>
      </c>
      <c r="N39" t="str">
        <f t="shared" si="2"/>
        <v>2019-10</v>
      </c>
      <c r="O39">
        <f t="shared" si="3"/>
        <v>37.43</v>
      </c>
      <c r="P39">
        <f t="shared" si="4"/>
        <v>184.56</v>
      </c>
      <c r="Q39">
        <f t="shared" si="5"/>
        <v>221.99</v>
      </c>
    </row>
    <row r="40" spans="1:17" x14ac:dyDescent="0.2">
      <c r="A40" s="2" t="s">
        <v>63</v>
      </c>
      <c r="B40">
        <v>10.01</v>
      </c>
      <c r="C40">
        <v>39.58</v>
      </c>
      <c r="D40">
        <v>48.46</v>
      </c>
      <c r="E40">
        <v>29.36</v>
      </c>
      <c r="F40">
        <v>58.67</v>
      </c>
      <c r="G40">
        <v>6.91</v>
      </c>
      <c r="H40">
        <v>1.58</v>
      </c>
      <c r="I40">
        <v>3.84</v>
      </c>
      <c r="J40">
        <v>232.79</v>
      </c>
      <c r="K40">
        <v>34.380000000000003</v>
      </c>
      <c r="L40">
        <v>465.58</v>
      </c>
      <c r="N40" t="str">
        <f t="shared" si="2"/>
        <v>2019-11</v>
      </c>
      <c r="O40">
        <f t="shared" si="3"/>
        <v>38.22</v>
      </c>
      <c r="P40">
        <f t="shared" si="4"/>
        <v>194.57</v>
      </c>
      <c r="Q40">
        <f t="shared" si="5"/>
        <v>232.79</v>
      </c>
    </row>
    <row r="41" spans="1:17" x14ac:dyDescent="0.2">
      <c r="A41" s="2" t="s">
        <v>64</v>
      </c>
      <c r="B41">
        <v>10.5</v>
      </c>
      <c r="C41">
        <v>34.58</v>
      </c>
      <c r="D41">
        <v>42.91</v>
      </c>
      <c r="E41">
        <v>33.840000000000003</v>
      </c>
      <c r="F41">
        <v>64.31</v>
      </c>
      <c r="G41">
        <v>6.95</v>
      </c>
      <c r="H41">
        <v>1.64</v>
      </c>
      <c r="I41">
        <v>3.57</v>
      </c>
      <c r="J41">
        <v>240.45</v>
      </c>
      <c r="K41">
        <v>42.15</v>
      </c>
      <c r="L41">
        <v>480.89999999999992</v>
      </c>
      <c r="N41" t="str">
        <f t="shared" si="2"/>
        <v>2019-12</v>
      </c>
      <c r="O41">
        <f t="shared" si="3"/>
        <v>45.72</v>
      </c>
      <c r="P41">
        <f t="shared" si="4"/>
        <v>194.73</v>
      </c>
      <c r="Q41">
        <f t="shared" si="5"/>
        <v>240.45</v>
      </c>
    </row>
    <row r="42" spans="1:17" x14ac:dyDescent="0.2">
      <c r="A42" s="2" t="s">
        <v>65</v>
      </c>
      <c r="B42">
        <v>10.4</v>
      </c>
      <c r="C42">
        <v>35.31</v>
      </c>
      <c r="D42">
        <v>56.05</v>
      </c>
      <c r="E42">
        <v>29.43</v>
      </c>
      <c r="F42">
        <v>68.040000000000006</v>
      </c>
      <c r="G42">
        <v>6.9</v>
      </c>
      <c r="H42">
        <v>1.64</v>
      </c>
      <c r="I42">
        <v>4.46</v>
      </c>
      <c r="J42">
        <v>254.3</v>
      </c>
      <c r="K42">
        <v>42.07</v>
      </c>
      <c r="L42">
        <v>508.6</v>
      </c>
      <c r="N42" t="str">
        <f t="shared" si="2"/>
        <v>2020-01</v>
      </c>
      <c r="O42">
        <f t="shared" si="3"/>
        <v>46.53</v>
      </c>
      <c r="P42">
        <f t="shared" si="4"/>
        <v>207.77</v>
      </c>
      <c r="Q42">
        <f t="shared" si="5"/>
        <v>254.3</v>
      </c>
    </row>
    <row r="43" spans="1:17" x14ac:dyDescent="0.2">
      <c r="A43" s="2" t="s">
        <v>66</v>
      </c>
      <c r="B43">
        <v>9.27</v>
      </c>
      <c r="C43">
        <v>27.37</v>
      </c>
      <c r="D43">
        <v>45.31</v>
      </c>
      <c r="E43">
        <v>28.62</v>
      </c>
      <c r="F43">
        <v>60.58</v>
      </c>
      <c r="G43">
        <v>6.37</v>
      </c>
      <c r="H43">
        <v>1.49</v>
      </c>
      <c r="I43">
        <v>6.73</v>
      </c>
      <c r="J43">
        <v>235.21</v>
      </c>
      <c r="K43">
        <v>49.47</v>
      </c>
      <c r="L43">
        <v>470.42000000000007</v>
      </c>
      <c r="N43" t="str">
        <f t="shared" si="2"/>
        <v>2020-02</v>
      </c>
      <c r="O43">
        <f t="shared" si="3"/>
        <v>56.2</v>
      </c>
      <c r="P43">
        <f t="shared" si="4"/>
        <v>179.01</v>
      </c>
      <c r="Q43">
        <f t="shared" si="5"/>
        <v>235.21</v>
      </c>
    </row>
    <row r="44" spans="1:17" x14ac:dyDescent="0.2">
      <c r="A44" s="2" t="s">
        <v>67</v>
      </c>
      <c r="B44">
        <v>10.130000000000001</v>
      </c>
      <c r="C44">
        <v>27.88</v>
      </c>
      <c r="D44">
        <v>41.5</v>
      </c>
      <c r="E44">
        <v>31.76</v>
      </c>
      <c r="F44">
        <v>59.85</v>
      </c>
      <c r="G44">
        <v>6.42</v>
      </c>
      <c r="H44">
        <v>1.6</v>
      </c>
      <c r="I44">
        <v>11.43</v>
      </c>
      <c r="J44">
        <v>231.22</v>
      </c>
      <c r="K44">
        <v>40.65</v>
      </c>
      <c r="L44">
        <v>462.43999999999994</v>
      </c>
      <c r="N44" t="str">
        <f t="shared" si="2"/>
        <v>2020-03</v>
      </c>
      <c r="O44">
        <f t="shared" si="3"/>
        <v>52.08</v>
      </c>
      <c r="P44">
        <f t="shared" si="4"/>
        <v>179.14</v>
      </c>
      <c r="Q44">
        <f t="shared" si="5"/>
        <v>231.22</v>
      </c>
    </row>
    <row r="45" spans="1:17" x14ac:dyDescent="0.2">
      <c r="A45" s="2" t="s">
        <v>68</v>
      </c>
      <c r="B45">
        <v>9.2200000000000006</v>
      </c>
      <c r="C45">
        <v>20.12</v>
      </c>
      <c r="D45">
        <v>32.35</v>
      </c>
      <c r="E45">
        <v>27.56</v>
      </c>
      <c r="F45">
        <v>51.59</v>
      </c>
      <c r="G45">
        <v>5.52</v>
      </c>
      <c r="H45">
        <v>1.47</v>
      </c>
      <c r="I45">
        <v>16.03</v>
      </c>
      <c r="J45">
        <v>190.34</v>
      </c>
      <c r="K45">
        <v>26.48</v>
      </c>
      <c r="L45">
        <v>380.68000000000006</v>
      </c>
      <c r="N45" t="str">
        <f t="shared" si="2"/>
        <v>2020-04</v>
      </c>
      <c r="O45">
        <f t="shared" si="3"/>
        <v>42.510000000000005</v>
      </c>
      <c r="P45">
        <f t="shared" si="4"/>
        <v>147.82999999999998</v>
      </c>
      <c r="Q45">
        <f t="shared" si="5"/>
        <v>190.34</v>
      </c>
    </row>
    <row r="46" spans="1:17" x14ac:dyDescent="0.2">
      <c r="A46" s="2" t="s">
        <v>69</v>
      </c>
      <c r="B46">
        <v>9.26</v>
      </c>
      <c r="C46">
        <v>19.8</v>
      </c>
      <c r="D46">
        <v>32.97</v>
      </c>
      <c r="E46">
        <v>31.36</v>
      </c>
      <c r="F46">
        <v>47.87</v>
      </c>
      <c r="G46">
        <v>5.53</v>
      </c>
      <c r="H46">
        <v>1.47</v>
      </c>
      <c r="I46">
        <v>17.489999999999998</v>
      </c>
      <c r="J46">
        <v>191.24</v>
      </c>
      <c r="K46">
        <v>25.49</v>
      </c>
      <c r="L46">
        <v>382.48</v>
      </c>
      <c r="N46" t="str">
        <f t="shared" si="2"/>
        <v>2020-05</v>
      </c>
      <c r="O46">
        <f t="shared" si="3"/>
        <v>42.98</v>
      </c>
      <c r="P46">
        <f t="shared" si="4"/>
        <v>148.26000000000002</v>
      </c>
      <c r="Q46">
        <f t="shared" si="5"/>
        <v>191.24</v>
      </c>
    </row>
    <row r="47" spans="1:17" x14ac:dyDescent="0.2">
      <c r="A47" s="2" t="s">
        <v>70</v>
      </c>
      <c r="B47">
        <v>8.3699999999999992</v>
      </c>
      <c r="C47">
        <v>22.01</v>
      </c>
      <c r="D47">
        <v>40.21</v>
      </c>
      <c r="E47">
        <v>30.8</v>
      </c>
      <c r="F47">
        <v>43.96</v>
      </c>
      <c r="G47">
        <v>5.33</v>
      </c>
      <c r="H47">
        <v>1.33</v>
      </c>
      <c r="I47">
        <v>16.809999999999999</v>
      </c>
      <c r="J47">
        <v>189.67</v>
      </c>
      <c r="K47">
        <v>20.85</v>
      </c>
      <c r="L47">
        <v>379.34000000000003</v>
      </c>
      <c r="N47" t="str">
        <f t="shared" si="2"/>
        <v>2020-06</v>
      </c>
      <c r="O47">
        <f t="shared" si="3"/>
        <v>37.659999999999997</v>
      </c>
      <c r="P47">
        <f t="shared" si="4"/>
        <v>152.01</v>
      </c>
      <c r="Q47">
        <f t="shared" si="5"/>
        <v>189.67</v>
      </c>
    </row>
    <row r="48" spans="1:17" x14ac:dyDescent="0.2">
      <c r="A48" s="2" t="s">
        <v>71</v>
      </c>
      <c r="B48">
        <v>8.3699999999999992</v>
      </c>
      <c r="C48">
        <v>23.87</v>
      </c>
      <c r="D48">
        <v>48.97</v>
      </c>
      <c r="E48">
        <v>27.42</v>
      </c>
      <c r="F48">
        <v>47.27</v>
      </c>
      <c r="G48">
        <v>5.73</v>
      </c>
      <c r="H48">
        <v>1.42</v>
      </c>
      <c r="I48">
        <v>18.350000000000001</v>
      </c>
      <c r="J48">
        <v>204.5</v>
      </c>
      <c r="K48">
        <v>23.1</v>
      </c>
      <c r="L48">
        <v>409</v>
      </c>
      <c r="N48" t="str">
        <f t="shared" si="2"/>
        <v>2020-07</v>
      </c>
      <c r="O48">
        <f t="shared" si="3"/>
        <v>41.45</v>
      </c>
      <c r="P48">
        <f t="shared" si="4"/>
        <v>163.05000000000001</v>
      </c>
      <c r="Q48">
        <f t="shared" si="5"/>
        <v>204.5</v>
      </c>
    </row>
    <row r="49" spans="1:17" x14ac:dyDescent="0.2">
      <c r="A49" s="2" t="s">
        <v>72</v>
      </c>
      <c r="B49">
        <v>8.64</v>
      </c>
      <c r="C49">
        <v>26.65</v>
      </c>
      <c r="D49">
        <v>45.95</v>
      </c>
      <c r="E49">
        <v>25.79</v>
      </c>
      <c r="F49">
        <v>48.04</v>
      </c>
      <c r="G49">
        <v>6.18</v>
      </c>
      <c r="H49">
        <v>1.39</v>
      </c>
      <c r="I49">
        <v>16.59</v>
      </c>
      <c r="J49">
        <v>200.2</v>
      </c>
      <c r="K49">
        <v>20.97</v>
      </c>
      <c r="L49">
        <v>400.4</v>
      </c>
      <c r="N49" t="str">
        <f t="shared" si="2"/>
        <v>2020-08</v>
      </c>
      <c r="O49">
        <f t="shared" si="3"/>
        <v>37.56</v>
      </c>
      <c r="P49">
        <f t="shared" si="4"/>
        <v>162.63999999999999</v>
      </c>
      <c r="Q49">
        <f t="shared" si="5"/>
        <v>200.2</v>
      </c>
    </row>
    <row r="50" spans="1:17" x14ac:dyDescent="0.2">
      <c r="A50" s="2" t="s">
        <v>73</v>
      </c>
      <c r="B50">
        <v>8.7100000000000009</v>
      </c>
      <c r="C50">
        <v>30.35</v>
      </c>
      <c r="D50">
        <v>45.26</v>
      </c>
      <c r="E50">
        <v>23.22</v>
      </c>
      <c r="F50">
        <v>47.42</v>
      </c>
      <c r="G50">
        <v>6.3</v>
      </c>
      <c r="H50">
        <v>1.45</v>
      </c>
      <c r="I50">
        <v>13.53</v>
      </c>
      <c r="J50">
        <v>200.43</v>
      </c>
      <c r="K50">
        <v>24.19</v>
      </c>
      <c r="L50">
        <v>400.85999999999996</v>
      </c>
      <c r="N50" t="str">
        <f t="shared" si="2"/>
        <v>2020-09</v>
      </c>
      <c r="O50">
        <f t="shared" si="3"/>
        <v>37.72</v>
      </c>
      <c r="P50">
        <f t="shared" si="4"/>
        <v>162.71</v>
      </c>
      <c r="Q50">
        <f t="shared" si="5"/>
        <v>200.43</v>
      </c>
    </row>
    <row r="51" spans="1:17" x14ac:dyDescent="0.2">
      <c r="A51" s="2" t="s">
        <v>74</v>
      </c>
      <c r="B51">
        <v>9.39</v>
      </c>
      <c r="C51">
        <v>32.119999999999997</v>
      </c>
      <c r="D51">
        <v>39.590000000000003</v>
      </c>
      <c r="E51">
        <v>28.2</v>
      </c>
      <c r="F51">
        <v>54.19</v>
      </c>
      <c r="G51">
        <v>6.25</v>
      </c>
      <c r="H51">
        <v>1.58</v>
      </c>
      <c r="I51">
        <v>8.2100000000000009</v>
      </c>
      <c r="J51">
        <v>218.39</v>
      </c>
      <c r="K51">
        <v>38.86</v>
      </c>
      <c r="L51">
        <v>436.78000000000003</v>
      </c>
      <c r="N51" t="str">
        <f t="shared" si="2"/>
        <v>2020-10</v>
      </c>
      <c r="O51">
        <f t="shared" si="3"/>
        <v>47.07</v>
      </c>
      <c r="P51">
        <f t="shared" si="4"/>
        <v>171.32</v>
      </c>
      <c r="Q51">
        <f t="shared" si="5"/>
        <v>218.39</v>
      </c>
    </row>
    <row r="52" spans="1:17" x14ac:dyDescent="0.2">
      <c r="A52" s="2" t="s">
        <v>75</v>
      </c>
      <c r="B52">
        <v>9.7799999999999994</v>
      </c>
      <c r="C52">
        <v>35.43</v>
      </c>
      <c r="D52">
        <v>48.54</v>
      </c>
      <c r="E52">
        <v>27.24</v>
      </c>
      <c r="F52">
        <v>57.76</v>
      </c>
      <c r="G52">
        <v>6.46</v>
      </c>
      <c r="H52">
        <v>1.56</v>
      </c>
      <c r="I52">
        <v>5.59</v>
      </c>
      <c r="J52">
        <v>225.72</v>
      </c>
      <c r="K52">
        <v>33.36</v>
      </c>
      <c r="L52">
        <v>451.44000000000005</v>
      </c>
      <c r="N52" t="str">
        <f t="shared" si="2"/>
        <v>2020-11</v>
      </c>
      <c r="O52">
        <f t="shared" si="3"/>
        <v>38.950000000000003</v>
      </c>
      <c r="P52">
        <f t="shared" si="4"/>
        <v>186.76999999999998</v>
      </c>
      <c r="Q52">
        <f t="shared" si="5"/>
        <v>225.72</v>
      </c>
    </row>
    <row r="53" spans="1:17" x14ac:dyDescent="0.2">
      <c r="A53" s="2" t="s">
        <v>76</v>
      </c>
      <c r="B53">
        <v>10.79</v>
      </c>
      <c r="C53">
        <v>34.979999999999997</v>
      </c>
      <c r="D53">
        <v>50.07</v>
      </c>
      <c r="E53">
        <v>30.12</v>
      </c>
      <c r="F53">
        <v>63.96</v>
      </c>
      <c r="G53">
        <v>6.61</v>
      </c>
      <c r="H53">
        <v>1.64</v>
      </c>
      <c r="I53">
        <v>3.39</v>
      </c>
      <c r="J53">
        <v>241.47</v>
      </c>
      <c r="K53">
        <v>39.909999999999997</v>
      </c>
      <c r="L53">
        <v>482.93999999999994</v>
      </c>
      <c r="N53" t="str">
        <f t="shared" si="2"/>
        <v>2020-12</v>
      </c>
      <c r="O53">
        <f t="shared" si="3"/>
        <v>43.3</v>
      </c>
      <c r="P53">
        <f t="shared" si="4"/>
        <v>198.17000000000002</v>
      </c>
      <c r="Q53">
        <f t="shared" si="5"/>
        <v>241.47</v>
      </c>
    </row>
    <row r="54" spans="1:17" x14ac:dyDescent="0.2">
      <c r="A54" s="2" t="s">
        <v>77</v>
      </c>
      <c r="B54">
        <v>11.37</v>
      </c>
      <c r="C54">
        <v>39.81</v>
      </c>
      <c r="D54">
        <v>52.18</v>
      </c>
      <c r="E54">
        <v>34.729999999999997</v>
      </c>
      <c r="F54">
        <v>67.98</v>
      </c>
      <c r="G54">
        <v>6.84</v>
      </c>
      <c r="H54">
        <v>1.69</v>
      </c>
      <c r="I54">
        <v>4.08</v>
      </c>
      <c r="J54">
        <v>256.83</v>
      </c>
      <c r="K54">
        <v>38.15</v>
      </c>
      <c r="L54">
        <v>513.66</v>
      </c>
      <c r="N54" t="str">
        <f t="shared" si="2"/>
        <v>2021-01</v>
      </c>
      <c r="O54">
        <f t="shared" si="3"/>
        <v>42.23</v>
      </c>
      <c r="P54">
        <f t="shared" si="4"/>
        <v>214.6</v>
      </c>
      <c r="Q54">
        <f t="shared" si="5"/>
        <v>256.83</v>
      </c>
    </row>
    <row r="55" spans="1:17" x14ac:dyDescent="0.2">
      <c r="A55" s="2" t="s">
        <v>78</v>
      </c>
      <c r="B55">
        <v>10.220000000000001</v>
      </c>
      <c r="C55">
        <v>31.25</v>
      </c>
      <c r="D55">
        <v>42.3</v>
      </c>
      <c r="E55">
        <v>35</v>
      </c>
      <c r="F55">
        <v>58.64</v>
      </c>
      <c r="G55">
        <v>6.2</v>
      </c>
      <c r="H55">
        <v>1.48</v>
      </c>
      <c r="I55">
        <v>7.29</v>
      </c>
      <c r="J55">
        <v>229.44</v>
      </c>
      <c r="K55">
        <v>37.06</v>
      </c>
      <c r="L55">
        <v>458.87999999999994</v>
      </c>
      <c r="N55" t="str">
        <f t="shared" si="2"/>
        <v>2021-02</v>
      </c>
      <c r="O55">
        <f t="shared" si="3"/>
        <v>44.35</v>
      </c>
      <c r="P55">
        <f t="shared" si="4"/>
        <v>185.09</v>
      </c>
      <c r="Q55">
        <f t="shared" si="5"/>
        <v>229.44</v>
      </c>
    </row>
    <row r="56" spans="1:17" x14ac:dyDescent="0.2">
      <c r="A56" s="2" t="s">
        <v>79</v>
      </c>
      <c r="B56">
        <v>10.66</v>
      </c>
      <c r="C56">
        <v>31.75</v>
      </c>
      <c r="D56">
        <v>46.72</v>
      </c>
      <c r="E56">
        <v>30.55</v>
      </c>
      <c r="F56">
        <v>62.14</v>
      </c>
      <c r="G56">
        <v>6.21</v>
      </c>
      <c r="H56">
        <v>1.63</v>
      </c>
      <c r="I56">
        <v>13.52</v>
      </c>
      <c r="J56">
        <v>239.91</v>
      </c>
      <c r="K56">
        <v>36.729999999999997</v>
      </c>
      <c r="L56">
        <v>479.82000000000005</v>
      </c>
      <c r="N56" t="str">
        <f t="shared" si="2"/>
        <v>2021-03</v>
      </c>
      <c r="O56">
        <f t="shared" si="3"/>
        <v>50.25</v>
      </c>
      <c r="P56">
        <f t="shared" si="4"/>
        <v>189.66</v>
      </c>
      <c r="Q56">
        <f t="shared" si="5"/>
        <v>239.91</v>
      </c>
    </row>
    <row r="57" spans="1:17" x14ac:dyDescent="0.2">
      <c r="A57" s="2" t="s">
        <v>80</v>
      </c>
      <c r="B57">
        <v>10.14</v>
      </c>
      <c r="C57">
        <v>28.73</v>
      </c>
      <c r="D57">
        <v>43.02</v>
      </c>
      <c r="E57">
        <v>26.54</v>
      </c>
      <c r="F57">
        <v>54.03</v>
      </c>
      <c r="G57">
        <v>5.78</v>
      </c>
      <c r="H57">
        <v>1.46</v>
      </c>
      <c r="I57">
        <v>16.190000000000001</v>
      </c>
      <c r="J57">
        <v>215.8</v>
      </c>
      <c r="K57">
        <v>29.91</v>
      </c>
      <c r="L57">
        <v>431.60000000000008</v>
      </c>
      <c r="N57" t="str">
        <f t="shared" si="2"/>
        <v>2021-04</v>
      </c>
      <c r="O57">
        <f t="shared" si="3"/>
        <v>46.1</v>
      </c>
      <c r="P57">
        <f t="shared" si="4"/>
        <v>169.70000000000002</v>
      </c>
      <c r="Q57">
        <f t="shared" si="5"/>
        <v>215.8</v>
      </c>
    </row>
    <row r="58" spans="1:17" x14ac:dyDescent="0.2">
      <c r="A58" s="2" t="s">
        <v>81</v>
      </c>
      <c r="B58">
        <v>9.64</v>
      </c>
      <c r="C58">
        <v>23.5</v>
      </c>
      <c r="D58">
        <v>31.72</v>
      </c>
      <c r="E58">
        <v>33.24</v>
      </c>
      <c r="F58">
        <v>52.94</v>
      </c>
      <c r="G58">
        <v>5.87</v>
      </c>
      <c r="H58">
        <v>1.48</v>
      </c>
      <c r="I58">
        <v>19.02</v>
      </c>
      <c r="J58">
        <v>208.83</v>
      </c>
      <c r="K58">
        <v>31.42</v>
      </c>
      <c r="L58">
        <v>417.66</v>
      </c>
      <c r="N58" t="str">
        <f t="shared" si="2"/>
        <v>2021-05</v>
      </c>
      <c r="O58">
        <f t="shared" si="3"/>
        <v>50.44</v>
      </c>
      <c r="P58">
        <f t="shared" si="4"/>
        <v>158.39000000000001</v>
      </c>
      <c r="Q58">
        <f t="shared" si="5"/>
        <v>208.83</v>
      </c>
    </row>
    <row r="59" spans="1:17" x14ac:dyDescent="0.2">
      <c r="A59" s="2" t="s">
        <v>82</v>
      </c>
      <c r="B59">
        <v>8.42</v>
      </c>
      <c r="C59">
        <v>27.07</v>
      </c>
      <c r="D59">
        <v>38.68</v>
      </c>
      <c r="E59">
        <v>32.4</v>
      </c>
      <c r="F59">
        <v>52.65</v>
      </c>
      <c r="G59">
        <v>5.71</v>
      </c>
      <c r="H59">
        <v>1.39</v>
      </c>
      <c r="I59">
        <v>21.28</v>
      </c>
      <c r="J59">
        <v>205.02</v>
      </c>
      <c r="K59">
        <v>17.420000000000002</v>
      </c>
      <c r="L59">
        <v>410.04</v>
      </c>
      <c r="N59" t="str">
        <f t="shared" si="2"/>
        <v>2021-06</v>
      </c>
      <c r="O59">
        <f t="shared" si="3"/>
        <v>38.700000000000003</v>
      </c>
      <c r="P59">
        <f t="shared" si="4"/>
        <v>166.32</v>
      </c>
      <c r="Q59">
        <f t="shared" si="5"/>
        <v>205.02</v>
      </c>
    </row>
    <row r="60" spans="1:17" x14ac:dyDescent="0.2">
      <c r="A60" s="2" t="s">
        <v>83</v>
      </c>
      <c r="B60">
        <v>8.77</v>
      </c>
      <c r="C60">
        <v>30.26</v>
      </c>
      <c r="D60">
        <v>39.51</v>
      </c>
      <c r="E60">
        <v>30.26</v>
      </c>
      <c r="F60">
        <v>56.69</v>
      </c>
      <c r="G60">
        <v>6.19</v>
      </c>
      <c r="H60">
        <v>1.44</v>
      </c>
      <c r="I60">
        <v>20.55</v>
      </c>
      <c r="J60">
        <v>215.99</v>
      </c>
      <c r="K60">
        <v>22.32</v>
      </c>
      <c r="L60">
        <v>431.98</v>
      </c>
      <c r="N60" t="str">
        <f t="shared" si="2"/>
        <v>2021-07</v>
      </c>
      <c r="O60">
        <f t="shared" si="3"/>
        <v>42.870000000000005</v>
      </c>
      <c r="P60">
        <f t="shared" si="4"/>
        <v>173.12</v>
      </c>
      <c r="Q60">
        <f t="shared" si="5"/>
        <v>215.99</v>
      </c>
    </row>
    <row r="61" spans="1:17" x14ac:dyDescent="0.2">
      <c r="A61" s="2" t="s">
        <v>84</v>
      </c>
      <c r="B61">
        <v>9.0399999999999991</v>
      </c>
      <c r="C61">
        <v>30.17</v>
      </c>
      <c r="D61">
        <v>33.01</v>
      </c>
      <c r="E61">
        <v>27.85</v>
      </c>
      <c r="F61">
        <v>57.38</v>
      </c>
      <c r="G61">
        <v>6.29</v>
      </c>
      <c r="H61">
        <v>1.41</v>
      </c>
      <c r="I61">
        <v>18.350000000000001</v>
      </c>
      <c r="J61">
        <v>208.86</v>
      </c>
      <c r="K61">
        <v>25.36</v>
      </c>
      <c r="L61">
        <v>417.72</v>
      </c>
      <c r="N61" t="str">
        <f t="shared" si="2"/>
        <v>2021-08</v>
      </c>
      <c r="O61">
        <f t="shared" si="3"/>
        <v>43.71</v>
      </c>
      <c r="P61">
        <f t="shared" si="4"/>
        <v>165.15</v>
      </c>
      <c r="Q61">
        <f t="shared" si="5"/>
        <v>208.86</v>
      </c>
    </row>
    <row r="62" spans="1:17" x14ac:dyDescent="0.2">
      <c r="A62" s="2" t="s">
        <v>85</v>
      </c>
      <c r="B62">
        <v>9.2100000000000009</v>
      </c>
      <c r="C62">
        <v>36.74</v>
      </c>
      <c r="D62">
        <v>40.07</v>
      </c>
      <c r="E62">
        <v>21.6</v>
      </c>
      <c r="F62">
        <v>56.54</v>
      </c>
      <c r="G62">
        <v>5.97</v>
      </c>
      <c r="H62">
        <v>1.39</v>
      </c>
      <c r="I62">
        <v>15.47</v>
      </c>
      <c r="J62">
        <v>207.96</v>
      </c>
      <c r="K62">
        <v>20.97</v>
      </c>
      <c r="L62">
        <v>415.91999999999996</v>
      </c>
      <c r="N62" t="str">
        <f t="shared" si="2"/>
        <v>2021-09</v>
      </c>
      <c r="O62">
        <f t="shared" si="3"/>
        <v>36.44</v>
      </c>
      <c r="P62">
        <f t="shared" si="4"/>
        <v>171.52</v>
      </c>
      <c r="Q62">
        <f t="shared" si="5"/>
        <v>207.96</v>
      </c>
    </row>
    <row r="63" spans="1:17" x14ac:dyDescent="0.2">
      <c r="A63" s="2" t="s">
        <v>86</v>
      </c>
      <c r="B63">
        <v>10.01</v>
      </c>
      <c r="C63">
        <v>36.71</v>
      </c>
      <c r="D63">
        <v>39.07</v>
      </c>
      <c r="E63">
        <v>20.309999999999999</v>
      </c>
      <c r="F63">
        <v>59.28</v>
      </c>
      <c r="G63">
        <v>6.26</v>
      </c>
      <c r="H63">
        <v>1.51</v>
      </c>
      <c r="I63">
        <v>11.45</v>
      </c>
      <c r="J63">
        <v>222.85</v>
      </c>
      <c r="K63">
        <v>38.25</v>
      </c>
      <c r="L63">
        <v>445.69999999999993</v>
      </c>
      <c r="N63" t="str">
        <f t="shared" si="2"/>
        <v>2021-10</v>
      </c>
      <c r="O63">
        <f t="shared" si="3"/>
        <v>49.7</v>
      </c>
      <c r="P63">
        <f t="shared" si="4"/>
        <v>173.14999999999998</v>
      </c>
      <c r="Q63">
        <f t="shared" si="5"/>
        <v>222.85</v>
      </c>
    </row>
    <row r="64" spans="1:17" x14ac:dyDescent="0.2">
      <c r="A64" s="2" t="s">
        <v>87</v>
      </c>
      <c r="B64">
        <v>10.61</v>
      </c>
      <c r="C64">
        <v>40.49</v>
      </c>
      <c r="D64">
        <v>54.94</v>
      </c>
      <c r="E64">
        <v>22.27</v>
      </c>
      <c r="F64">
        <v>58.55</v>
      </c>
      <c r="G64">
        <v>6.74</v>
      </c>
      <c r="H64">
        <v>1.53</v>
      </c>
      <c r="I64">
        <v>5.83</v>
      </c>
      <c r="J64">
        <v>236.07</v>
      </c>
      <c r="K64">
        <v>35.11</v>
      </c>
      <c r="L64">
        <v>472.14000000000004</v>
      </c>
      <c r="N64" t="str">
        <f t="shared" si="2"/>
        <v>2021-11</v>
      </c>
      <c r="O64">
        <f t="shared" si="3"/>
        <v>40.94</v>
      </c>
      <c r="P64">
        <f t="shared" si="4"/>
        <v>195.13</v>
      </c>
      <c r="Q64">
        <f t="shared" si="5"/>
        <v>236.07</v>
      </c>
    </row>
    <row r="65" spans="1:18" x14ac:dyDescent="0.2">
      <c r="A65" s="2" t="s">
        <v>88</v>
      </c>
      <c r="B65">
        <v>11.71</v>
      </c>
      <c r="C65">
        <v>42.48</v>
      </c>
      <c r="D65">
        <v>52.83</v>
      </c>
      <c r="E65">
        <v>27.87</v>
      </c>
      <c r="F65">
        <v>61.27</v>
      </c>
      <c r="G65">
        <v>7.41</v>
      </c>
      <c r="H65">
        <v>1.57</v>
      </c>
      <c r="I65">
        <v>4.5</v>
      </c>
      <c r="J65">
        <v>252.58</v>
      </c>
      <c r="K65">
        <v>42.94</v>
      </c>
      <c r="L65">
        <v>505.16</v>
      </c>
      <c r="N65" t="str">
        <f t="shared" si="2"/>
        <v>2021-12</v>
      </c>
      <c r="O65">
        <f t="shared" si="3"/>
        <v>47.44</v>
      </c>
      <c r="P65">
        <f t="shared" si="4"/>
        <v>205.14000000000001</v>
      </c>
      <c r="Q65">
        <f t="shared" si="5"/>
        <v>252.58</v>
      </c>
    </row>
    <row r="66" spans="1:18" x14ac:dyDescent="0.2">
      <c r="A66" s="2" t="s">
        <v>89</v>
      </c>
      <c r="B66">
        <v>11.39</v>
      </c>
      <c r="C66">
        <v>40.090000000000003</v>
      </c>
      <c r="D66">
        <v>54.66</v>
      </c>
      <c r="E66">
        <v>26.68</v>
      </c>
      <c r="F66">
        <v>63.61</v>
      </c>
      <c r="G66">
        <v>7.29</v>
      </c>
      <c r="H66">
        <v>1.71</v>
      </c>
      <c r="I66">
        <v>6.68</v>
      </c>
      <c r="J66">
        <v>258.37</v>
      </c>
      <c r="K66">
        <v>46.26</v>
      </c>
      <c r="L66">
        <v>516.74</v>
      </c>
      <c r="N66" t="str">
        <f t="shared" si="2"/>
        <v>2022-01</v>
      </c>
      <c r="O66">
        <f t="shared" si="3"/>
        <v>52.94</v>
      </c>
      <c r="P66">
        <f t="shared" si="4"/>
        <v>205.43</v>
      </c>
      <c r="Q66">
        <f t="shared" si="5"/>
        <v>258.37</v>
      </c>
    </row>
    <row r="67" spans="1:18" x14ac:dyDescent="0.2">
      <c r="A67" s="2" t="s">
        <v>90</v>
      </c>
      <c r="B67">
        <v>10.15</v>
      </c>
      <c r="C67">
        <v>31.99</v>
      </c>
      <c r="D67">
        <v>42.86</v>
      </c>
      <c r="E67">
        <v>21.41</v>
      </c>
      <c r="F67">
        <v>54.74</v>
      </c>
      <c r="G67">
        <v>6.17</v>
      </c>
      <c r="H67">
        <v>1.49</v>
      </c>
      <c r="I67">
        <v>9.92</v>
      </c>
      <c r="J67">
        <v>230.72</v>
      </c>
      <c r="K67">
        <v>51.99</v>
      </c>
      <c r="L67">
        <v>461.44</v>
      </c>
      <c r="N67" t="str">
        <f t="shared" si="2"/>
        <v>2022-02</v>
      </c>
      <c r="O67">
        <f t="shared" si="3"/>
        <v>61.910000000000004</v>
      </c>
      <c r="P67">
        <f t="shared" si="4"/>
        <v>168.81</v>
      </c>
      <c r="Q67">
        <f t="shared" si="5"/>
        <v>230.72</v>
      </c>
    </row>
    <row r="68" spans="1:18" x14ac:dyDescent="0.2">
      <c r="A68" s="2" t="s">
        <v>91</v>
      </c>
      <c r="B68">
        <v>11.21</v>
      </c>
      <c r="C68">
        <v>42.42</v>
      </c>
      <c r="D68">
        <v>47.6</v>
      </c>
      <c r="E68">
        <v>22.81</v>
      </c>
      <c r="F68">
        <v>54.51</v>
      </c>
      <c r="G68">
        <v>7.1</v>
      </c>
      <c r="H68">
        <v>1.66</v>
      </c>
      <c r="I68">
        <v>16.690000000000001</v>
      </c>
      <c r="J68">
        <v>237.69</v>
      </c>
      <c r="K68">
        <v>33.69</v>
      </c>
      <c r="L68">
        <v>475.38</v>
      </c>
      <c r="N68" t="str">
        <f t="shared" si="2"/>
        <v>2022-03</v>
      </c>
      <c r="O68">
        <f t="shared" si="3"/>
        <v>50.379999999999995</v>
      </c>
      <c r="P68">
        <f t="shared" si="4"/>
        <v>187.31</v>
      </c>
      <c r="Q68">
        <f t="shared" si="5"/>
        <v>237.69</v>
      </c>
    </row>
    <row r="69" spans="1:18" x14ac:dyDescent="0.2">
      <c r="A69" s="2" t="s">
        <v>92</v>
      </c>
      <c r="B69">
        <v>10.09</v>
      </c>
      <c r="C69">
        <v>32.33</v>
      </c>
      <c r="D69">
        <v>34.590000000000003</v>
      </c>
      <c r="E69">
        <v>24.54</v>
      </c>
      <c r="F69">
        <v>47.32</v>
      </c>
      <c r="G69">
        <v>5.82</v>
      </c>
      <c r="H69">
        <v>1.5</v>
      </c>
      <c r="I69">
        <v>20.100000000000001</v>
      </c>
      <c r="J69">
        <v>212.49</v>
      </c>
      <c r="K69">
        <v>36.200000000000003</v>
      </c>
      <c r="L69">
        <v>424.97999999999996</v>
      </c>
      <c r="N69" t="str">
        <f t="shared" ref="N69:N114" si="20">A69</f>
        <v>2022-04</v>
      </c>
      <c r="O69">
        <f t="shared" ref="O69:O114" si="21">I69+K69</f>
        <v>56.300000000000004</v>
      </c>
      <c r="P69">
        <f t="shared" ref="P69:P114" si="22">J69-O69</f>
        <v>156.19</v>
      </c>
      <c r="Q69">
        <f t="shared" ref="Q69:Q114" si="23">J69</f>
        <v>212.49</v>
      </c>
    </row>
    <row r="70" spans="1:18" x14ac:dyDescent="0.2">
      <c r="A70" s="2" t="s">
        <v>93</v>
      </c>
      <c r="B70">
        <v>9.74</v>
      </c>
      <c r="C70">
        <v>29.99</v>
      </c>
      <c r="D70">
        <v>35.549999999999997</v>
      </c>
      <c r="E70">
        <v>26.72</v>
      </c>
      <c r="F70">
        <v>42.74</v>
      </c>
      <c r="G70">
        <v>6</v>
      </c>
      <c r="H70">
        <v>1.44</v>
      </c>
      <c r="I70">
        <v>25.69</v>
      </c>
      <c r="J70">
        <v>205.17</v>
      </c>
      <c r="K70">
        <v>27.3</v>
      </c>
      <c r="L70">
        <v>410.34</v>
      </c>
      <c r="N70" t="str">
        <f t="shared" si="20"/>
        <v>2022-05</v>
      </c>
      <c r="O70">
        <f t="shared" si="21"/>
        <v>52.99</v>
      </c>
      <c r="P70">
        <f t="shared" si="22"/>
        <v>152.17999999999998</v>
      </c>
      <c r="Q70">
        <f t="shared" si="23"/>
        <v>205.17</v>
      </c>
    </row>
    <row r="71" spans="1:18" x14ac:dyDescent="0.2">
      <c r="A71" s="2" t="s">
        <v>94</v>
      </c>
      <c r="B71">
        <v>9.11</v>
      </c>
      <c r="C71">
        <v>31.96</v>
      </c>
      <c r="D71">
        <v>39.83</v>
      </c>
      <c r="E71">
        <v>24.45</v>
      </c>
      <c r="F71">
        <v>42.67</v>
      </c>
      <c r="G71">
        <v>5.85</v>
      </c>
      <c r="H71">
        <v>1.32</v>
      </c>
      <c r="I71">
        <v>26.18</v>
      </c>
      <c r="J71">
        <v>203.09</v>
      </c>
      <c r="K71">
        <v>21.72</v>
      </c>
      <c r="L71">
        <v>406.18000000000006</v>
      </c>
      <c r="N71" t="str">
        <f t="shared" si="20"/>
        <v>2022-06</v>
      </c>
      <c r="O71">
        <f t="shared" si="21"/>
        <v>47.9</v>
      </c>
      <c r="P71">
        <f t="shared" si="22"/>
        <v>155.19</v>
      </c>
      <c r="Q71">
        <f t="shared" si="23"/>
        <v>203.09</v>
      </c>
    </row>
    <row r="72" spans="1:18" x14ac:dyDescent="0.2">
      <c r="A72" s="2" t="s">
        <v>95</v>
      </c>
      <c r="B72">
        <v>9.16</v>
      </c>
      <c r="C72">
        <v>33.78</v>
      </c>
      <c r="D72">
        <v>44.04</v>
      </c>
      <c r="E72">
        <v>22.04</v>
      </c>
      <c r="F72">
        <v>43.9</v>
      </c>
      <c r="G72">
        <v>6.16</v>
      </c>
      <c r="H72">
        <v>1.36</v>
      </c>
      <c r="I72">
        <v>27.16</v>
      </c>
      <c r="J72">
        <v>212.78</v>
      </c>
      <c r="K72">
        <v>25.18</v>
      </c>
      <c r="L72">
        <v>425.56</v>
      </c>
      <c r="N72" t="str">
        <f t="shared" si="20"/>
        <v>2022-07</v>
      </c>
      <c r="O72">
        <f t="shared" si="21"/>
        <v>52.34</v>
      </c>
      <c r="P72">
        <f t="shared" si="22"/>
        <v>160.44</v>
      </c>
      <c r="Q72">
        <f t="shared" si="23"/>
        <v>212.78</v>
      </c>
    </row>
    <row r="73" spans="1:18" x14ac:dyDescent="0.2">
      <c r="A73" s="2" t="s">
        <v>96</v>
      </c>
      <c r="B73">
        <v>9.14</v>
      </c>
      <c r="C73">
        <v>35.67</v>
      </c>
      <c r="D73">
        <v>42.83</v>
      </c>
      <c r="E73">
        <v>19.97</v>
      </c>
      <c r="F73">
        <v>43.3</v>
      </c>
      <c r="G73">
        <v>5.91</v>
      </c>
      <c r="H73">
        <v>1.36</v>
      </c>
      <c r="I73">
        <v>24.97</v>
      </c>
      <c r="J73">
        <v>204.2</v>
      </c>
      <c r="K73">
        <v>21.05</v>
      </c>
      <c r="L73">
        <v>408.40000000000003</v>
      </c>
      <c r="N73" t="str">
        <f t="shared" si="20"/>
        <v>2022-08</v>
      </c>
      <c r="O73">
        <f t="shared" si="21"/>
        <v>46.019999999999996</v>
      </c>
      <c r="P73">
        <f t="shared" si="22"/>
        <v>158.18</v>
      </c>
      <c r="Q73">
        <f t="shared" si="23"/>
        <v>204.2</v>
      </c>
    </row>
    <row r="74" spans="1:18" x14ac:dyDescent="0.2">
      <c r="A74" s="2" t="s">
        <v>97</v>
      </c>
      <c r="B74">
        <v>9.19</v>
      </c>
      <c r="C74">
        <v>35.65</v>
      </c>
      <c r="D74">
        <v>39.5</v>
      </c>
      <c r="E74">
        <v>19.579999999999998</v>
      </c>
      <c r="F74">
        <v>42.91</v>
      </c>
      <c r="G74">
        <v>6.08</v>
      </c>
      <c r="H74">
        <v>1.34</v>
      </c>
      <c r="I74">
        <v>17.93</v>
      </c>
      <c r="J74">
        <v>199.19</v>
      </c>
      <c r="K74">
        <v>27.01</v>
      </c>
      <c r="L74">
        <v>398.38</v>
      </c>
      <c r="N74" t="str">
        <f t="shared" si="20"/>
        <v>2022-09</v>
      </c>
      <c r="O74">
        <f t="shared" si="21"/>
        <v>44.94</v>
      </c>
      <c r="P74">
        <f t="shared" si="22"/>
        <v>154.25</v>
      </c>
      <c r="Q74">
        <f t="shared" si="23"/>
        <v>199.19</v>
      </c>
    </row>
    <row r="75" spans="1:18" x14ac:dyDescent="0.2">
      <c r="A75" s="2" t="s">
        <v>98</v>
      </c>
      <c r="B75">
        <v>9.33</v>
      </c>
      <c r="C75">
        <v>31.76</v>
      </c>
      <c r="D75">
        <v>41.22</v>
      </c>
      <c r="E75">
        <v>18.89</v>
      </c>
      <c r="F75">
        <v>43.52</v>
      </c>
      <c r="G75">
        <v>6.05</v>
      </c>
      <c r="H75">
        <v>1.42</v>
      </c>
      <c r="I75">
        <v>13.85</v>
      </c>
      <c r="J75">
        <v>202.33</v>
      </c>
      <c r="K75">
        <v>36.29</v>
      </c>
      <c r="L75">
        <v>404.66</v>
      </c>
      <c r="N75" t="str">
        <f t="shared" si="20"/>
        <v>2022-10</v>
      </c>
      <c r="O75">
        <f t="shared" si="21"/>
        <v>50.14</v>
      </c>
      <c r="P75">
        <f t="shared" si="22"/>
        <v>152.19</v>
      </c>
      <c r="Q75">
        <f t="shared" si="23"/>
        <v>202.33</v>
      </c>
    </row>
    <row r="76" spans="1:18" x14ac:dyDescent="0.2">
      <c r="A76" s="2" t="s">
        <v>99</v>
      </c>
      <c r="B76">
        <v>10.28</v>
      </c>
      <c r="C76">
        <v>36.770000000000003</v>
      </c>
      <c r="D76">
        <v>40.04</v>
      </c>
      <c r="E76">
        <v>21.87</v>
      </c>
      <c r="F76">
        <v>46.38</v>
      </c>
      <c r="G76">
        <v>6.26</v>
      </c>
      <c r="H76">
        <v>1.45</v>
      </c>
      <c r="I76">
        <v>7.76</v>
      </c>
      <c r="J76">
        <v>212.39</v>
      </c>
      <c r="K76">
        <v>41.58</v>
      </c>
      <c r="L76">
        <v>424.77999999999992</v>
      </c>
      <c r="N76" t="str">
        <f t="shared" si="20"/>
        <v>2022-11</v>
      </c>
      <c r="O76">
        <f t="shared" si="21"/>
        <v>49.339999999999996</v>
      </c>
      <c r="P76">
        <f t="shared" si="22"/>
        <v>163.04999999999998</v>
      </c>
      <c r="Q76">
        <f t="shared" si="23"/>
        <v>212.39</v>
      </c>
      <c r="R76">
        <f>SUM(Q76:Q78)</f>
        <v>687.41</v>
      </c>
    </row>
    <row r="77" spans="1:18" x14ac:dyDescent="0.2">
      <c r="A77" s="2" t="s">
        <v>100</v>
      </c>
      <c r="B77">
        <v>11.43</v>
      </c>
      <c r="C77">
        <v>41.63</v>
      </c>
      <c r="D77">
        <v>47.1</v>
      </c>
      <c r="E77">
        <v>26.51</v>
      </c>
      <c r="F77">
        <v>54.36</v>
      </c>
      <c r="G77">
        <v>6.76</v>
      </c>
      <c r="H77">
        <v>1.55</v>
      </c>
      <c r="I77">
        <v>4.8600000000000003</v>
      </c>
      <c r="J77">
        <v>234.48</v>
      </c>
      <c r="K77">
        <v>40.28</v>
      </c>
      <c r="L77">
        <v>468.96000000000004</v>
      </c>
      <c r="N77" t="str">
        <f t="shared" si="20"/>
        <v>2022-12</v>
      </c>
      <c r="O77">
        <f t="shared" si="21"/>
        <v>45.14</v>
      </c>
      <c r="P77">
        <f t="shared" si="22"/>
        <v>189.33999999999997</v>
      </c>
      <c r="Q77">
        <f t="shared" si="23"/>
        <v>234.48</v>
      </c>
    </row>
    <row r="78" spans="1:18" x14ac:dyDescent="0.2">
      <c r="A78" s="2" t="s">
        <v>101</v>
      </c>
      <c r="B78">
        <v>10.5</v>
      </c>
      <c r="C78">
        <v>36.04</v>
      </c>
      <c r="D78">
        <v>39.04</v>
      </c>
      <c r="E78">
        <v>29.76</v>
      </c>
      <c r="F78">
        <v>57.12</v>
      </c>
      <c r="G78">
        <v>6.62</v>
      </c>
      <c r="H78">
        <v>1.49</v>
      </c>
      <c r="I78">
        <v>6.73</v>
      </c>
      <c r="J78">
        <v>240.54</v>
      </c>
      <c r="K78">
        <v>53.24</v>
      </c>
      <c r="L78">
        <v>481.08000000000004</v>
      </c>
      <c r="N78" t="str">
        <f t="shared" si="20"/>
        <v>2023-01</v>
      </c>
      <c r="O78">
        <f t="shared" si="21"/>
        <v>59.97</v>
      </c>
      <c r="P78">
        <f t="shared" si="22"/>
        <v>180.57</v>
      </c>
      <c r="Q78">
        <f t="shared" si="23"/>
        <v>240.54</v>
      </c>
    </row>
    <row r="79" spans="1:18" x14ac:dyDescent="0.2">
      <c r="A79" s="2" t="s">
        <v>102</v>
      </c>
      <c r="B79">
        <v>9.76</v>
      </c>
      <c r="C79">
        <v>34.32</v>
      </c>
      <c r="D79">
        <v>42.99</v>
      </c>
      <c r="E79">
        <v>22.56</v>
      </c>
      <c r="F79">
        <v>51.75</v>
      </c>
      <c r="G79">
        <v>6.23</v>
      </c>
      <c r="H79">
        <v>1.4</v>
      </c>
      <c r="I79">
        <v>11.73</v>
      </c>
      <c r="J79">
        <v>219.62</v>
      </c>
      <c r="K79">
        <v>38.880000000000003</v>
      </c>
      <c r="L79">
        <v>439.24</v>
      </c>
      <c r="N79" t="str">
        <f t="shared" si="20"/>
        <v>2023-02</v>
      </c>
      <c r="O79">
        <f t="shared" si="21"/>
        <v>50.61</v>
      </c>
      <c r="P79">
        <f t="shared" si="22"/>
        <v>169.01</v>
      </c>
      <c r="Q79">
        <f t="shared" si="23"/>
        <v>219.62</v>
      </c>
    </row>
    <row r="80" spans="1:18" x14ac:dyDescent="0.2">
      <c r="A80" s="2" t="s">
        <v>103</v>
      </c>
      <c r="B80">
        <v>10.119999999999999</v>
      </c>
      <c r="C80">
        <v>30.54</v>
      </c>
      <c r="D80">
        <v>38.04</v>
      </c>
      <c r="E80">
        <v>25.69</v>
      </c>
      <c r="F80">
        <v>51.26</v>
      </c>
      <c r="G80">
        <v>6.36</v>
      </c>
      <c r="H80">
        <v>1.54</v>
      </c>
      <c r="I80">
        <v>17.899999999999999</v>
      </c>
      <c r="J80">
        <v>228.03</v>
      </c>
      <c r="K80">
        <v>46.58</v>
      </c>
      <c r="L80">
        <v>456.06</v>
      </c>
      <c r="N80" t="str">
        <f t="shared" si="20"/>
        <v>2023-03</v>
      </c>
      <c r="O80">
        <f t="shared" si="21"/>
        <v>64.47999999999999</v>
      </c>
      <c r="P80">
        <f t="shared" si="22"/>
        <v>163.55000000000001</v>
      </c>
      <c r="Q80">
        <f t="shared" si="23"/>
        <v>228.03</v>
      </c>
    </row>
    <row r="81" spans="1:17" x14ac:dyDescent="0.2">
      <c r="A81" s="2" t="s">
        <v>104</v>
      </c>
      <c r="B81">
        <v>9.1</v>
      </c>
      <c r="C81">
        <v>24.39</v>
      </c>
      <c r="D81">
        <v>31.03</v>
      </c>
      <c r="E81">
        <v>24.61</v>
      </c>
      <c r="F81">
        <v>47.38</v>
      </c>
      <c r="G81">
        <v>5.31</v>
      </c>
      <c r="H81">
        <v>1.44</v>
      </c>
      <c r="I81">
        <v>24.09</v>
      </c>
      <c r="J81">
        <v>200.86</v>
      </c>
      <c r="K81">
        <v>33.51</v>
      </c>
      <c r="L81">
        <v>401.72</v>
      </c>
      <c r="N81" t="str">
        <f t="shared" si="20"/>
        <v>2023-04</v>
      </c>
      <c r="O81">
        <f t="shared" si="21"/>
        <v>57.599999999999994</v>
      </c>
      <c r="P81">
        <f t="shared" si="22"/>
        <v>143.26000000000002</v>
      </c>
      <c r="Q81">
        <f t="shared" si="23"/>
        <v>200.86</v>
      </c>
    </row>
    <row r="82" spans="1:17" x14ac:dyDescent="0.2">
      <c r="A82" s="2" t="s">
        <v>105</v>
      </c>
      <c r="B82">
        <v>8.3699999999999992</v>
      </c>
      <c r="C82">
        <v>19.3</v>
      </c>
      <c r="D82">
        <v>27.88</v>
      </c>
      <c r="E82">
        <v>29.23</v>
      </c>
      <c r="F82">
        <v>43.46</v>
      </c>
      <c r="G82">
        <v>5.25</v>
      </c>
      <c r="H82">
        <v>1.4</v>
      </c>
      <c r="I82">
        <v>29.9</v>
      </c>
      <c r="J82">
        <v>196.43</v>
      </c>
      <c r="K82">
        <v>31.64</v>
      </c>
      <c r="L82">
        <v>392.86</v>
      </c>
      <c r="N82" t="str">
        <f t="shared" si="20"/>
        <v>2023-05</v>
      </c>
      <c r="O82">
        <f t="shared" si="21"/>
        <v>61.54</v>
      </c>
      <c r="P82">
        <f t="shared" si="22"/>
        <v>134.89000000000001</v>
      </c>
      <c r="Q82">
        <f t="shared" si="23"/>
        <v>196.43</v>
      </c>
    </row>
    <row r="83" spans="1:17" x14ac:dyDescent="0.2">
      <c r="A83" s="2" t="s">
        <v>106</v>
      </c>
      <c r="B83">
        <v>7.31</v>
      </c>
      <c r="C83">
        <v>19.46</v>
      </c>
      <c r="D83">
        <v>33</v>
      </c>
      <c r="E83">
        <v>27.39</v>
      </c>
      <c r="F83">
        <v>42.95</v>
      </c>
      <c r="G83">
        <v>4.6399999999999997</v>
      </c>
      <c r="H83">
        <v>1.27</v>
      </c>
      <c r="I83">
        <v>33.03</v>
      </c>
      <c r="J83">
        <v>190.49</v>
      </c>
      <c r="K83">
        <v>21.44</v>
      </c>
      <c r="L83">
        <v>380.98</v>
      </c>
      <c r="N83" t="str">
        <f t="shared" si="20"/>
        <v>2023-06</v>
      </c>
      <c r="O83">
        <f t="shared" si="21"/>
        <v>54.47</v>
      </c>
      <c r="P83">
        <f t="shared" si="22"/>
        <v>136.02000000000001</v>
      </c>
      <c r="Q83">
        <f t="shared" si="23"/>
        <v>190.49</v>
      </c>
    </row>
    <row r="84" spans="1:17" x14ac:dyDescent="0.2">
      <c r="A84" s="2" t="s">
        <v>107</v>
      </c>
      <c r="B84">
        <v>7.6</v>
      </c>
      <c r="C84">
        <v>19.41</v>
      </c>
      <c r="D84">
        <v>36.28</v>
      </c>
      <c r="E84">
        <v>22.58</v>
      </c>
      <c r="F84">
        <v>47.02</v>
      </c>
      <c r="G84">
        <v>5.31</v>
      </c>
      <c r="H84">
        <v>1.3</v>
      </c>
      <c r="I84">
        <v>32.68</v>
      </c>
      <c r="J84">
        <v>202.88</v>
      </c>
      <c r="K84">
        <v>30.7</v>
      </c>
      <c r="L84">
        <v>405.76000000000005</v>
      </c>
      <c r="N84" t="str">
        <f t="shared" si="20"/>
        <v>2023-07</v>
      </c>
      <c r="O84">
        <f t="shared" si="21"/>
        <v>63.379999999999995</v>
      </c>
      <c r="P84">
        <f t="shared" si="22"/>
        <v>139.5</v>
      </c>
      <c r="Q84">
        <f t="shared" si="23"/>
        <v>202.88</v>
      </c>
    </row>
    <row r="85" spans="1:17" x14ac:dyDescent="0.2">
      <c r="A85" s="2" t="s">
        <v>108</v>
      </c>
      <c r="B85">
        <v>7.9</v>
      </c>
      <c r="C85">
        <v>21.61</v>
      </c>
      <c r="D85">
        <v>34.35</v>
      </c>
      <c r="E85">
        <v>24.61</v>
      </c>
      <c r="F85">
        <v>46</v>
      </c>
      <c r="G85">
        <v>5.59</v>
      </c>
      <c r="H85">
        <v>1.29</v>
      </c>
      <c r="I85">
        <v>29.43</v>
      </c>
      <c r="J85">
        <v>197.75</v>
      </c>
      <c r="K85">
        <v>26.97</v>
      </c>
      <c r="L85">
        <v>395.5</v>
      </c>
      <c r="N85" t="str">
        <f t="shared" si="20"/>
        <v>2023-08</v>
      </c>
      <c r="O85">
        <f t="shared" si="21"/>
        <v>56.4</v>
      </c>
      <c r="P85">
        <f t="shared" si="22"/>
        <v>141.35</v>
      </c>
      <c r="Q85">
        <f t="shared" si="23"/>
        <v>197.75</v>
      </c>
    </row>
    <row r="86" spans="1:17" x14ac:dyDescent="0.2">
      <c r="A86" s="2" t="s">
        <v>109</v>
      </c>
      <c r="B86">
        <v>7.79</v>
      </c>
      <c r="C86">
        <v>23.51</v>
      </c>
      <c r="D86">
        <v>34.01</v>
      </c>
      <c r="E86">
        <v>20.7</v>
      </c>
      <c r="F86">
        <v>46.74</v>
      </c>
      <c r="G86">
        <v>5.21</v>
      </c>
      <c r="H86">
        <v>1.34</v>
      </c>
      <c r="I86">
        <v>26.24</v>
      </c>
      <c r="J86">
        <v>192.47</v>
      </c>
      <c r="K86">
        <v>26.93</v>
      </c>
      <c r="L86">
        <v>384.94</v>
      </c>
      <c r="N86" t="str">
        <f t="shared" si="20"/>
        <v>2023-09</v>
      </c>
      <c r="O86">
        <f t="shared" si="21"/>
        <v>53.17</v>
      </c>
      <c r="P86">
        <f t="shared" si="22"/>
        <v>139.30000000000001</v>
      </c>
      <c r="Q86">
        <f t="shared" si="23"/>
        <v>192.47</v>
      </c>
    </row>
    <row r="87" spans="1:17" x14ac:dyDescent="0.2">
      <c r="A87" s="2" t="s">
        <v>110</v>
      </c>
      <c r="B87">
        <v>8.35</v>
      </c>
      <c r="C87">
        <v>25.53</v>
      </c>
      <c r="D87">
        <v>32.81</v>
      </c>
      <c r="E87">
        <v>22.57</v>
      </c>
      <c r="F87">
        <v>49.43</v>
      </c>
      <c r="G87">
        <v>5.43</v>
      </c>
      <c r="H87">
        <v>1.43</v>
      </c>
      <c r="I87">
        <v>16.61</v>
      </c>
      <c r="J87">
        <v>206.15</v>
      </c>
      <c r="K87">
        <v>43.99</v>
      </c>
      <c r="L87">
        <v>412.30000000000007</v>
      </c>
      <c r="N87" t="str">
        <f t="shared" si="20"/>
        <v>2023-10</v>
      </c>
      <c r="O87">
        <f t="shared" si="21"/>
        <v>60.6</v>
      </c>
      <c r="P87">
        <f t="shared" si="22"/>
        <v>145.55000000000001</v>
      </c>
      <c r="Q87">
        <f t="shared" si="23"/>
        <v>206.15</v>
      </c>
    </row>
    <row r="88" spans="1:17" x14ac:dyDescent="0.2">
      <c r="A88" s="2" t="s">
        <v>111</v>
      </c>
      <c r="B88">
        <v>9.19</v>
      </c>
      <c r="C88">
        <v>28.32</v>
      </c>
      <c r="D88">
        <v>32.770000000000003</v>
      </c>
      <c r="E88">
        <v>32.5</v>
      </c>
      <c r="F88">
        <v>49.8</v>
      </c>
      <c r="G88">
        <v>5.82</v>
      </c>
      <c r="H88">
        <v>1.46</v>
      </c>
      <c r="I88">
        <v>9.7799999999999994</v>
      </c>
      <c r="J88">
        <v>220.52</v>
      </c>
      <c r="K88">
        <v>50.88</v>
      </c>
      <c r="L88">
        <v>441.03999999999996</v>
      </c>
      <c r="N88" t="str">
        <f t="shared" si="20"/>
        <v>2023-11</v>
      </c>
      <c r="O88">
        <f t="shared" si="21"/>
        <v>60.660000000000004</v>
      </c>
      <c r="P88">
        <f t="shared" si="22"/>
        <v>159.86000000000001</v>
      </c>
      <c r="Q88">
        <f t="shared" si="23"/>
        <v>220.52</v>
      </c>
    </row>
    <row r="89" spans="1:17" x14ac:dyDescent="0.2">
      <c r="A89" s="2" t="s">
        <v>112</v>
      </c>
      <c r="B89">
        <v>9.93</v>
      </c>
      <c r="C89">
        <v>28.18</v>
      </c>
      <c r="D89">
        <v>37.409999999999997</v>
      </c>
      <c r="E89">
        <v>33.81</v>
      </c>
      <c r="F89">
        <v>56.38</v>
      </c>
      <c r="G89">
        <v>6.07</v>
      </c>
      <c r="H89">
        <v>1.43</v>
      </c>
      <c r="I89">
        <v>7.45</v>
      </c>
      <c r="J89">
        <v>234.99</v>
      </c>
      <c r="K89">
        <v>54.33</v>
      </c>
      <c r="L89">
        <v>469.97999999999996</v>
      </c>
      <c r="N89" t="str">
        <f t="shared" si="20"/>
        <v>2023-12</v>
      </c>
      <c r="O89">
        <f t="shared" si="21"/>
        <v>61.78</v>
      </c>
      <c r="P89">
        <f t="shared" si="22"/>
        <v>173.21</v>
      </c>
      <c r="Q89">
        <f t="shared" si="23"/>
        <v>234.99</v>
      </c>
    </row>
    <row r="90" spans="1:17" x14ac:dyDescent="0.2">
      <c r="A90" s="2" t="s">
        <v>113</v>
      </c>
      <c r="B90">
        <v>10</v>
      </c>
      <c r="C90">
        <v>27.2</v>
      </c>
      <c r="D90">
        <v>43.86</v>
      </c>
      <c r="E90">
        <v>34.11</v>
      </c>
      <c r="F90">
        <v>61.2</v>
      </c>
      <c r="G90">
        <v>6.53</v>
      </c>
      <c r="H90">
        <v>1.59</v>
      </c>
      <c r="I90">
        <v>9.98</v>
      </c>
      <c r="J90">
        <v>251.28</v>
      </c>
      <c r="K90">
        <v>56.81</v>
      </c>
      <c r="L90">
        <v>502.56</v>
      </c>
      <c r="N90" t="str">
        <f t="shared" si="20"/>
        <v>2024-01</v>
      </c>
      <c r="O90">
        <f t="shared" si="21"/>
        <v>66.790000000000006</v>
      </c>
      <c r="P90">
        <f t="shared" si="22"/>
        <v>184.49</v>
      </c>
      <c r="Q90">
        <f t="shared" si="23"/>
        <v>251.28</v>
      </c>
    </row>
    <row r="91" spans="1:17" x14ac:dyDescent="0.2">
      <c r="A91" s="2" t="s">
        <v>114</v>
      </c>
      <c r="B91">
        <v>9.25</v>
      </c>
      <c r="C91">
        <v>22.62</v>
      </c>
      <c r="D91">
        <v>33.090000000000003</v>
      </c>
      <c r="E91">
        <v>29.13</v>
      </c>
      <c r="F91">
        <v>53.89</v>
      </c>
      <c r="G91">
        <v>5.69</v>
      </c>
      <c r="H91">
        <v>1.44</v>
      </c>
      <c r="I91">
        <v>13.1</v>
      </c>
      <c r="J91">
        <v>221.7</v>
      </c>
      <c r="K91">
        <v>53.49</v>
      </c>
      <c r="L91">
        <v>443.4</v>
      </c>
      <c r="N91" t="str">
        <f t="shared" si="20"/>
        <v>2024-02</v>
      </c>
      <c r="O91">
        <f t="shared" si="21"/>
        <v>66.59</v>
      </c>
      <c r="P91">
        <f t="shared" si="22"/>
        <v>155.10999999999999</v>
      </c>
      <c r="Q91">
        <f t="shared" si="23"/>
        <v>221.7</v>
      </c>
    </row>
    <row r="92" spans="1:17" x14ac:dyDescent="0.2">
      <c r="A92" s="2" t="s">
        <v>115</v>
      </c>
      <c r="B92">
        <v>9.7799999999999994</v>
      </c>
      <c r="C92">
        <v>22.62</v>
      </c>
      <c r="D92">
        <v>32.57</v>
      </c>
      <c r="E92">
        <v>34.94</v>
      </c>
      <c r="F92">
        <v>51.3</v>
      </c>
      <c r="G92">
        <v>5.67</v>
      </c>
      <c r="H92">
        <v>1.41</v>
      </c>
      <c r="I92">
        <v>21.86</v>
      </c>
      <c r="J92">
        <v>222.67</v>
      </c>
      <c r="K92">
        <v>42.52</v>
      </c>
      <c r="L92">
        <v>445.33999999999992</v>
      </c>
      <c r="N92" t="str">
        <f t="shared" si="20"/>
        <v>2024-03</v>
      </c>
      <c r="O92">
        <f t="shared" si="21"/>
        <v>64.38</v>
      </c>
      <c r="P92">
        <f t="shared" si="22"/>
        <v>158.29</v>
      </c>
      <c r="Q92">
        <f t="shared" si="23"/>
        <v>222.67</v>
      </c>
    </row>
    <row r="93" spans="1:17" x14ac:dyDescent="0.2">
      <c r="A93" s="2" t="s">
        <v>116</v>
      </c>
      <c r="B93">
        <v>8.6300000000000008</v>
      </c>
      <c r="C93">
        <v>17.309999999999999</v>
      </c>
      <c r="D93">
        <v>24.24</v>
      </c>
      <c r="E93">
        <v>32.46</v>
      </c>
      <c r="F93">
        <v>45.29</v>
      </c>
      <c r="G93">
        <v>5.33</v>
      </c>
      <c r="H93">
        <v>1.33</v>
      </c>
      <c r="I93">
        <v>29.66</v>
      </c>
      <c r="J93">
        <v>205.02</v>
      </c>
      <c r="K93">
        <v>40.770000000000003</v>
      </c>
      <c r="L93">
        <v>410.03999999999996</v>
      </c>
      <c r="N93" t="str">
        <f t="shared" si="20"/>
        <v>2024-04</v>
      </c>
      <c r="O93">
        <f t="shared" si="21"/>
        <v>70.430000000000007</v>
      </c>
      <c r="P93">
        <f t="shared" si="22"/>
        <v>134.59</v>
      </c>
      <c r="Q93">
        <f t="shared" si="23"/>
        <v>205.02</v>
      </c>
    </row>
    <row r="94" spans="1:17" x14ac:dyDescent="0.2">
      <c r="A94" s="2" t="s">
        <v>117</v>
      </c>
      <c r="B94">
        <v>8.52</v>
      </c>
      <c r="C94">
        <v>16.34</v>
      </c>
      <c r="D94">
        <v>23.42</v>
      </c>
      <c r="E94">
        <v>34.24</v>
      </c>
      <c r="F94">
        <v>45.75</v>
      </c>
      <c r="G94">
        <v>5.25</v>
      </c>
      <c r="H94">
        <v>1.38</v>
      </c>
      <c r="I94">
        <v>37.21</v>
      </c>
      <c r="J94">
        <v>200.56</v>
      </c>
      <c r="K94">
        <v>28.45</v>
      </c>
      <c r="L94">
        <v>401.12</v>
      </c>
      <c r="N94" t="str">
        <f t="shared" si="20"/>
        <v>2024-05</v>
      </c>
      <c r="O94">
        <f t="shared" si="21"/>
        <v>65.66</v>
      </c>
      <c r="P94">
        <f t="shared" si="22"/>
        <v>134.9</v>
      </c>
      <c r="Q94">
        <f t="shared" si="23"/>
        <v>200.56</v>
      </c>
    </row>
    <row r="95" spans="1:17" x14ac:dyDescent="0.2">
      <c r="A95" s="2" t="s">
        <v>118</v>
      </c>
      <c r="B95">
        <v>7.59</v>
      </c>
      <c r="C95">
        <v>17.28</v>
      </c>
      <c r="D95">
        <v>25.23</v>
      </c>
      <c r="E95">
        <v>31.6</v>
      </c>
      <c r="F95">
        <v>45.55</v>
      </c>
      <c r="G95">
        <v>5.8</v>
      </c>
      <c r="H95">
        <v>1.28</v>
      </c>
      <c r="I95">
        <v>37.69</v>
      </c>
      <c r="J95">
        <v>198.78</v>
      </c>
      <c r="K95">
        <v>26.76</v>
      </c>
      <c r="L95">
        <v>397.56</v>
      </c>
      <c r="N95" t="str">
        <f t="shared" si="20"/>
        <v>2024-06</v>
      </c>
      <c r="O95">
        <f t="shared" si="21"/>
        <v>64.45</v>
      </c>
      <c r="P95">
        <f t="shared" si="22"/>
        <v>134.32999999999998</v>
      </c>
      <c r="Q95">
        <f t="shared" si="23"/>
        <v>198.78</v>
      </c>
    </row>
    <row r="96" spans="1:17" x14ac:dyDescent="0.2">
      <c r="A96" s="2" t="s">
        <v>119</v>
      </c>
      <c r="B96">
        <v>7.66</v>
      </c>
      <c r="C96">
        <v>18.18</v>
      </c>
      <c r="D96">
        <v>32.17</v>
      </c>
      <c r="E96">
        <v>29.48</v>
      </c>
      <c r="F96">
        <v>51.22</v>
      </c>
      <c r="G96">
        <v>6.1</v>
      </c>
      <c r="H96">
        <v>1.37</v>
      </c>
      <c r="I96">
        <v>41.3</v>
      </c>
      <c r="J96">
        <v>214.02</v>
      </c>
      <c r="K96">
        <v>26.54</v>
      </c>
      <c r="L96">
        <v>428.04</v>
      </c>
      <c r="N96" t="str">
        <f t="shared" si="20"/>
        <v>2024-07</v>
      </c>
      <c r="O96">
        <f t="shared" si="21"/>
        <v>67.84</v>
      </c>
      <c r="P96">
        <f t="shared" si="22"/>
        <v>146.18</v>
      </c>
      <c r="Q96">
        <f t="shared" si="23"/>
        <v>214.02</v>
      </c>
    </row>
    <row r="97" spans="1:17" x14ac:dyDescent="0.2">
      <c r="A97" s="2" t="s">
        <v>120</v>
      </c>
      <c r="B97">
        <v>7.6</v>
      </c>
      <c r="C97">
        <v>18.79</v>
      </c>
      <c r="D97">
        <v>32.130000000000003</v>
      </c>
      <c r="E97">
        <v>22.85</v>
      </c>
      <c r="F97">
        <v>51.59</v>
      </c>
      <c r="G97">
        <v>5.93</v>
      </c>
      <c r="H97">
        <v>1.36</v>
      </c>
      <c r="I97">
        <v>39.29</v>
      </c>
      <c r="J97">
        <v>206.48</v>
      </c>
      <c r="K97">
        <v>26.94</v>
      </c>
      <c r="L97">
        <v>412.96</v>
      </c>
      <c r="N97" t="str">
        <f t="shared" si="20"/>
        <v>2024-08</v>
      </c>
      <c r="O97">
        <f t="shared" si="21"/>
        <v>66.23</v>
      </c>
      <c r="P97">
        <f t="shared" si="22"/>
        <v>140.25</v>
      </c>
      <c r="Q97">
        <f t="shared" si="23"/>
        <v>206.48</v>
      </c>
    </row>
    <row r="98" spans="1:17" x14ac:dyDescent="0.2">
      <c r="A98" s="2" t="s">
        <v>121</v>
      </c>
      <c r="B98">
        <v>7.67</v>
      </c>
      <c r="C98">
        <v>18.649999999999999</v>
      </c>
      <c r="D98">
        <v>29.84</v>
      </c>
      <c r="E98">
        <v>23.43</v>
      </c>
      <c r="F98">
        <v>48.19</v>
      </c>
      <c r="G98">
        <v>5.57</v>
      </c>
      <c r="H98">
        <v>1.33</v>
      </c>
      <c r="I98">
        <v>28.81</v>
      </c>
      <c r="J98">
        <v>199.99</v>
      </c>
      <c r="K98">
        <v>36.5</v>
      </c>
      <c r="L98">
        <v>399.98</v>
      </c>
      <c r="N98" t="str">
        <f t="shared" si="20"/>
        <v>2024-09</v>
      </c>
      <c r="O98">
        <f t="shared" si="21"/>
        <v>65.31</v>
      </c>
      <c r="P98">
        <f t="shared" si="22"/>
        <v>134.68</v>
      </c>
      <c r="Q98">
        <f t="shared" si="23"/>
        <v>199.99</v>
      </c>
    </row>
    <row r="99" spans="1:17" x14ac:dyDescent="0.2">
      <c r="A99" s="2" t="s">
        <v>122</v>
      </c>
      <c r="B99">
        <v>8.44</v>
      </c>
      <c r="C99">
        <v>23.48</v>
      </c>
      <c r="D99">
        <v>30.59</v>
      </c>
      <c r="E99">
        <v>30.33</v>
      </c>
      <c r="F99">
        <v>51.31</v>
      </c>
      <c r="G99">
        <v>5.94</v>
      </c>
      <c r="H99">
        <v>1.43</v>
      </c>
      <c r="I99">
        <v>19.48</v>
      </c>
      <c r="J99">
        <v>210.54</v>
      </c>
      <c r="K99">
        <v>39.54</v>
      </c>
      <c r="L99">
        <v>421.08</v>
      </c>
      <c r="N99" t="str">
        <f t="shared" si="20"/>
        <v>2024-10</v>
      </c>
      <c r="O99">
        <f t="shared" si="21"/>
        <v>59.019999999999996</v>
      </c>
      <c r="P99">
        <f t="shared" si="22"/>
        <v>151.51999999999998</v>
      </c>
      <c r="Q99">
        <f t="shared" si="23"/>
        <v>210.54</v>
      </c>
    </row>
    <row r="100" spans="1:17" x14ac:dyDescent="0.2">
      <c r="A100" s="2" t="s">
        <v>123</v>
      </c>
      <c r="B100">
        <v>9.26</v>
      </c>
      <c r="C100">
        <v>27.75</v>
      </c>
      <c r="D100">
        <v>45.78</v>
      </c>
      <c r="E100">
        <v>23.89</v>
      </c>
      <c r="F100">
        <v>53.24</v>
      </c>
      <c r="G100">
        <v>6.31</v>
      </c>
      <c r="H100">
        <v>1.42</v>
      </c>
      <c r="I100">
        <v>12.32</v>
      </c>
      <c r="J100">
        <v>223.3</v>
      </c>
      <c r="K100">
        <v>43.33</v>
      </c>
      <c r="L100">
        <v>446.59999999999997</v>
      </c>
      <c r="N100" t="str">
        <f t="shared" si="20"/>
        <v>2024-11</v>
      </c>
      <c r="O100">
        <f t="shared" si="21"/>
        <v>55.65</v>
      </c>
      <c r="P100">
        <f t="shared" si="22"/>
        <v>167.65</v>
      </c>
      <c r="Q100">
        <f t="shared" si="23"/>
        <v>223.3</v>
      </c>
    </row>
    <row r="101" spans="1:17" x14ac:dyDescent="0.2">
      <c r="A101" s="2" t="s">
        <v>124</v>
      </c>
      <c r="B101">
        <v>9.84</v>
      </c>
      <c r="C101">
        <v>26.39</v>
      </c>
      <c r="D101">
        <v>44.95</v>
      </c>
      <c r="E101">
        <v>24.57</v>
      </c>
      <c r="F101">
        <v>59.96</v>
      </c>
      <c r="G101">
        <v>6.41</v>
      </c>
      <c r="H101">
        <v>1.48</v>
      </c>
      <c r="I101">
        <v>10.1</v>
      </c>
      <c r="J101">
        <v>238.27</v>
      </c>
      <c r="K101">
        <v>54.57</v>
      </c>
      <c r="L101">
        <v>476.54</v>
      </c>
      <c r="N101" t="str">
        <f t="shared" si="20"/>
        <v>2024-12</v>
      </c>
      <c r="O101">
        <f t="shared" si="21"/>
        <v>64.67</v>
      </c>
      <c r="P101">
        <f t="shared" si="22"/>
        <v>173.60000000000002</v>
      </c>
      <c r="Q101">
        <f t="shared" si="23"/>
        <v>238.27</v>
      </c>
    </row>
    <row r="102" spans="1:17" x14ac:dyDescent="0.2">
      <c r="A102" s="2" t="s">
        <v>125</v>
      </c>
      <c r="B102">
        <v>10</v>
      </c>
      <c r="C102">
        <v>28.36</v>
      </c>
      <c r="D102">
        <v>47.6</v>
      </c>
      <c r="E102">
        <v>29.26</v>
      </c>
      <c r="F102">
        <v>63.2</v>
      </c>
      <c r="G102">
        <v>6.2</v>
      </c>
      <c r="H102">
        <v>1.51</v>
      </c>
      <c r="I102">
        <v>11.66</v>
      </c>
      <c r="J102">
        <v>251.36</v>
      </c>
      <c r="K102">
        <v>53.57</v>
      </c>
      <c r="L102">
        <v>502.71999999999997</v>
      </c>
      <c r="N102" t="str">
        <f t="shared" si="20"/>
        <v>2025-01</v>
      </c>
      <c r="O102">
        <f t="shared" si="21"/>
        <v>65.23</v>
      </c>
      <c r="P102">
        <f t="shared" si="22"/>
        <v>186.13</v>
      </c>
      <c r="Q102">
        <f t="shared" si="23"/>
        <v>251.36</v>
      </c>
    </row>
    <row r="103" spans="1:17" x14ac:dyDescent="0.2">
      <c r="A103" s="2" t="s">
        <v>126</v>
      </c>
      <c r="B103">
        <v>9.27</v>
      </c>
      <c r="C103">
        <v>28.96</v>
      </c>
      <c r="D103">
        <v>45.36</v>
      </c>
      <c r="E103">
        <v>27.6</v>
      </c>
      <c r="F103">
        <v>54.53</v>
      </c>
      <c r="G103">
        <v>5.92</v>
      </c>
      <c r="H103">
        <v>1.36</v>
      </c>
      <c r="I103">
        <v>17.78</v>
      </c>
      <c r="J103">
        <v>225.48</v>
      </c>
      <c r="K103">
        <v>34.700000000000003</v>
      </c>
      <c r="L103">
        <v>450.96</v>
      </c>
      <c r="N103" t="str">
        <f t="shared" si="20"/>
        <v>2025-02</v>
      </c>
      <c r="O103">
        <f t="shared" si="21"/>
        <v>52.480000000000004</v>
      </c>
      <c r="P103">
        <f t="shared" si="22"/>
        <v>173</v>
      </c>
      <c r="Q103">
        <f t="shared" si="23"/>
        <v>225.48</v>
      </c>
    </row>
    <row r="104" spans="1:17" x14ac:dyDescent="0.2">
      <c r="A104" s="2" t="s">
        <v>127</v>
      </c>
      <c r="B104">
        <v>9.65</v>
      </c>
      <c r="C104">
        <v>24.51</v>
      </c>
      <c r="D104">
        <v>36.729999999999997</v>
      </c>
      <c r="E104">
        <v>26.45</v>
      </c>
      <c r="F104">
        <v>54.85</v>
      </c>
      <c r="G104">
        <v>5.77</v>
      </c>
      <c r="H104">
        <v>1.45</v>
      </c>
      <c r="I104">
        <v>29.84</v>
      </c>
      <c r="J104">
        <v>229.07</v>
      </c>
      <c r="K104">
        <v>39.82</v>
      </c>
      <c r="L104">
        <v>458.14</v>
      </c>
      <c r="N104" t="str">
        <f t="shared" si="20"/>
        <v>2025-03</v>
      </c>
      <c r="O104">
        <f t="shared" si="21"/>
        <v>69.66</v>
      </c>
      <c r="P104">
        <f t="shared" si="22"/>
        <v>159.41</v>
      </c>
      <c r="Q104">
        <f t="shared" si="23"/>
        <v>229.07</v>
      </c>
    </row>
    <row r="105" spans="1:17" x14ac:dyDescent="0.2">
      <c r="A105" s="2" t="s">
        <v>128</v>
      </c>
      <c r="B105">
        <v>8.69</v>
      </c>
      <c r="C105">
        <v>18.36</v>
      </c>
      <c r="D105">
        <v>26.91</v>
      </c>
      <c r="E105">
        <v>27.08</v>
      </c>
      <c r="F105">
        <v>45</v>
      </c>
      <c r="G105">
        <v>5.46</v>
      </c>
      <c r="H105">
        <v>1.36</v>
      </c>
      <c r="I105">
        <v>37.36</v>
      </c>
      <c r="J105">
        <v>201.46</v>
      </c>
      <c r="K105">
        <v>31.24</v>
      </c>
      <c r="L105">
        <v>402.92000000000007</v>
      </c>
      <c r="N105" t="str">
        <f t="shared" si="20"/>
        <v>2025-04</v>
      </c>
      <c r="O105">
        <f t="shared" si="21"/>
        <v>68.599999999999994</v>
      </c>
      <c r="P105">
        <f t="shared" si="22"/>
        <v>132.86000000000001</v>
      </c>
      <c r="Q105">
        <f t="shared" si="23"/>
        <v>201.46</v>
      </c>
    </row>
    <row r="106" spans="1:17" x14ac:dyDescent="0.2">
      <c r="A106" s="2" t="s">
        <v>129</v>
      </c>
      <c r="B106">
        <v>8.0500000000000007</v>
      </c>
      <c r="C106">
        <v>13.73</v>
      </c>
      <c r="D106">
        <v>23.99</v>
      </c>
      <c r="E106">
        <v>28.47</v>
      </c>
      <c r="F106">
        <v>43.66</v>
      </c>
      <c r="G106">
        <v>5.22</v>
      </c>
      <c r="H106">
        <v>1.36</v>
      </c>
      <c r="I106">
        <v>43.61</v>
      </c>
      <c r="J106">
        <v>201.83</v>
      </c>
      <c r="K106">
        <v>33.74</v>
      </c>
      <c r="L106">
        <v>403.65999999999997</v>
      </c>
      <c r="N106" t="str">
        <f t="shared" si="20"/>
        <v>2025-05</v>
      </c>
      <c r="O106">
        <f t="shared" si="21"/>
        <v>77.349999999999994</v>
      </c>
      <c r="P106">
        <f t="shared" si="22"/>
        <v>124.48000000000002</v>
      </c>
      <c r="Q106">
        <f t="shared" si="23"/>
        <v>201.83</v>
      </c>
    </row>
    <row r="107" spans="1:17" x14ac:dyDescent="0.2">
      <c r="A107" s="2" t="s">
        <v>130</v>
      </c>
      <c r="B107">
        <v>7.17</v>
      </c>
      <c r="C107">
        <v>12.51</v>
      </c>
      <c r="D107">
        <v>27.73</v>
      </c>
      <c r="E107">
        <v>26.28</v>
      </c>
      <c r="F107">
        <v>44.7</v>
      </c>
      <c r="G107">
        <v>4.97</v>
      </c>
      <c r="H107">
        <v>1.29</v>
      </c>
      <c r="I107">
        <v>47.64</v>
      </c>
      <c r="J107">
        <v>204.59</v>
      </c>
      <c r="K107">
        <v>32.299999999999997</v>
      </c>
      <c r="L107">
        <v>409.18</v>
      </c>
      <c r="N107" t="str">
        <f t="shared" si="20"/>
        <v>2025-06</v>
      </c>
      <c r="O107">
        <f t="shared" si="21"/>
        <v>79.94</v>
      </c>
      <c r="P107">
        <f t="shared" si="22"/>
        <v>124.65</v>
      </c>
      <c r="Q107">
        <f t="shared" si="23"/>
        <v>204.59</v>
      </c>
    </row>
    <row r="108" spans="1:17" x14ac:dyDescent="0.2">
      <c r="A108" s="2" t="s">
        <v>131</v>
      </c>
      <c r="B108">
        <v>7.17</v>
      </c>
      <c r="C108">
        <v>17.98</v>
      </c>
      <c r="D108">
        <v>33.72</v>
      </c>
      <c r="E108">
        <v>25.08</v>
      </c>
      <c r="F108">
        <v>49.81</v>
      </c>
      <c r="G108">
        <v>5.35</v>
      </c>
      <c r="H108">
        <v>1.37</v>
      </c>
      <c r="I108">
        <v>46.13</v>
      </c>
      <c r="J108">
        <v>214.86</v>
      </c>
      <c r="K108">
        <v>28.25</v>
      </c>
      <c r="L108">
        <v>429.72</v>
      </c>
      <c r="N108" t="str">
        <f t="shared" si="20"/>
        <v>2025-07</v>
      </c>
      <c r="O108">
        <f t="shared" si="21"/>
        <v>74.38</v>
      </c>
      <c r="P108">
        <f t="shared" si="22"/>
        <v>140.48000000000002</v>
      </c>
      <c r="Q108">
        <f t="shared" si="23"/>
        <v>214.86</v>
      </c>
    </row>
    <row r="109" spans="1:17" x14ac:dyDescent="0.2">
      <c r="A109" s="2" t="s">
        <v>132</v>
      </c>
      <c r="B109">
        <v>7.52</v>
      </c>
      <c r="C109">
        <v>15.1</v>
      </c>
      <c r="D109">
        <v>29.74</v>
      </c>
      <c r="E109">
        <v>22.86</v>
      </c>
      <c r="F109">
        <v>49.41</v>
      </c>
      <c r="G109">
        <v>5.26</v>
      </c>
      <c r="H109">
        <v>1.37</v>
      </c>
      <c r="I109">
        <v>44.4</v>
      </c>
      <c r="J109">
        <v>203.73</v>
      </c>
      <c r="K109">
        <v>28.07</v>
      </c>
      <c r="L109">
        <v>407.46</v>
      </c>
      <c r="N109" t="str">
        <f t="shared" si="20"/>
        <v>2025-08</v>
      </c>
      <c r="O109">
        <f t="shared" si="21"/>
        <v>72.47</v>
      </c>
      <c r="P109">
        <f t="shared" si="22"/>
        <v>131.26</v>
      </c>
      <c r="Q109">
        <f t="shared" si="23"/>
        <v>203.73</v>
      </c>
    </row>
    <row r="110" spans="1:17" x14ac:dyDescent="0.2">
      <c r="A110" s="2" t="s">
        <v>133</v>
      </c>
      <c r="B110">
        <v>7.53</v>
      </c>
      <c r="C110">
        <v>16.03</v>
      </c>
      <c r="D110">
        <v>29.95</v>
      </c>
      <c r="E110">
        <v>21.52</v>
      </c>
      <c r="F110">
        <v>48.84</v>
      </c>
      <c r="G110">
        <v>5.0999999999999996</v>
      </c>
      <c r="H110">
        <v>1.32</v>
      </c>
      <c r="I110">
        <v>33.659999999999997</v>
      </c>
      <c r="J110">
        <v>201.81</v>
      </c>
      <c r="K110">
        <v>37.86</v>
      </c>
      <c r="L110">
        <v>403.62</v>
      </c>
      <c r="N110" t="str">
        <f t="shared" si="20"/>
        <v>2025-09</v>
      </c>
      <c r="O110">
        <f t="shared" si="21"/>
        <v>71.52</v>
      </c>
      <c r="P110">
        <f t="shared" si="22"/>
        <v>130.29000000000002</v>
      </c>
      <c r="Q110">
        <f t="shared" si="23"/>
        <v>201.81</v>
      </c>
    </row>
    <row r="111" spans="1:17" x14ac:dyDescent="0.2">
      <c r="A111" s="2" t="s">
        <v>134</v>
      </c>
      <c r="B111">
        <v>8.4700000000000006</v>
      </c>
      <c r="C111">
        <v>19.989999999999998</v>
      </c>
      <c r="D111">
        <v>37.200000000000003</v>
      </c>
      <c r="E111">
        <v>21.67</v>
      </c>
      <c r="F111">
        <v>50.2</v>
      </c>
      <c r="G111">
        <v>6.02</v>
      </c>
      <c r="H111">
        <v>1.34</v>
      </c>
      <c r="I111">
        <v>23.29</v>
      </c>
      <c r="J111">
        <v>216.83</v>
      </c>
      <c r="K111">
        <v>48.65</v>
      </c>
      <c r="L111">
        <v>433.65999999999997</v>
      </c>
      <c r="N111" t="str">
        <f t="shared" si="20"/>
        <v>2025-10</v>
      </c>
      <c r="O111">
        <f t="shared" si="21"/>
        <v>71.94</v>
      </c>
      <c r="P111">
        <f t="shared" si="22"/>
        <v>144.89000000000001</v>
      </c>
      <c r="Q111">
        <f t="shared" si="23"/>
        <v>216.83</v>
      </c>
    </row>
    <row r="112" spans="1:17" x14ac:dyDescent="0.2">
      <c r="A112" s="2" t="s">
        <v>135</v>
      </c>
      <c r="B112">
        <v>9.27</v>
      </c>
      <c r="C112">
        <v>24.33</v>
      </c>
      <c r="D112">
        <v>43.53</v>
      </c>
      <c r="E112">
        <v>25.07</v>
      </c>
      <c r="F112">
        <v>54.73</v>
      </c>
      <c r="G112">
        <v>6.01</v>
      </c>
      <c r="H112">
        <v>1.35</v>
      </c>
      <c r="I112">
        <v>15.5</v>
      </c>
      <c r="J112">
        <v>226.47</v>
      </c>
      <c r="K112">
        <v>46.68</v>
      </c>
      <c r="L112">
        <v>452.94</v>
      </c>
      <c r="N112" t="str">
        <f t="shared" si="20"/>
        <v>2025-11</v>
      </c>
      <c r="O112">
        <f t="shared" si="21"/>
        <v>62.18</v>
      </c>
      <c r="P112">
        <f t="shared" si="22"/>
        <v>164.29</v>
      </c>
      <c r="Q112">
        <f t="shared" si="23"/>
        <v>226.47</v>
      </c>
    </row>
    <row r="113" spans="1:17" x14ac:dyDescent="0.2">
      <c r="A113" s="2" t="s">
        <v>136</v>
      </c>
      <c r="B113">
        <v>9.7100000000000009</v>
      </c>
      <c r="C113">
        <v>22.59</v>
      </c>
      <c r="D113">
        <v>49.61</v>
      </c>
      <c r="E113">
        <v>26.92</v>
      </c>
      <c r="F113">
        <v>62.43</v>
      </c>
      <c r="G113">
        <v>6.48</v>
      </c>
      <c r="H113">
        <v>1.42</v>
      </c>
      <c r="I113">
        <v>10.73</v>
      </c>
      <c r="J113">
        <v>240.52</v>
      </c>
      <c r="K113">
        <v>50.63</v>
      </c>
      <c r="L113">
        <v>481.03999999999996</v>
      </c>
      <c r="N113" t="str">
        <f t="shared" si="20"/>
        <v>2025-12</v>
      </c>
      <c r="O113">
        <f t="shared" si="21"/>
        <v>61.36</v>
      </c>
      <c r="P113">
        <f t="shared" si="22"/>
        <v>179.16000000000003</v>
      </c>
      <c r="Q113">
        <f t="shared" si="23"/>
        <v>240.52</v>
      </c>
    </row>
    <row r="114" spans="1:17" x14ac:dyDescent="0.2">
      <c r="A114" s="2" t="s">
        <v>137</v>
      </c>
      <c r="B114">
        <v>10.08</v>
      </c>
      <c r="C114">
        <v>28.72</v>
      </c>
      <c r="D114">
        <v>57.68</v>
      </c>
      <c r="E114">
        <v>29.23</v>
      </c>
      <c r="F114">
        <v>61.95</v>
      </c>
      <c r="G114">
        <v>6.89</v>
      </c>
      <c r="H114">
        <v>1.41</v>
      </c>
      <c r="I114">
        <v>11.37</v>
      </c>
      <c r="J114">
        <v>262.68</v>
      </c>
      <c r="K114">
        <v>55.35</v>
      </c>
      <c r="L114">
        <v>525.36</v>
      </c>
      <c r="N114" t="str">
        <f t="shared" si="20"/>
        <v>2026-01</v>
      </c>
      <c r="O114">
        <f t="shared" si="21"/>
        <v>66.72</v>
      </c>
      <c r="P114">
        <f t="shared" si="22"/>
        <v>195.96</v>
      </c>
      <c r="Q114">
        <f t="shared" si="23"/>
        <v>262.68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AA4A-FBCA-614A-B5BD-A7E287244C93}">
  <dimension ref="A1:P1111"/>
  <sheetViews>
    <sheetView workbookViewId="0">
      <selection sqref="A1:P1111"/>
    </sheetView>
  </sheetViews>
  <sheetFormatPr baseColWidth="10" defaultRowHeight="16" x14ac:dyDescent="0.2"/>
  <cols>
    <col min="7" max="7" width="35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C2" t="b">
        <v>1</v>
      </c>
      <c r="D2" t="s">
        <v>17</v>
      </c>
      <c r="E2" t="s">
        <v>18</v>
      </c>
      <c r="F2" t="b">
        <v>0</v>
      </c>
      <c r="G2">
        <v>8.9700000000000006</v>
      </c>
      <c r="H2">
        <v>3.77</v>
      </c>
      <c r="I2">
        <v>20.16</v>
      </c>
      <c r="J2">
        <v>0.48</v>
      </c>
      <c r="K2">
        <v>5.65</v>
      </c>
      <c r="M2">
        <v>1.08</v>
      </c>
      <c r="N2">
        <v>94.8</v>
      </c>
      <c r="O2">
        <v>3.88</v>
      </c>
      <c r="P2">
        <v>213.08</v>
      </c>
    </row>
    <row r="3" spans="1:16" x14ac:dyDescent="0.2">
      <c r="A3" t="s">
        <v>16</v>
      </c>
      <c r="C3" t="b">
        <v>1</v>
      </c>
      <c r="D3" t="s">
        <v>17</v>
      </c>
      <c r="E3" t="s">
        <v>19</v>
      </c>
      <c r="F3" t="b">
        <v>0</v>
      </c>
      <c r="G3">
        <v>57.4</v>
      </c>
      <c r="H3">
        <v>24.11</v>
      </c>
      <c r="I3">
        <v>129.01</v>
      </c>
      <c r="J3">
        <v>0.03</v>
      </c>
      <c r="K3">
        <v>0.05</v>
      </c>
      <c r="M3">
        <v>7.0000000000000007E-2</v>
      </c>
      <c r="N3">
        <v>538.79999999999995</v>
      </c>
      <c r="O3">
        <v>22.07</v>
      </c>
      <c r="P3">
        <v>1211.03</v>
      </c>
    </row>
    <row r="4" spans="1:16" x14ac:dyDescent="0.2">
      <c r="A4" t="s">
        <v>16</v>
      </c>
      <c r="C4" t="b">
        <v>1</v>
      </c>
      <c r="D4" t="s">
        <v>17</v>
      </c>
      <c r="E4" t="s">
        <v>20</v>
      </c>
      <c r="F4" t="b">
        <v>0</v>
      </c>
      <c r="G4">
        <v>51.39</v>
      </c>
      <c r="H4">
        <v>21.59</v>
      </c>
      <c r="I4">
        <v>115.51</v>
      </c>
      <c r="J4">
        <v>12.29</v>
      </c>
      <c r="K4">
        <v>31.43</v>
      </c>
      <c r="M4">
        <v>27.62</v>
      </c>
      <c r="N4">
        <v>412.61</v>
      </c>
      <c r="O4">
        <v>16.899999999999999</v>
      </c>
      <c r="P4">
        <v>927.4</v>
      </c>
    </row>
    <row r="5" spans="1:16" x14ac:dyDescent="0.2">
      <c r="A5" t="s">
        <v>16</v>
      </c>
      <c r="C5" t="b">
        <v>1</v>
      </c>
      <c r="D5" t="s">
        <v>17</v>
      </c>
      <c r="E5" t="s">
        <v>21</v>
      </c>
      <c r="F5" t="b">
        <v>0</v>
      </c>
      <c r="G5">
        <v>23.37</v>
      </c>
      <c r="H5">
        <v>9.82</v>
      </c>
      <c r="I5">
        <v>52.53</v>
      </c>
      <c r="J5">
        <v>0.48</v>
      </c>
      <c r="K5">
        <v>2.1</v>
      </c>
      <c r="M5">
        <v>1.08</v>
      </c>
      <c r="N5">
        <v>320.11</v>
      </c>
      <c r="O5">
        <v>13.11</v>
      </c>
      <c r="P5">
        <v>719.49</v>
      </c>
    </row>
    <row r="6" spans="1:16" x14ac:dyDescent="0.2">
      <c r="A6" t="s">
        <v>16</v>
      </c>
      <c r="C6" t="b">
        <v>1</v>
      </c>
      <c r="D6" t="s">
        <v>17</v>
      </c>
      <c r="E6" t="s">
        <v>22</v>
      </c>
      <c r="F6" t="b">
        <v>0</v>
      </c>
      <c r="G6">
        <v>59.24</v>
      </c>
      <c r="H6">
        <v>24.89</v>
      </c>
      <c r="I6">
        <v>133.15</v>
      </c>
      <c r="J6">
        <v>-3.82</v>
      </c>
      <c r="K6">
        <v>-6.06</v>
      </c>
      <c r="M6">
        <v>-8.59</v>
      </c>
      <c r="N6">
        <v>665.11</v>
      </c>
      <c r="O6">
        <v>27.25</v>
      </c>
      <c r="P6">
        <v>1494.93</v>
      </c>
    </row>
    <row r="7" spans="1:16" x14ac:dyDescent="0.2">
      <c r="A7" t="s">
        <v>16</v>
      </c>
      <c r="C7" t="b">
        <v>1</v>
      </c>
      <c r="D7" t="s">
        <v>17</v>
      </c>
      <c r="E7" t="s">
        <v>23</v>
      </c>
      <c r="F7" t="b">
        <v>0</v>
      </c>
      <c r="G7">
        <v>6.62</v>
      </c>
      <c r="H7">
        <v>2.78</v>
      </c>
      <c r="I7">
        <v>14.88</v>
      </c>
      <c r="J7">
        <v>-0.8</v>
      </c>
      <c r="K7">
        <v>-10.78</v>
      </c>
      <c r="M7">
        <v>-1.8</v>
      </c>
      <c r="N7">
        <v>65.69</v>
      </c>
      <c r="O7">
        <v>2.69</v>
      </c>
      <c r="P7">
        <v>147.65</v>
      </c>
    </row>
    <row r="8" spans="1:16" x14ac:dyDescent="0.2">
      <c r="A8" t="s">
        <v>16</v>
      </c>
      <c r="C8" t="b">
        <v>1</v>
      </c>
      <c r="D8" t="s">
        <v>17</v>
      </c>
      <c r="E8" t="s">
        <v>24</v>
      </c>
      <c r="F8" t="b">
        <v>0</v>
      </c>
      <c r="G8">
        <v>1.63</v>
      </c>
      <c r="H8">
        <v>0.68</v>
      </c>
      <c r="I8">
        <v>3.66</v>
      </c>
      <c r="J8">
        <v>-66</v>
      </c>
      <c r="K8">
        <v>-97.59</v>
      </c>
      <c r="M8">
        <v>-148.34</v>
      </c>
      <c r="N8">
        <v>17.79</v>
      </c>
      <c r="O8">
        <v>0.73</v>
      </c>
      <c r="P8">
        <v>39.99</v>
      </c>
    </row>
    <row r="9" spans="1:16" x14ac:dyDescent="0.2">
      <c r="A9" t="s">
        <v>16</v>
      </c>
      <c r="C9" t="b">
        <v>1</v>
      </c>
      <c r="D9" t="s">
        <v>17</v>
      </c>
      <c r="E9" t="s">
        <v>25</v>
      </c>
      <c r="F9" t="b">
        <v>0</v>
      </c>
      <c r="G9">
        <v>3.5</v>
      </c>
      <c r="H9">
        <v>1.47</v>
      </c>
      <c r="I9">
        <v>7.87</v>
      </c>
      <c r="J9">
        <v>-0.45</v>
      </c>
      <c r="K9">
        <v>-11.39</v>
      </c>
      <c r="M9">
        <v>-1.01</v>
      </c>
      <c r="N9">
        <v>92.89</v>
      </c>
      <c r="O9">
        <v>3.81</v>
      </c>
      <c r="P9">
        <v>208.78</v>
      </c>
    </row>
    <row r="10" spans="1:16" x14ac:dyDescent="0.2">
      <c r="A10" t="s">
        <v>16</v>
      </c>
      <c r="C10" t="b">
        <v>1</v>
      </c>
      <c r="D10" t="s">
        <v>17</v>
      </c>
      <c r="E10" t="s">
        <v>26</v>
      </c>
      <c r="F10" t="b">
        <v>1</v>
      </c>
      <c r="G10">
        <v>238.04</v>
      </c>
      <c r="H10">
        <v>100</v>
      </c>
      <c r="I10">
        <v>535.03</v>
      </c>
      <c r="J10">
        <v>-59.58</v>
      </c>
      <c r="K10">
        <v>-20.02</v>
      </c>
      <c r="M10">
        <v>-133.91</v>
      </c>
      <c r="N10">
        <v>2440.92</v>
      </c>
      <c r="O10">
        <v>100</v>
      </c>
      <c r="P10">
        <v>5486.3</v>
      </c>
    </row>
    <row r="11" spans="1:16" x14ac:dyDescent="0.2">
      <c r="A11" t="s">
        <v>16</v>
      </c>
      <c r="C11" t="b">
        <v>1</v>
      </c>
      <c r="D11" t="s">
        <v>17</v>
      </c>
      <c r="E11" t="s">
        <v>27</v>
      </c>
      <c r="F11" t="b">
        <v>0</v>
      </c>
      <c r="G11">
        <v>25.92</v>
      </c>
      <c r="H11">
        <v>10.89</v>
      </c>
      <c r="I11">
        <v>58.26</v>
      </c>
      <c r="J11">
        <v>-1.79</v>
      </c>
      <c r="K11">
        <v>-6.46</v>
      </c>
      <c r="M11">
        <v>-4.0199999999999996</v>
      </c>
      <c r="N11">
        <v>233.12</v>
      </c>
      <c r="O11">
        <v>9.5500000000000007</v>
      </c>
      <c r="P11">
        <v>523.97</v>
      </c>
    </row>
    <row r="12" spans="1:16" x14ac:dyDescent="0.2">
      <c r="A12" t="s">
        <v>16</v>
      </c>
      <c r="C12" t="b">
        <v>1</v>
      </c>
      <c r="D12" t="s">
        <v>28</v>
      </c>
      <c r="E12" t="s">
        <v>18</v>
      </c>
      <c r="F12" t="b">
        <v>0</v>
      </c>
      <c r="G12">
        <v>9.4700000000000006</v>
      </c>
      <c r="H12">
        <v>3.74</v>
      </c>
      <c r="I12">
        <v>21.29</v>
      </c>
      <c r="J12">
        <v>0.57999999999999996</v>
      </c>
      <c r="K12">
        <v>6.52</v>
      </c>
      <c r="M12">
        <v>1.3</v>
      </c>
      <c r="N12">
        <v>104.27</v>
      </c>
      <c r="O12">
        <v>3.87</v>
      </c>
      <c r="P12">
        <v>234.36</v>
      </c>
    </row>
    <row r="13" spans="1:16" x14ac:dyDescent="0.2">
      <c r="A13" t="s">
        <v>16</v>
      </c>
      <c r="C13" t="b">
        <v>1</v>
      </c>
      <c r="D13" t="s">
        <v>28</v>
      </c>
      <c r="E13" t="s">
        <v>19</v>
      </c>
      <c r="F13" t="b">
        <v>0</v>
      </c>
      <c r="G13">
        <v>59.07</v>
      </c>
      <c r="H13">
        <v>23.32</v>
      </c>
      <c r="I13">
        <v>132.77000000000001</v>
      </c>
      <c r="J13">
        <v>1.79</v>
      </c>
      <c r="K13">
        <v>3.13</v>
      </c>
      <c r="M13">
        <v>4.0199999999999996</v>
      </c>
      <c r="N13">
        <v>597.87</v>
      </c>
      <c r="O13">
        <v>22.19</v>
      </c>
      <c r="P13">
        <v>1343.8</v>
      </c>
    </row>
    <row r="14" spans="1:16" x14ac:dyDescent="0.2">
      <c r="A14" t="s">
        <v>16</v>
      </c>
      <c r="C14" t="b">
        <v>1</v>
      </c>
      <c r="D14" t="s">
        <v>28</v>
      </c>
      <c r="E14" t="s">
        <v>20</v>
      </c>
      <c r="F14" t="b">
        <v>0</v>
      </c>
      <c r="G14">
        <v>56.57</v>
      </c>
      <c r="H14">
        <v>22.33</v>
      </c>
      <c r="I14">
        <v>127.15</v>
      </c>
      <c r="J14">
        <v>17.8</v>
      </c>
      <c r="K14">
        <v>45.91</v>
      </c>
      <c r="M14">
        <v>40.01</v>
      </c>
      <c r="N14">
        <v>469.18</v>
      </c>
      <c r="O14">
        <v>17.41</v>
      </c>
      <c r="P14">
        <v>1054.55</v>
      </c>
    </row>
    <row r="15" spans="1:16" x14ac:dyDescent="0.2">
      <c r="A15" t="s">
        <v>16</v>
      </c>
      <c r="C15" t="b">
        <v>1</v>
      </c>
      <c r="D15" t="s">
        <v>28</v>
      </c>
      <c r="E15" t="s">
        <v>21</v>
      </c>
      <c r="F15" t="b">
        <v>0</v>
      </c>
      <c r="G15">
        <v>22.95</v>
      </c>
      <c r="H15">
        <v>9.06</v>
      </c>
      <c r="I15">
        <v>51.58</v>
      </c>
      <c r="J15">
        <v>0.56999999999999995</v>
      </c>
      <c r="K15">
        <v>2.5499999999999998</v>
      </c>
      <c r="M15">
        <v>1.28</v>
      </c>
      <c r="N15">
        <v>343.06</v>
      </c>
      <c r="O15">
        <v>12.73</v>
      </c>
      <c r="P15">
        <v>771.07</v>
      </c>
    </row>
    <row r="16" spans="1:16" x14ac:dyDescent="0.2">
      <c r="A16" t="s">
        <v>16</v>
      </c>
      <c r="C16" t="b">
        <v>1</v>
      </c>
      <c r="D16" t="s">
        <v>28</v>
      </c>
      <c r="E16" t="s">
        <v>22</v>
      </c>
      <c r="F16" t="b">
        <v>0</v>
      </c>
      <c r="G16">
        <v>66.94</v>
      </c>
      <c r="H16">
        <v>26.43</v>
      </c>
      <c r="I16">
        <v>150.46</v>
      </c>
      <c r="J16">
        <v>-3.66</v>
      </c>
      <c r="K16">
        <v>-5.18</v>
      </c>
      <c r="M16">
        <v>-8.23</v>
      </c>
      <c r="N16">
        <v>732.05</v>
      </c>
      <c r="O16">
        <v>27.17</v>
      </c>
      <c r="P16">
        <v>1645.38</v>
      </c>
    </row>
    <row r="17" spans="1:16" x14ac:dyDescent="0.2">
      <c r="A17" t="s">
        <v>16</v>
      </c>
      <c r="C17" t="b">
        <v>1</v>
      </c>
      <c r="D17" t="s">
        <v>28</v>
      </c>
      <c r="E17" t="s">
        <v>23</v>
      </c>
      <c r="F17" t="b">
        <v>0</v>
      </c>
      <c r="G17">
        <v>6.77</v>
      </c>
      <c r="H17">
        <v>2.67</v>
      </c>
      <c r="I17">
        <v>15.22</v>
      </c>
      <c r="J17">
        <v>-1.49</v>
      </c>
      <c r="K17">
        <v>-18.04</v>
      </c>
      <c r="M17">
        <v>-3.35</v>
      </c>
      <c r="N17">
        <v>72.459999999999994</v>
      </c>
      <c r="O17">
        <v>2.69</v>
      </c>
      <c r="P17">
        <v>162.86000000000001</v>
      </c>
    </row>
    <row r="18" spans="1:16" x14ac:dyDescent="0.2">
      <c r="A18" t="s">
        <v>16</v>
      </c>
      <c r="C18" t="b">
        <v>1</v>
      </c>
      <c r="D18" t="s">
        <v>28</v>
      </c>
      <c r="E18" t="s">
        <v>24</v>
      </c>
      <c r="F18" t="b">
        <v>0</v>
      </c>
      <c r="G18">
        <v>1.77</v>
      </c>
      <c r="H18">
        <v>0.7</v>
      </c>
      <c r="I18">
        <v>3.98</v>
      </c>
      <c r="J18">
        <v>-65.31</v>
      </c>
      <c r="K18">
        <v>-97.36</v>
      </c>
      <c r="M18">
        <v>-146.79</v>
      </c>
      <c r="N18">
        <v>19.559999999999999</v>
      </c>
      <c r="O18">
        <v>0.73</v>
      </c>
      <c r="P18">
        <v>43.96</v>
      </c>
    </row>
    <row r="19" spans="1:16" x14ac:dyDescent="0.2">
      <c r="A19" t="s">
        <v>16</v>
      </c>
      <c r="C19" t="b">
        <v>1</v>
      </c>
      <c r="D19" t="s">
        <v>28</v>
      </c>
      <c r="E19" t="s">
        <v>25</v>
      </c>
      <c r="F19" t="b">
        <v>0</v>
      </c>
      <c r="G19">
        <v>3.16</v>
      </c>
      <c r="H19">
        <v>1.25</v>
      </c>
      <c r="I19">
        <v>7.1</v>
      </c>
      <c r="J19">
        <v>0.28999999999999998</v>
      </c>
      <c r="K19">
        <v>10.1</v>
      </c>
      <c r="M19">
        <v>0.65</v>
      </c>
      <c r="N19">
        <v>96.05</v>
      </c>
      <c r="O19">
        <v>3.57</v>
      </c>
      <c r="P19">
        <v>215.89</v>
      </c>
    </row>
    <row r="20" spans="1:16" x14ac:dyDescent="0.2">
      <c r="A20" t="s">
        <v>16</v>
      </c>
      <c r="C20" t="b">
        <v>1</v>
      </c>
      <c r="D20" t="s">
        <v>28</v>
      </c>
      <c r="E20" t="s">
        <v>26</v>
      </c>
      <c r="F20" t="b">
        <v>1</v>
      </c>
      <c r="G20">
        <v>253.28</v>
      </c>
      <c r="H20">
        <v>100</v>
      </c>
      <c r="I20">
        <v>569.28</v>
      </c>
      <c r="J20">
        <v>-53.69</v>
      </c>
      <c r="K20">
        <v>-17.489999999999998</v>
      </c>
      <c r="M20">
        <v>-120.68</v>
      </c>
      <c r="N20">
        <v>2694.2</v>
      </c>
      <c r="O20">
        <v>100</v>
      </c>
      <c r="P20">
        <v>6055.58</v>
      </c>
    </row>
    <row r="21" spans="1:16" x14ac:dyDescent="0.2">
      <c r="A21" t="s">
        <v>16</v>
      </c>
      <c r="C21" t="b">
        <v>1</v>
      </c>
      <c r="D21" t="s">
        <v>28</v>
      </c>
      <c r="E21" t="s">
        <v>27</v>
      </c>
      <c r="F21" t="b">
        <v>0</v>
      </c>
      <c r="G21">
        <v>26.58</v>
      </c>
      <c r="H21">
        <v>10.49</v>
      </c>
      <c r="I21">
        <v>59.74</v>
      </c>
      <c r="J21">
        <v>-4.26</v>
      </c>
      <c r="K21">
        <v>-13.81</v>
      </c>
      <c r="M21">
        <v>-9.57</v>
      </c>
      <c r="N21">
        <v>259.7</v>
      </c>
      <c r="O21">
        <v>9.64</v>
      </c>
      <c r="P21">
        <v>583.71</v>
      </c>
    </row>
    <row r="22" spans="1:16" x14ac:dyDescent="0.2">
      <c r="A22" t="s">
        <v>16</v>
      </c>
      <c r="C22" t="b">
        <v>1</v>
      </c>
      <c r="D22" t="s">
        <v>29</v>
      </c>
      <c r="E22" t="s">
        <v>18</v>
      </c>
      <c r="F22" t="b">
        <v>0</v>
      </c>
      <c r="G22">
        <v>10.53</v>
      </c>
      <c r="H22">
        <v>3.84</v>
      </c>
      <c r="I22">
        <v>23.63</v>
      </c>
      <c r="J22">
        <v>0.97</v>
      </c>
      <c r="K22">
        <v>10.15</v>
      </c>
      <c r="L22">
        <v>0.1</v>
      </c>
      <c r="M22">
        <v>2.1800000000000002</v>
      </c>
      <c r="N22">
        <v>10.53</v>
      </c>
      <c r="O22">
        <v>3.84</v>
      </c>
      <c r="P22">
        <v>23.63</v>
      </c>
    </row>
    <row r="23" spans="1:16" x14ac:dyDescent="0.2">
      <c r="A23" t="s">
        <v>16</v>
      </c>
      <c r="C23" t="b">
        <v>1</v>
      </c>
      <c r="D23" t="s">
        <v>29</v>
      </c>
      <c r="E23" t="s">
        <v>19</v>
      </c>
      <c r="F23" t="b">
        <v>0</v>
      </c>
      <c r="G23">
        <v>64.819999999999993</v>
      </c>
      <c r="H23">
        <v>23.67</v>
      </c>
      <c r="I23">
        <v>145.44</v>
      </c>
      <c r="J23">
        <v>7.55</v>
      </c>
      <c r="K23">
        <v>13.18</v>
      </c>
      <c r="L23">
        <v>1.29</v>
      </c>
      <c r="M23">
        <v>16.940000000000001</v>
      </c>
      <c r="N23">
        <v>64.819999999999993</v>
      </c>
      <c r="O23">
        <v>23.67</v>
      </c>
      <c r="P23">
        <v>145.44</v>
      </c>
    </row>
    <row r="24" spans="1:16" x14ac:dyDescent="0.2">
      <c r="A24" t="s">
        <v>16</v>
      </c>
      <c r="C24" t="b">
        <v>1</v>
      </c>
      <c r="D24" t="s">
        <v>29</v>
      </c>
      <c r="E24" t="s">
        <v>20</v>
      </c>
      <c r="F24" t="b">
        <v>0</v>
      </c>
      <c r="G24">
        <v>60.87</v>
      </c>
      <c r="H24">
        <v>22.23</v>
      </c>
      <c r="I24">
        <v>136.57</v>
      </c>
      <c r="J24">
        <v>16.600000000000001</v>
      </c>
      <c r="K24">
        <v>37.5</v>
      </c>
      <c r="L24">
        <v>4.93</v>
      </c>
      <c r="M24">
        <v>37.25</v>
      </c>
      <c r="N24">
        <v>60.87</v>
      </c>
      <c r="O24">
        <v>22.23</v>
      </c>
      <c r="P24">
        <v>136.57</v>
      </c>
    </row>
    <row r="25" spans="1:16" x14ac:dyDescent="0.2">
      <c r="A25" t="s">
        <v>16</v>
      </c>
      <c r="C25" t="b">
        <v>1</v>
      </c>
      <c r="D25" t="s">
        <v>29</v>
      </c>
      <c r="E25" t="s">
        <v>21</v>
      </c>
      <c r="F25" t="b">
        <v>0</v>
      </c>
      <c r="G25">
        <v>24.7</v>
      </c>
      <c r="H25">
        <v>9.02</v>
      </c>
      <c r="I25">
        <v>55.42</v>
      </c>
      <c r="J25">
        <v>-3.39</v>
      </c>
      <c r="K25">
        <v>-12.07</v>
      </c>
      <c r="L25">
        <v>-1.96</v>
      </c>
      <c r="M25">
        <v>-7.61</v>
      </c>
      <c r="N25">
        <v>24.7</v>
      </c>
      <c r="O25">
        <v>9.02</v>
      </c>
      <c r="P25">
        <v>55.42</v>
      </c>
    </row>
    <row r="26" spans="1:16" x14ac:dyDescent="0.2">
      <c r="A26" t="s">
        <v>16</v>
      </c>
      <c r="C26" t="b">
        <v>1</v>
      </c>
      <c r="D26" t="s">
        <v>29</v>
      </c>
      <c r="E26" t="s">
        <v>22</v>
      </c>
      <c r="F26" t="b">
        <v>0</v>
      </c>
      <c r="G26">
        <v>72.34</v>
      </c>
      <c r="H26">
        <v>26.41</v>
      </c>
      <c r="I26">
        <v>162.31</v>
      </c>
      <c r="J26">
        <v>-2.5299999999999998</v>
      </c>
      <c r="K26">
        <v>-3.38</v>
      </c>
      <c r="L26">
        <v>-2.85</v>
      </c>
      <c r="M26">
        <v>-5.68</v>
      </c>
      <c r="N26">
        <v>72.34</v>
      </c>
      <c r="O26">
        <v>26.41</v>
      </c>
      <c r="P26">
        <v>162.31</v>
      </c>
    </row>
    <row r="27" spans="1:16" x14ac:dyDescent="0.2">
      <c r="A27" t="s">
        <v>16</v>
      </c>
      <c r="C27" t="b">
        <v>1</v>
      </c>
      <c r="D27" t="s">
        <v>29</v>
      </c>
      <c r="E27" t="s">
        <v>23</v>
      </c>
      <c r="F27" t="b">
        <v>0</v>
      </c>
      <c r="G27">
        <v>8.3800000000000008</v>
      </c>
      <c r="H27">
        <v>3.06</v>
      </c>
      <c r="I27">
        <v>18.8</v>
      </c>
      <c r="J27">
        <v>1.34</v>
      </c>
      <c r="K27">
        <v>19.03</v>
      </c>
      <c r="L27">
        <v>0.31</v>
      </c>
      <c r="M27">
        <v>3.01</v>
      </c>
      <c r="N27">
        <v>8.3800000000000008</v>
      </c>
      <c r="O27">
        <v>3.06</v>
      </c>
      <c r="P27">
        <v>18.8</v>
      </c>
    </row>
    <row r="28" spans="1:16" x14ac:dyDescent="0.2">
      <c r="A28" t="s">
        <v>16</v>
      </c>
      <c r="C28" t="b">
        <v>1</v>
      </c>
      <c r="D28" t="s">
        <v>29</v>
      </c>
      <c r="E28" t="s">
        <v>24</v>
      </c>
      <c r="F28" t="b">
        <v>0</v>
      </c>
      <c r="G28">
        <v>1.93</v>
      </c>
      <c r="H28">
        <v>0.7</v>
      </c>
      <c r="I28">
        <v>4.33</v>
      </c>
      <c r="J28">
        <v>0.11</v>
      </c>
      <c r="K28">
        <v>6.04</v>
      </c>
      <c r="L28">
        <v>-0.01</v>
      </c>
      <c r="M28">
        <v>0.25</v>
      </c>
      <c r="N28">
        <v>1.93</v>
      </c>
      <c r="O28">
        <v>0.7</v>
      </c>
      <c r="P28">
        <v>4.33</v>
      </c>
    </row>
    <row r="29" spans="1:16" x14ac:dyDescent="0.2">
      <c r="A29" t="s">
        <v>16</v>
      </c>
      <c r="C29" t="b">
        <v>1</v>
      </c>
      <c r="D29" t="s">
        <v>29</v>
      </c>
      <c r="E29" t="s">
        <v>25</v>
      </c>
      <c r="F29" t="b">
        <v>0</v>
      </c>
      <c r="G29">
        <v>3.39</v>
      </c>
      <c r="H29">
        <v>1.24</v>
      </c>
      <c r="I29">
        <v>7.61</v>
      </c>
      <c r="J29">
        <v>0.52</v>
      </c>
      <c r="K29">
        <v>18.12</v>
      </c>
      <c r="L29">
        <v>0.12</v>
      </c>
      <c r="M29">
        <v>1.17</v>
      </c>
      <c r="N29">
        <v>3.39</v>
      </c>
      <c r="O29">
        <v>1.24</v>
      </c>
      <c r="P29">
        <v>7.61</v>
      </c>
    </row>
    <row r="30" spans="1:16" x14ac:dyDescent="0.2">
      <c r="A30" t="s">
        <v>16</v>
      </c>
      <c r="C30" t="b">
        <v>1</v>
      </c>
      <c r="D30" t="s">
        <v>29</v>
      </c>
      <c r="E30" t="s">
        <v>26</v>
      </c>
      <c r="F30" t="b">
        <v>1</v>
      </c>
      <c r="G30">
        <v>273.88</v>
      </c>
      <c r="H30">
        <v>100</v>
      </c>
      <c r="I30">
        <v>614.5</v>
      </c>
      <c r="J30">
        <v>18</v>
      </c>
      <c r="K30">
        <v>7.03</v>
      </c>
      <c r="L30">
        <v>0</v>
      </c>
      <c r="M30">
        <v>40.39</v>
      </c>
      <c r="N30">
        <v>273.88</v>
      </c>
      <c r="O30">
        <v>100</v>
      </c>
      <c r="P30">
        <v>614.5</v>
      </c>
    </row>
    <row r="31" spans="1:16" x14ac:dyDescent="0.2">
      <c r="A31" t="s">
        <v>16</v>
      </c>
      <c r="C31" t="b">
        <v>1</v>
      </c>
      <c r="D31" t="s">
        <v>29</v>
      </c>
      <c r="E31" t="s">
        <v>27</v>
      </c>
      <c r="F31" t="b">
        <v>0</v>
      </c>
      <c r="G31">
        <v>26.92</v>
      </c>
      <c r="H31">
        <v>9.83</v>
      </c>
      <c r="I31">
        <v>60.4</v>
      </c>
      <c r="J31">
        <v>-3.17</v>
      </c>
      <c r="K31">
        <v>-10.54</v>
      </c>
      <c r="L31">
        <v>-1.93</v>
      </c>
      <c r="M31">
        <v>-7.11</v>
      </c>
      <c r="N31">
        <v>26.92</v>
      </c>
      <c r="O31">
        <v>9.83</v>
      </c>
      <c r="P31">
        <v>60.4</v>
      </c>
    </row>
    <row r="32" spans="1:16" x14ac:dyDescent="0.2">
      <c r="A32" t="s">
        <v>16</v>
      </c>
      <c r="C32" t="b">
        <v>1</v>
      </c>
      <c r="D32" t="s">
        <v>30</v>
      </c>
      <c r="E32" t="s">
        <v>18</v>
      </c>
      <c r="F32" t="b">
        <v>0</v>
      </c>
      <c r="G32">
        <v>9.7799999999999994</v>
      </c>
      <c r="H32">
        <v>4.1900000000000004</v>
      </c>
      <c r="I32">
        <v>21.94</v>
      </c>
      <c r="J32">
        <v>0.92</v>
      </c>
      <c r="K32">
        <v>10.38</v>
      </c>
      <c r="L32">
        <v>0.42</v>
      </c>
      <c r="M32">
        <v>2.06</v>
      </c>
      <c r="N32">
        <v>20.309999999999999</v>
      </c>
      <c r="O32">
        <v>4</v>
      </c>
      <c r="P32">
        <v>45.57</v>
      </c>
    </row>
    <row r="33" spans="1:16" x14ac:dyDescent="0.2">
      <c r="A33" t="s">
        <v>16</v>
      </c>
      <c r="C33" t="b">
        <v>1</v>
      </c>
      <c r="D33" t="s">
        <v>30</v>
      </c>
      <c r="E33" t="s">
        <v>19</v>
      </c>
      <c r="F33" t="b">
        <v>0</v>
      </c>
      <c r="G33">
        <v>52.31</v>
      </c>
      <c r="H33">
        <v>22.4</v>
      </c>
      <c r="I33">
        <v>117.37</v>
      </c>
      <c r="J33">
        <v>4.7</v>
      </c>
      <c r="K33">
        <v>9.8699999999999992</v>
      </c>
      <c r="L33">
        <v>2.17</v>
      </c>
      <c r="M33">
        <v>10.55</v>
      </c>
      <c r="N33">
        <v>117.13</v>
      </c>
      <c r="O33">
        <v>23.09</v>
      </c>
      <c r="P33">
        <v>262.8</v>
      </c>
    </row>
    <row r="34" spans="1:16" x14ac:dyDescent="0.2">
      <c r="A34" t="s">
        <v>16</v>
      </c>
      <c r="C34" t="b">
        <v>1</v>
      </c>
      <c r="D34" t="s">
        <v>30</v>
      </c>
      <c r="E34" t="s">
        <v>20</v>
      </c>
      <c r="F34" t="b">
        <v>0</v>
      </c>
      <c r="G34">
        <v>45.68</v>
      </c>
      <c r="H34">
        <v>19.559999999999999</v>
      </c>
      <c r="I34">
        <v>102.49</v>
      </c>
      <c r="J34">
        <v>10.4</v>
      </c>
      <c r="K34">
        <v>29.48</v>
      </c>
      <c r="L34">
        <v>4.57</v>
      </c>
      <c r="M34">
        <v>23.33</v>
      </c>
      <c r="N34">
        <v>106.55</v>
      </c>
      <c r="O34">
        <v>21</v>
      </c>
      <c r="P34">
        <v>239.06</v>
      </c>
    </row>
    <row r="35" spans="1:16" x14ac:dyDescent="0.2">
      <c r="A35" t="s">
        <v>16</v>
      </c>
      <c r="C35" t="b">
        <v>1</v>
      </c>
      <c r="D35" t="s">
        <v>30</v>
      </c>
      <c r="E35" t="s">
        <v>21</v>
      </c>
      <c r="F35" t="b">
        <v>0</v>
      </c>
      <c r="G35">
        <v>21.7</v>
      </c>
      <c r="H35">
        <v>9.2899999999999991</v>
      </c>
      <c r="I35">
        <v>48.69</v>
      </c>
      <c r="J35">
        <v>-10.4</v>
      </c>
      <c r="K35">
        <v>-32.4</v>
      </c>
      <c r="L35">
        <v>-4.3499999999999996</v>
      </c>
      <c r="M35">
        <v>-23.33</v>
      </c>
      <c r="N35">
        <v>46.4</v>
      </c>
      <c r="O35">
        <v>9.15</v>
      </c>
      <c r="P35">
        <v>104.11</v>
      </c>
    </row>
    <row r="36" spans="1:16" x14ac:dyDescent="0.2">
      <c r="A36" t="s">
        <v>16</v>
      </c>
      <c r="C36" t="b">
        <v>1</v>
      </c>
      <c r="D36" t="s">
        <v>30</v>
      </c>
      <c r="E36" t="s">
        <v>22</v>
      </c>
      <c r="F36" t="b">
        <v>0</v>
      </c>
      <c r="G36">
        <v>61.57</v>
      </c>
      <c r="H36">
        <v>26.37</v>
      </c>
      <c r="I36">
        <v>138.13999999999999</v>
      </c>
      <c r="J36">
        <v>-6.3</v>
      </c>
      <c r="K36">
        <v>-9.2799999999999994</v>
      </c>
      <c r="L36">
        <v>-2.4700000000000002</v>
      </c>
      <c r="M36">
        <v>-14.14</v>
      </c>
      <c r="N36">
        <v>133.91</v>
      </c>
      <c r="O36">
        <v>26.39</v>
      </c>
      <c r="P36">
        <v>300.45</v>
      </c>
    </row>
    <row r="37" spans="1:16" x14ac:dyDescent="0.2">
      <c r="A37" t="s">
        <v>16</v>
      </c>
      <c r="C37" t="b">
        <v>1</v>
      </c>
      <c r="D37" t="s">
        <v>30</v>
      </c>
      <c r="E37" t="s">
        <v>23</v>
      </c>
      <c r="F37" t="b">
        <v>0</v>
      </c>
      <c r="G37">
        <v>7.17</v>
      </c>
      <c r="H37">
        <v>3.07</v>
      </c>
      <c r="I37">
        <v>16.09</v>
      </c>
      <c r="J37">
        <v>1.04</v>
      </c>
      <c r="K37">
        <v>16.97</v>
      </c>
      <c r="L37">
        <v>0.47</v>
      </c>
      <c r="M37">
        <v>2.33</v>
      </c>
      <c r="N37">
        <v>15.55</v>
      </c>
      <c r="O37">
        <v>3.06</v>
      </c>
      <c r="P37">
        <v>34.89</v>
      </c>
    </row>
    <row r="38" spans="1:16" x14ac:dyDescent="0.2">
      <c r="A38" t="s">
        <v>16</v>
      </c>
      <c r="C38" t="b">
        <v>1</v>
      </c>
      <c r="D38" t="s">
        <v>30</v>
      </c>
      <c r="E38" t="s">
        <v>24</v>
      </c>
      <c r="F38" t="b">
        <v>0</v>
      </c>
      <c r="G38">
        <v>1.69</v>
      </c>
      <c r="H38">
        <v>0.72</v>
      </c>
      <c r="I38">
        <v>3.79</v>
      </c>
      <c r="J38">
        <v>0.02</v>
      </c>
      <c r="K38">
        <v>1.2</v>
      </c>
      <c r="L38">
        <v>0.01</v>
      </c>
      <c r="M38">
        <v>0.04</v>
      </c>
      <c r="N38">
        <v>3.62</v>
      </c>
      <c r="O38">
        <v>0.71</v>
      </c>
      <c r="P38">
        <v>8.1199999999999992</v>
      </c>
    </row>
    <row r="39" spans="1:16" x14ac:dyDescent="0.2">
      <c r="A39" t="s">
        <v>16</v>
      </c>
      <c r="C39" t="b">
        <v>1</v>
      </c>
      <c r="D39" t="s">
        <v>30</v>
      </c>
      <c r="E39" t="s">
        <v>25</v>
      </c>
      <c r="F39" t="b">
        <v>0</v>
      </c>
      <c r="G39">
        <v>4.46</v>
      </c>
      <c r="H39">
        <v>1.91</v>
      </c>
      <c r="I39">
        <v>10.01</v>
      </c>
      <c r="J39">
        <v>0.22</v>
      </c>
      <c r="K39">
        <v>5.19</v>
      </c>
      <c r="L39">
        <v>0.11</v>
      </c>
      <c r="M39">
        <v>0.49</v>
      </c>
      <c r="N39">
        <v>7.85</v>
      </c>
      <c r="O39">
        <v>1.55</v>
      </c>
      <c r="P39">
        <v>17.61</v>
      </c>
    </row>
    <row r="40" spans="1:16" x14ac:dyDescent="0.2">
      <c r="A40" t="s">
        <v>16</v>
      </c>
      <c r="C40" t="b">
        <v>1</v>
      </c>
      <c r="D40" t="s">
        <v>30</v>
      </c>
      <c r="E40" t="s">
        <v>26</v>
      </c>
      <c r="F40" t="b">
        <v>1</v>
      </c>
      <c r="G40">
        <v>233.49</v>
      </c>
      <c r="H40">
        <v>100</v>
      </c>
      <c r="I40">
        <v>523.88</v>
      </c>
      <c r="J40">
        <v>-1.83</v>
      </c>
      <c r="K40">
        <v>-0.78</v>
      </c>
      <c r="L40">
        <v>0</v>
      </c>
      <c r="M40">
        <v>-4.1100000000000003</v>
      </c>
      <c r="N40">
        <v>507.37</v>
      </c>
      <c r="O40">
        <v>100</v>
      </c>
      <c r="P40">
        <v>1138.3699999999999</v>
      </c>
    </row>
    <row r="41" spans="1:16" x14ac:dyDescent="0.2">
      <c r="A41" t="s">
        <v>16</v>
      </c>
      <c r="C41" t="b">
        <v>1</v>
      </c>
      <c r="D41" t="s">
        <v>30</v>
      </c>
      <c r="E41" t="s">
        <v>27</v>
      </c>
      <c r="F41" t="b">
        <v>0</v>
      </c>
      <c r="G41">
        <v>29.13</v>
      </c>
      <c r="H41">
        <v>12.48</v>
      </c>
      <c r="I41">
        <v>65.36</v>
      </c>
      <c r="J41">
        <v>-2.4300000000000002</v>
      </c>
      <c r="K41">
        <v>-7.7</v>
      </c>
      <c r="L41">
        <v>-0.93</v>
      </c>
      <c r="M41">
        <v>-5.45</v>
      </c>
      <c r="N41">
        <v>56.05</v>
      </c>
      <c r="O41">
        <v>11.05</v>
      </c>
      <c r="P41">
        <v>125.76</v>
      </c>
    </row>
    <row r="42" spans="1:16" x14ac:dyDescent="0.2">
      <c r="A42" t="s">
        <v>16</v>
      </c>
      <c r="C42" t="b">
        <v>1</v>
      </c>
      <c r="D42" t="s">
        <v>31</v>
      </c>
      <c r="E42" t="s">
        <v>18</v>
      </c>
      <c r="F42" t="b">
        <v>0</v>
      </c>
      <c r="G42">
        <v>10.34</v>
      </c>
      <c r="H42">
        <v>4.33</v>
      </c>
      <c r="I42">
        <v>23.2</v>
      </c>
      <c r="J42">
        <v>1.1200000000000001</v>
      </c>
      <c r="K42">
        <v>12.15</v>
      </c>
      <c r="L42">
        <v>0.45</v>
      </c>
      <c r="M42">
        <v>2.5099999999999998</v>
      </c>
      <c r="N42">
        <v>30.65</v>
      </c>
      <c r="O42">
        <v>4.1100000000000003</v>
      </c>
      <c r="P42">
        <v>68.77</v>
      </c>
    </row>
    <row r="43" spans="1:16" x14ac:dyDescent="0.2">
      <c r="A43" t="s">
        <v>16</v>
      </c>
      <c r="C43" t="b">
        <v>1</v>
      </c>
      <c r="D43" t="s">
        <v>31</v>
      </c>
      <c r="E43" t="s">
        <v>19</v>
      </c>
      <c r="F43" t="b">
        <v>0</v>
      </c>
      <c r="G43">
        <v>48.23</v>
      </c>
      <c r="H43">
        <v>20.18</v>
      </c>
      <c r="I43">
        <v>108.21</v>
      </c>
      <c r="J43">
        <v>-2.8</v>
      </c>
      <c r="K43">
        <v>-5.49</v>
      </c>
      <c r="L43">
        <v>-1.3</v>
      </c>
      <c r="M43">
        <v>-6.28</v>
      </c>
      <c r="N43">
        <v>165.36</v>
      </c>
      <c r="O43">
        <v>22.16</v>
      </c>
      <c r="P43">
        <v>371.01</v>
      </c>
    </row>
    <row r="44" spans="1:16" x14ac:dyDescent="0.2">
      <c r="A44" t="s">
        <v>16</v>
      </c>
      <c r="C44" t="b">
        <v>1</v>
      </c>
      <c r="D44" t="s">
        <v>31</v>
      </c>
      <c r="E44" t="s">
        <v>20</v>
      </c>
      <c r="F44" t="b">
        <v>0</v>
      </c>
      <c r="G44">
        <v>40.69</v>
      </c>
      <c r="H44">
        <v>17.03</v>
      </c>
      <c r="I44">
        <v>91.3</v>
      </c>
      <c r="J44">
        <v>4.8499999999999996</v>
      </c>
      <c r="K44">
        <v>13.53</v>
      </c>
      <c r="L44">
        <v>1.95</v>
      </c>
      <c r="M44">
        <v>10.88</v>
      </c>
      <c r="N44">
        <v>147.24</v>
      </c>
      <c r="O44">
        <v>19.73</v>
      </c>
      <c r="P44">
        <v>330.36</v>
      </c>
    </row>
    <row r="45" spans="1:16" x14ac:dyDescent="0.2">
      <c r="A45" t="s">
        <v>16</v>
      </c>
      <c r="C45" t="b">
        <v>1</v>
      </c>
      <c r="D45" t="s">
        <v>31</v>
      </c>
      <c r="E45" t="s">
        <v>21</v>
      </c>
      <c r="F45" t="b">
        <v>0</v>
      </c>
      <c r="G45">
        <v>27.28</v>
      </c>
      <c r="H45">
        <v>11.42</v>
      </c>
      <c r="I45">
        <v>61.21</v>
      </c>
      <c r="J45">
        <v>-5.03</v>
      </c>
      <c r="K45">
        <v>-15.57</v>
      </c>
      <c r="L45">
        <v>-2.1800000000000002</v>
      </c>
      <c r="M45">
        <v>-11.29</v>
      </c>
      <c r="N45">
        <v>73.680000000000007</v>
      </c>
      <c r="O45">
        <v>9.8699999999999992</v>
      </c>
      <c r="P45">
        <v>165.31</v>
      </c>
    </row>
    <row r="46" spans="1:16" x14ac:dyDescent="0.2">
      <c r="A46" t="s">
        <v>16</v>
      </c>
      <c r="C46" t="b">
        <v>1</v>
      </c>
      <c r="D46" t="s">
        <v>31</v>
      </c>
      <c r="E46" t="s">
        <v>22</v>
      </c>
      <c r="F46" t="b">
        <v>0</v>
      </c>
      <c r="G46">
        <v>64.92</v>
      </c>
      <c r="H46">
        <v>27.17</v>
      </c>
      <c r="I46">
        <v>145.66</v>
      </c>
      <c r="J46">
        <v>-6.01</v>
      </c>
      <c r="K46">
        <v>-8.4700000000000006</v>
      </c>
      <c r="L46">
        <v>-2.68</v>
      </c>
      <c r="M46">
        <v>-13.48</v>
      </c>
      <c r="N46">
        <v>198.83</v>
      </c>
      <c r="O46">
        <v>26.64</v>
      </c>
      <c r="P46">
        <v>446.11</v>
      </c>
    </row>
    <row r="47" spans="1:16" x14ac:dyDescent="0.2">
      <c r="A47" t="s">
        <v>16</v>
      </c>
      <c r="C47" t="b">
        <v>1</v>
      </c>
      <c r="D47" t="s">
        <v>31</v>
      </c>
      <c r="E47" t="s">
        <v>23</v>
      </c>
      <c r="F47" t="b">
        <v>0</v>
      </c>
      <c r="G47">
        <v>7.28</v>
      </c>
      <c r="H47">
        <v>3.05</v>
      </c>
      <c r="I47">
        <v>16.329999999999998</v>
      </c>
      <c r="J47">
        <v>1.25</v>
      </c>
      <c r="K47">
        <v>20.73</v>
      </c>
      <c r="L47">
        <v>0.51</v>
      </c>
      <c r="M47">
        <v>2.8</v>
      </c>
      <c r="N47">
        <v>22.83</v>
      </c>
      <c r="O47">
        <v>3.06</v>
      </c>
      <c r="P47">
        <v>51.22</v>
      </c>
    </row>
    <row r="48" spans="1:16" x14ac:dyDescent="0.2">
      <c r="A48" t="s">
        <v>16</v>
      </c>
      <c r="C48" t="b">
        <v>1</v>
      </c>
      <c r="D48" t="s">
        <v>31</v>
      </c>
      <c r="E48" t="s">
        <v>24</v>
      </c>
      <c r="F48" t="b">
        <v>0</v>
      </c>
      <c r="G48">
        <v>1.84</v>
      </c>
      <c r="H48">
        <v>0.77</v>
      </c>
      <c r="I48">
        <v>4.13</v>
      </c>
      <c r="J48">
        <v>0.19</v>
      </c>
      <c r="K48">
        <v>11.52</v>
      </c>
      <c r="L48">
        <v>0.08</v>
      </c>
      <c r="M48">
        <v>0.43</v>
      </c>
      <c r="N48">
        <v>5.46</v>
      </c>
      <c r="O48">
        <v>0.73</v>
      </c>
      <c r="P48">
        <v>12.25</v>
      </c>
    </row>
    <row r="49" spans="1:16" x14ac:dyDescent="0.2">
      <c r="A49" t="s">
        <v>16</v>
      </c>
      <c r="C49" t="b">
        <v>1</v>
      </c>
      <c r="D49" t="s">
        <v>31</v>
      </c>
      <c r="E49" t="s">
        <v>25</v>
      </c>
      <c r="F49" t="b">
        <v>0</v>
      </c>
      <c r="G49">
        <v>8.9</v>
      </c>
      <c r="H49">
        <v>3.72</v>
      </c>
      <c r="I49">
        <v>19.97</v>
      </c>
      <c r="J49">
        <v>1.52</v>
      </c>
      <c r="K49">
        <v>20.6</v>
      </c>
      <c r="L49">
        <v>0.61</v>
      </c>
      <c r="M49">
        <v>3.41</v>
      </c>
      <c r="N49">
        <v>16.75</v>
      </c>
      <c r="O49">
        <v>2.2400000000000002</v>
      </c>
      <c r="P49">
        <v>37.58</v>
      </c>
    </row>
    <row r="50" spans="1:16" x14ac:dyDescent="0.2">
      <c r="A50" t="s">
        <v>16</v>
      </c>
      <c r="C50" t="b">
        <v>1</v>
      </c>
      <c r="D50" t="s">
        <v>31</v>
      </c>
      <c r="E50" t="s">
        <v>26</v>
      </c>
      <c r="F50" t="b">
        <v>1</v>
      </c>
      <c r="G50">
        <v>238.95</v>
      </c>
      <c r="H50">
        <v>100</v>
      </c>
      <c r="I50">
        <v>536.13</v>
      </c>
      <c r="J50">
        <v>1.33</v>
      </c>
      <c r="K50">
        <v>0.56000000000000005</v>
      </c>
      <c r="L50">
        <v>0</v>
      </c>
      <c r="M50">
        <v>2.98</v>
      </c>
      <c r="N50">
        <v>746.32</v>
      </c>
      <c r="O50">
        <v>100</v>
      </c>
      <c r="P50">
        <v>1674.5</v>
      </c>
    </row>
    <row r="51" spans="1:16" x14ac:dyDescent="0.2">
      <c r="A51" t="s">
        <v>16</v>
      </c>
      <c r="C51" t="b">
        <v>1</v>
      </c>
      <c r="D51" t="s">
        <v>31</v>
      </c>
      <c r="E51" t="s">
        <v>27</v>
      </c>
      <c r="F51" t="b">
        <v>0</v>
      </c>
      <c r="G51">
        <v>29.47</v>
      </c>
      <c r="H51">
        <v>12.33</v>
      </c>
      <c r="I51">
        <v>66.12</v>
      </c>
      <c r="J51">
        <v>6.24</v>
      </c>
      <c r="K51">
        <v>26.86</v>
      </c>
      <c r="L51">
        <v>2.5499999999999998</v>
      </c>
      <c r="M51">
        <v>14</v>
      </c>
      <c r="N51">
        <v>85.52</v>
      </c>
      <c r="O51">
        <v>11.46</v>
      </c>
      <c r="P51">
        <v>191.88</v>
      </c>
    </row>
    <row r="52" spans="1:16" x14ac:dyDescent="0.2">
      <c r="A52" t="s">
        <v>16</v>
      </c>
      <c r="C52" t="b">
        <v>1</v>
      </c>
      <c r="D52" t="s">
        <v>32</v>
      </c>
      <c r="E52" t="s">
        <v>18</v>
      </c>
      <c r="F52" t="b">
        <v>0</v>
      </c>
      <c r="G52">
        <v>9.6</v>
      </c>
      <c r="H52">
        <v>4.49</v>
      </c>
      <c r="I52">
        <v>21.54</v>
      </c>
      <c r="J52">
        <v>1.24</v>
      </c>
      <c r="K52">
        <v>14.83</v>
      </c>
      <c r="L52">
        <v>0.57999999999999996</v>
      </c>
      <c r="M52">
        <v>2.78</v>
      </c>
      <c r="N52">
        <v>40.25</v>
      </c>
      <c r="O52">
        <v>4.1900000000000004</v>
      </c>
      <c r="P52">
        <v>90.31</v>
      </c>
    </row>
    <row r="53" spans="1:16" x14ac:dyDescent="0.2">
      <c r="A53" t="s">
        <v>16</v>
      </c>
      <c r="C53" t="b">
        <v>1</v>
      </c>
      <c r="D53" t="s">
        <v>32</v>
      </c>
      <c r="E53" t="s">
        <v>19</v>
      </c>
      <c r="F53" t="b">
        <v>0</v>
      </c>
      <c r="G53">
        <v>44.1</v>
      </c>
      <c r="H53">
        <v>20.63</v>
      </c>
      <c r="I53">
        <v>98.95</v>
      </c>
      <c r="J53">
        <v>0.11</v>
      </c>
      <c r="K53">
        <v>0.25</v>
      </c>
      <c r="L53">
        <v>0.05</v>
      </c>
      <c r="M53">
        <v>0.25</v>
      </c>
      <c r="N53">
        <v>209.46</v>
      </c>
      <c r="O53">
        <v>21.82</v>
      </c>
      <c r="P53">
        <v>469.96</v>
      </c>
    </row>
    <row r="54" spans="1:16" x14ac:dyDescent="0.2">
      <c r="A54" t="s">
        <v>16</v>
      </c>
      <c r="C54" t="b">
        <v>1</v>
      </c>
      <c r="D54" t="s">
        <v>32</v>
      </c>
      <c r="E54" t="s">
        <v>20</v>
      </c>
      <c r="F54" t="b">
        <v>0</v>
      </c>
      <c r="G54">
        <v>35.11</v>
      </c>
      <c r="H54">
        <v>16.420000000000002</v>
      </c>
      <c r="I54">
        <v>78.78</v>
      </c>
      <c r="J54">
        <v>6.36</v>
      </c>
      <c r="K54">
        <v>22.12</v>
      </c>
      <c r="L54">
        <v>2.97</v>
      </c>
      <c r="M54">
        <v>14.27</v>
      </c>
      <c r="N54">
        <v>182.35</v>
      </c>
      <c r="O54">
        <v>18.989999999999998</v>
      </c>
      <c r="P54">
        <v>409.13</v>
      </c>
    </row>
    <row r="55" spans="1:16" x14ac:dyDescent="0.2">
      <c r="A55" t="s">
        <v>16</v>
      </c>
      <c r="C55" t="b">
        <v>1</v>
      </c>
      <c r="D55" t="s">
        <v>32</v>
      </c>
      <c r="E55" t="s">
        <v>21</v>
      </c>
      <c r="F55" t="b">
        <v>0</v>
      </c>
      <c r="G55">
        <v>22.43</v>
      </c>
      <c r="H55">
        <v>10.49</v>
      </c>
      <c r="I55">
        <v>50.33</v>
      </c>
      <c r="J55">
        <v>-12.23</v>
      </c>
      <c r="K55">
        <v>-35.29</v>
      </c>
      <c r="L55">
        <v>-5.73</v>
      </c>
      <c r="M55">
        <v>-27.44</v>
      </c>
      <c r="N55">
        <v>96.11</v>
      </c>
      <c r="O55">
        <v>10.01</v>
      </c>
      <c r="P55">
        <v>215.64</v>
      </c>
    </row>
    <row r="56" spans="1:16" x14ac:dyDescent="0.2">
      <c r="A56" t="s">
        <v>16</v>
      </c>
      <c r="C56" t="b">
        <v>1</v>
      </c>
      <c r="D56" t="s">
        <v>32</v>
      </c>
      <c r="E56" t="s">
        <v>22</v>
      </c>
      <c r="F56" t="b">
        <v>0</v>
      </c>
      <c r="G56">
        <v>59.27</v>
      </c>
      <c r="H56">
        <v>27.72</v>
      </c>
      <c r="I56">
        <v>132.97999999999999</v>
      </c>
      <c r="J56">
        <v>-0.7</v>
      </c>
      <c r="K56">
        <v>-1.17</v>
      </c>
      <c r="L56">
        <v>-0.34</v>
      </c>
      <c r="M56">
        <v>-1.57</v>
      </c>
      <c r="N56">
        <v>258.10000000000002</v>
      </c>
      <c r="O56">
        <v>26.88</v>
      </c>
      <c r="P56">
        <v>579.09</v>
      </c>
    </row>
    <row r="57" spans="1:16" x14ac:dyDescent="0.2">
      <c r="A57" t="s">
        <v>16</v>
      </c>
      <c r="C57" t="b">
        <v>1</v>
      </c>
      <c r="D57" t="s">
        <v>32</v>
      </c>
      <c r="E57" t="s">
        <v>23</v>
      </c>
      <c r="F57" t="b">
        <v>0</v>
      </c>
      <c r="G57">
        <v>6.38</v>
      </c>
      <c r="H57">
        <v>2.98</v>
      </c>
      <c r="I57">
        <v>14.31</v>
      </c>
      <c r="J57">
        <v>1.07</v>
      </c>
      <c r="K57">
        <v>20.149999999999999</v>
      </c>
      <c r="L57">
        <v>0.5</v>
      </c>
      <c r="M57">
        <v>2.4</v>
      </c>
      <c r="N57">
        <v>29.21</v>
      </c>
      <c r="O57">
        <v>3.04</v>
      </c>
      <c r="P57">
        <v>65.540000000000006</v>
      </c>
    </row>
    <row r="58" spans="1:16" x14ac:dyDescent="0.2">
      <c r="A58" t="s">
        <v>16</v>
      </c>
      <c r="C58" t="b">
        <v>1</v>
      </c>
      <c r="D58" t="s">
        <v>32</v>
      </c>
      <c r="E58" t="s">
        <v>24</v>
      </c>
      <c r="F58" t="b">
        <v>0</v>
      </c>
      <c r="G58">
        <v>1.85</v>
      </c>
      <c r="H58">
        <v>0.87</v>
      </c>
      <c r="I58">
        <v>4.1500000000000004</v>
      </c>
      <c r="J58">
        <v>0.36</v>
      </c>
      <c r="K58">
        <v>24.16</v>
      </c>
      <c r="L58">
        <v>0.17</v>
      </c>
      <c r="M58">
        <v>0.81</v>
      </c>
      <c r="N58">
        <v>7.31</v>
      </c>
      <c r="O58">
        <v>0.76</v>
      </c>
      <c r="P58">
        <v>16.399999999999999</v>
      </c>
    </row>
    <row r="59" spans="1:16" x14ac:dyDescent="0.2">
      <c r="A59" t="s">
        <v>16</v>
      </c>
      <c r="C59" t="b">
        <v>1</v>
      </c>
      <c r="D59" t="s">
        <v>32</v>
      </c>
      <c r="E59" t="s">
        <v>25</v>
      </c>
      <c r="F59" t="b">
        <v>0</v>
      </c>
      <c r="G59">
        <v>10.78</v>
      </c>
      <c r="H59">
        <v>5.04</v>
      </c>
      <c r="I59">
        <v>24.19</v>
      </c>
      <c r="J59">
        <v>0.73</v>
      </c>
      <c r="K59">
        <v>7.26</v>
      </c>
      <c r="L59">
        <v>0.34</v>
      </c>
      <c r="M59">
        <v>1.64</v>
      </c>
      <c r="N59">
        <v>27.53</v>
      </c>
      <c r="O59">
        <v>2.87</v>
      </c>
      <c r="P59">
        <v>61.77</v>
      </c>
    </row>
    <row r="60" spans="1:16" x14ac:dyDescent="0.2">
      <c r="A60" t="s">
        <v>16</v>
      </c>
      <c r="C60" t="b">
        <v>1</v>
      </c>
      <c r="D60" t="s">
        <v>32</v>
      </c>
      <c r="E60" t="s">
        <v>26</v>
      </c>
      <c r="F60" t="b">
        <v>1</v>
      </c>
      <c r="G60">
        <v>213.78</v>
      </c>
      <c r="H60">
        <v>100</v>
      </c>
      <c r="I60">
        <v>479.65</v>
      </c>
      <c r="J60">
        <v>0.04</v>
      </c>
      <c r="K60">
        <v>0.02</v>
      </c>
      <c r="L60">
        <v>0</v>
      </c>
      <c r="M60">
        <v>0.09</v>
      </c>
      <c r="N60">
        <v>960.1</v>
      </c>
      <c r="O60">
        <v>100</v>
      </c>
      <c r="P60">
        <v>2154.16</v>
      </c>
    </row>
    <row r="61" spans="1:16" x14ac:dyDescent="0.2">
      <c r="A61" t="s">
        <v>16</v>
      </c>
      <c r="C61" t="b">
        <v>1</v>
      </c>
      <c r="D61" t="s">
        <v>32</v>
      </c>
      <c r="E61" t="s">
        <v>27</v>
      </c>
      <c r="F61" t="b">
        <v>0</v>
      </c>
      <c r="G61">
        <v>24.26</v>
      </c>
      <c r="H61">
        <v>11.35</v>
      </c>
      <c r="I61">
        <v>54.43</v>
      </c>
      <c r="J61">
        <v>3.1</v>
      </c>
      <c r="K61">
        <v>14.65</v>
      </c>
      <c r="L61">
        <v>1.45</v>
      </c>
      <c r="M61">
        <v>6.96</v>
      </c>
      <c r="N61">
        <v>109.78</v>
      </c>
      <c r="O61">
        <v>11.43</v>
      </c>
      <c r="P61">
        <v>246.31</v>
      </c>
    </row>
    <row r="62" spans="1:16" x14ac:dyDescent="0.2">
      <c r="A62" t="s">
        <v>16</v>
      </c>
      <c r="C62" t="b">
        <v>1</v>
      </c>
      <c r="D62" t="s">
        <v>33</v>
      </c>
      <c r="E62" t="s">
        <v>18</v>
      </c>
      <c r="F62" t="b">
        <v>0</v>
      </c>
      <c r="G62">
        <v>9.1</v>
      </c>
      <c r="H62">
        <v>4.28</v>
      </c>
      <c r="I62">
        <v>20.420000000000002</v>
      </c>
      <c r="J62">
        <v>0.68</v>
      </c>
      <c r="K62">
        <v>8.08</v>
      </c>
      <c r="L62">
        <v>0.19</v>
      </c>
      <c r="M62">
        <v>1.53</v>
      </c>
      <c r="N62">
        <v>49.35</v>
      </c>
      <c r="O62">
        <v>4.21</v>
      </c>
      <c r="P62">
        <v>110.73</v>
      </c>
    </row>
    <row r="63" spans="1:16" x14ac:dyDescent="0.2">
      <c r="A63" t="s">
        <v>16</v>
      </c>
      <c r="C63" t="b">
        <v>1</v>
      </c>
      <c r="D63" t="s">
        <v>33</v>
      </c>
      <c r="E63" t="s">
        <v>19</v>
      </c>
      <c r="F63" t="b">
        <v>0</v>
      </c>
      <c r="G63">
        <v>45.89</v>
      </c>
      <c r="H63">
        <v>21.58</v>
      </c>
      <c r="I63">
        <v>102.96</v>
      </c>
      <c r="J63">
        <v>5.29</v>
      </c>
      <c r="K63">
        <v>13.03</v>
      </c>
      <c r="L63">
        <v>1.85</v>
      </c>
      <c r="M63">
        <v>11.87</v>
      </c>
      <c r="N63">
        <v>255.35</v>
      </c>
      <c r="O63">
        <v>21.77</v>
      </c>
      <c r="P63">
        <v>572.91999999999996</v>
      </c>
    </row>
    <row r="64" spans="1:16" x14ac:dyDescent="0.2">
      <c r="A64" t="s">
        <v>16</v>
      </c>
      <c r="C64" t="b">
        <v>1</v>
      </c>
      <c r="D64" t="s">
        <v>33</v>
      </c>
      <c r="E64" t="s">
        <v>20</v>
      </c>
      <c r="F64" t="b">
        <v>0</v>
      </c>
      <c r="G64">
        <v>33.590000000000003</v>
      </c>
      <c r="H64">
        <v>15.79</v>
      </c>
      <c r="I64">
        <v>75.37</v>
      </c>
      <c r="J64">
        <v>5.45</v>
      </c>
      <c r="K64">
        <v>19.37</v>
      </c>
      <c r="L64">
        <v>2.12</v>
      </c>
      <c r="M64">
        <v>12.23</v>
      </c>
      <c r="N64">
        <v>215.94</v>
      </c>
      <c r="O64">
        <v>18.41</v>
      </c>
      <c r="P64">
        <v>484.5</v>
      </c>
    </row>
    <row r="65" spans="1:16" x14ac:dyDescent="0.2">
      <c r="A65" t="s">
        <v>16</v>
      </c>
      <c r="C65" t="b">
        <v>1</v>
      </c>
      <c r="D65" t="s">
        <v>33</v>
      </c>
      <c r="E65" t="s">
        <v>21</v>
      </c>
      <c r="F65" t="b">
        <v>0</v>
      </c>
      <c r="G65">
        <v>27.57</v>
      </c>
      <c r="H65">
        <v>12.96</v>
      </c>
      <c r="I65">
        <v>61.86</v>
      </c>
      <c r="J65">
        <v>-8.49</v>
      </c>
      <c r="K65">
        <v>-23.54</v>
      </c>
      <c r="L65">
        <v>-4.5599999999999996</v>
      </c>
      <c r="M65">
        <v>-19.05</v>
      </c>
      <c r="N65">
        <v>123.68</v>
      </c>
      <c r="O65">
        <v>10.55</v>
      </c>
      <c r="P65">
        <v>277.5</v>
      </c>
    </row>
    <row r="66" spans="1:16" x14ac:dyDescent="0.2">
      <c r="A66" t="s">
        <v>16</v>
      </c>
      <c r="C66" t="b">
        <v>1</v>
      </c>
      <c r="D66" t="s">
        <v>33</v>
      </c>
      <c r="E66" t="s">
        <v>22</v>
      </c>
      <c r="F66" t="b">
        <v>0</v>
      </c>
      <c r="G66">
        <v>56.12</v>
      </c>
      <c r="H66">
        <v>26.39</v>
      </c>
      <c r="I66">
        <v>125.92</v>
      </c>
      <c r="J66">
        <v>2.4</v>
      </c>
      <c r="K66">
        <v>4.47</v>
      </c>
      <c r="L66">
        <v>0.28999999999999998</v>
      </c>
      <c r="M66">
        <v>5.38</v>
      </c>
      <c r="N66">
        <v>314.22000000000003</v>
      </c>
      <c r="O66">
        <v>26.79</v>
      </c>
      <c r="P66">
        <v>705.01</v>
      </c>
    </row>
    <row r="67" spans="1:16" x14ac:dyDescent="0.2">
      <c r="A67" t="s">
        <v>16</v>
      </c>
      <c r="C67" t="b">
        <v>1</v>
      </c>
      <c r="D67" t="s">
        <v>33</v>
      </c>
      <c r="E67" t="s">
        <v>23</v>
      </c>
      <c r="F67" t="b">
        <v>0</v>
      </c>
      <c r="G67">
        <v>6.34</v>
      </c>
      <c r="H67">
        <v>2.98</v>
      </c>
      <c r="I67">
        <v>14.22</v>
      </c>
      <c r="J67">
        <v>0.85</v>
      </c>
      <c r="K67">
        <v>15.48</v>
      </c>
      <c r="L67">
        <v>0.31</v>
      </c>
      <c r="M67">
        <v>1.91</v>
      </c>
      <c r="N67">
        <v>35.549999999999997</v>
      </c>
      <c r="O67">
        <v>3.03</v>
      </c>
      <c r="P67">
        <v>79.760000000000005</v>
      </c>
    </row>
    <row r="68" spans="1:16" x14ac:dyDescent="0.2">
      <c r="A68" t="s">
        <v>16</v>
      </c>
      <c r="C68" t="b">
        <v>1</v>
      </c>
      <c r="D68" t="s">
        <v>33</v>
      </c>
      <c r="E68" t="s">
        <v>24</v>
      </c>
      <c r="F68" t="b">
        <v>0</v>
      </c>
      <c r="G68">
        <v>1.88</v>
      </c>
      <c r="H68">
        <v>0.88</v>
      </c>
      <c r="I68">
        <v>4.22</v>
      </c>
      <c r="J68">
        <v>0.28999999999999998</v>
      </c>
      <c r="K68">
        <v>18.239999999999998</v>
      </c>
      <c r="L68">
        <v>0.11</v>
      </c>
      <c r="M68">
        <v>0.65</v>
      </c>
      <c r="N68">
        <v>9.19</v>
      </c>
      <c r="O68">
        <v>0.78</v>
      </c>
      <c r="P68">
        <v>20.62</v>
      </c>
    </row>
    <row r="69" spans="1:16" x14ac:dyDescent="0.2">
      <c r="A69" t="s">
        <v>16</v>
      </c>
      <c r="C69" t="b">
        <v>1</v>
      </c>
      <c r="D69" t="s">
        <v>33</v>
      </c>
      <c r="E69" t="s">
        <v>25</v>
      </c>
      <c r="F69" t="b">
        <v>0</v>
      </c>
      <c r="G69">
        <v>12.98</v>
      </c>
      <c r="H69">
        <v>6.1</v>
      </c>
      <c r="I69">
        <v>29.12</v>
      </c>
      <c r="J69">
        <v>1.03</v>
      </c>
      <c r="K69">
        <v>8.6199999999999992</v>
      </c>
      <c r="L69">
        <v>0.28999999999999998</v>
      </c>
      <c r="M69">
        <v>2.31</v>
      </c>
      <c r="N69">
        <v>40.51</v>
      </c>
      <c r="O69">
        <v>3.45</v>
      </c>
      <c r="P69">
        <v>90.89</v>
      </c>
    </row>
    <row r="70" spans="1:16" x14ac:dyDescent="0.2">
      <c r="A70" t="s">
        <v>16</v>
      </c>
      <c r="C70" t="b">
        <v>1</v>
      </c>
      <c r="D70" t="s">
        <v>33</v>
      </c>
      <c r="E70" t="s">
        <v>26</v>
      </c>
      <c r="F70" t="b">
        <v>1</v>
      </c>
      <c r="G70">
        <v>212.68</v>
      </c>
      <c r="H70">
        <v>100</v>
      </c>
      <c r="I70">
        <v>477.19</v>
      </c>
      <c r="J70">
        <v>6.87</v>
      </c>
      <c r="K70">
        <v>3.34</v>
      </c>
      <c r="L70">
        <v>0</v>
      </c>
      <c r="M70">
        <v>15.41</v>
      </c>
      <c r="N70">
        <v>1172.78</v>
      </c>
      <c r="O70">
        <v>100</v>
      </c>
      <c r="P70">
        <v>2631.34</v>
      </c>
    </row>
    <row r="71" spans="1:16" x14ac:dyDescent="0.2">
      <c r="A71" t="s">
        <v>16</v>
      </c>
      <c r="C71" t="b">
        <v>1</v>
      </c>
      <c r="D71" t="s">
        <v>33</v>
      </c>
      <c r="E71" t="s">
        <v>27</v>
      </c>
      <c r="F71" t="b">
        <v>0</v>
      </c>
      <c r="G71">
        <v>19.21</v>
      </c>
      <c r="H71">
        <v>9.0299999999999994</v>
      </c>
      <c r="I71">
        <v>43.1</v>
      </c>
      <c r="J71">
        <v>-0.63</v>
      </c>
      <c r="K71">
        <v>-3.18</v>
      </c>
      <c r="L71">
        <v>-0.61</v>
      </c>
      <c r="M71">
        <v>-1.41</v>
      </c>
      <c r="N71">
        <v>128.99</v>
      </c>
      <c r="O71">
        <v>11</v>
      </c>
      <c r="P71">
        <v>289.41000000000003</v>
      </c>
    </row>
    <row r="72" spans="1:16" x14ac:dyDescent="0.2">
      <c r="A72" t="s">
        <v>16</v>
      </c>
      <c r="C72" t="b">
        <v>1</v>
      </c>
      <c r="D72" t="s">
        <v>34</v>
      </c>
      <c r="E72" t="s">
        <v>18</v>
      </c>
      <c r="F72" t="b">
        <v>0</v>
      </c>
      <c r="G72">
        <v>8.4600000000000009</v>
      </c>
      <c r="H72">
        <v>4.04</v>
      </c>
      <c r="I72">
        <v>18.98</v>
      </c>
      <c r="J72">
        <v>0.46</v>
      </c>
      <c r="K72">
        <v>5.75</v>
      </c>
      <c r="L72">
        <v>7.0000000000000007E-2</v>
      </c>
      <c r="M72">
        <v>1.03</v>
      </c>
      <c r="N72">
        <v>57.81</v>
      </c>
      <c r="O72">
        <v>4.18</v>
      </c>
      <c r="P72">
        <v>129.71</v>
      </c>
    </row>
    <row r="73" spans="1:16" x14ac:dyDescent="0.2">
      <c r="A73" t="s">
        <v>16</v>
      </c>
      <c r="C73" t="b">
        <v>1</v>
      </c>
      <c r="D73" t="s">
        <v>34</v>
      </c>
      <c r="E73" t="s">
        <v>19</v>
      </c>
      <c r="F73" t="b">
        <v>0</v>
      </c>
      <c r="G73">
        <v>42.24</v>
      </c>
      <c r="H73">
        <v>20.2</v>
      </c>
      <c r="I73">
        <v>94.77</v>
      </c>
      <c r="J73">
        <v>-1.51</v>
      </c>
      <c r="K73">
        <v>-3.45</v>
      </c>
      <c r="L73">
        <v>-1.49</v>
      </c>
      <c r="M73">
        <v>-3.39</v>
      </c>
      <c r="N73">
        <v>297.58999999999997</v>
      </c>
      <c r="O73">
        <v>21.53</v>
      </c>
      <c r="P73">
        <v>667.7</v>
      </c>
    </row>
    <row r="74" spans="1:16" x14ac:dyDescent="0.2">
      <c r="A74" t="s">
        <v>16</v>
      </c>
      <c r="C74" t="b">
        <v>1</v>
      </c>
      <c r="D74" t="s">
        <v>34</v>
      </c>
      <c r="E74" t="s">
        <v>20</v>
      </c>
      <c r="F74" t="b">
        <v>0</v>
      </c>
      <c r="G74">
        <v>37.11</v>
      </c>
      <c r="H74">
        <v>17.739999999999998</v>
      </c>
      <c r="I74">
        <v>83.26</v>
      </c>
      <c r="J74">
        <v>7.96</v>
      </c>
      <c r="K74">
        <v>27.31</v>
      </c>
      <c r="L74">
        <v>3.29</v>
      </c>
      <c r="M74">
        <v>17.86</v>
      </c>
      <c r="N74">
        <v>253.05</v>
      </c>
      <c r="O74">
        <v>18.309999999999999</v>
      </c>
      <c r="P74">
        <v>567.76</v>
      </c>
    </row>
    <row r="75" spans="1:16" x14ac:dyDescent="0.2">
      <c r="A75" t="s">
        <v>16</v>
      </c>
      <c r="C75" t="b">
        <v>1</v>
      </c>
      <c r="D75" t="s">
        <v>34</v>
      </c>
      <c r="E75" t="s">
        <v>21</v>
      </c>
      <c r="F75" t="b">
        <v>0</v>
      </c>
      <c r="G75">
        <v>25.86</v>
      </c>
      <c r="H75">
        <v>12.36</v>
      </c>
      <c r="I75">
        <v>58.02</v>
      </c>
      <c r="J75">
        <v>-8.69</v>
      </c>
      <c r="K75">
        <v>-25.15</v>
      </c>
      <c r="L75">
        <v>-4.7699999999999996</v>
      </c>
      <c r="M75">
        <v>-19.5</v>
      </c>
      <c r="N75">
        <v>149.54</v>
      </c>
      <c r="O75">
        <v>10.82</v>
      </c>
      <c r="P75">
        <v>335.52</v>
      </c>
    </row>
    <row r="76" spans="1:16" x14ac:dyDescent="0.2">
      <c r="A76" t="s">
        <v>16</v>
      </c>
      <c r="C76" t="b">
        <v>1</v>
      </c>
      <c r="D76" t="s">
        <v>34</v>
      </c>
      <c r="E76" t="s">
        <v>22</v>
      </c>
      <c r="F76" t="b">
        <v>0</v>
      </c>
      <c r="G76">
        <v>53.39</v>
      </c>
      <c r="H76">
        <v>25.53</v>
      </c>
      <c r="I76">
        <v>119.79</v>
      </c>
      <c r="J76">
        <v>0.04</v>
      </c>
      <c r="K76">
        <v>7.0000000000000007E-2</v>
      </c>
      <c r="L76">
        <v>-0.92</v>
      </c>
      <c r="M76">
        <v>0.09</v>
      </c>
      <c r="N76">
        <v>367.61</v>
      </c>
      <c r="O76">
        <v>26.6</v>
      </c>
      <c r="P76">
        <v>824.8</v>
      </c>
    </row>
    <row r="77" spans="1:16" x14ac:dyDescent="0.2">
      <c r="A77" t="s">
        <v>16</v>
      </c>
      <c r="C77" t="b">
        <v>1</v>
      </c>
      <c r="D77" t="s">
        <v>34</v>
      </c>
      <c r="E77" t="s">
        <v>23</v>
      </c>
      <c r="F77" t="b">
        <v>0</v>
      </c>
      <c r="G77">
        <v>6.11</v>
      </c>
      <c r="H77">
        <v>2.92</v>
      </c>
      <c r="I77">
        <v>13.71</v>
      </c>
      <c r="J77">
        <v>0.95</v>
      </c>
      <c r="K77">
        <v>18.41</v>
      </c>
      <c r="L77">
        <v>0.36</v>
      </c>
      <c r="M77">
        <v>2.13</v>
      </c>
      <c r="N77">
        <v>41.66</v>
      </c>
      <c r="O77">
        <v>3.01</v>
      </c>
      <c r="P77">
        <v>93.47</v>
      </c>
    </row>
    <row r="78" spans="1:16" x14ac:dyDescent="0.2">
      <c r="A78" t="s">
        <v>16</v>
      </c>
      <c r="C78" t="b">
        <v>1</v>
      </c>
      <c r="D78" t="s">
        <v>34</v>
      </c>
      <c r="E78" t="s">
        <v>24</v>
      </c>
      <c r="F78" t="b">
        <v>0</v>
      </c>
      <c r="G78">
        <v>1.74</v>
      </c>
      <c r="H78">
        <v>0.83</v>
      </c>
      <c r="I78">
        <v>3.9</v>
      </c>
      <c r="J78">
        <v>0.25</v>
      </c>
      <c r="K78">
        <v>16.78</v>
      </c>
      <c r="L78">
        <v>0.09</v>
      </c>
      <c r="M78">
        <v>0.56000000000000005</v>
      </c>
      <c r="N78">
        <v>10.93</v>
      </c>
      <c r="O78">
        <v>0.79</v>
      </c>
      <c r="P78">
        <v>24.52</v>
      </c>
    </row>
    <row r="79" spans="1:16" x14ac:dyDescent="0.2">
      <c r="A79" t="s">
        <v>16</v>
      </c>
      <c r="C79" t="b">
        <v>1</v>
      </c>
      <c r="D79" t="s">
        <v>34</v>
      </c>
      <c r="E79" t="s">
        <v>25</v>
      </c>
      <c r="F79" t="b">
        <v>0</v>
      </c>
      <c r="G79">
        <v>13.55</v>
      </c>
      <c r="H79">
        <v>6.48</v>
      </c>
      <c r="I79">
        <v>30.4</v>
      </c>
      <c r="J79">
        <v>1.41</v>
      </c>
      <c r="K79">
        <v>11.61</v>
      </c>
      <c r="L79">
        <v>0.46</v>
      </c>
      <c r="M79">
        <v>3.16</v>
      </c>
      <c r="N79">
        <v>54.06</v>
      </c>
      <c r="O79">
        <v>3.91</v>
      </c>
      <c r="P79">
        <v>121.29</v>
      </c>
    </row>
    <row r="80" spans="1:16" x14ac:dyDescent="0.2">
      <c r="A80" t="s">
        <v>16</v>
      </c>
      <c r="C80" t="b">
        <v>1</v>
      </c>
      <c r="D80" t="s">
        <v>34</v>
      </c>
      <c r="E80" t="s">
        <v>26</v>
      </c>
      <c r="F80" t="b">
        <v>1</v>
      </c>
      <c r="G80">
        <v>209.16</v>
      </c>
      <c r="H80">
        <v>100</v>
      </c>
      <c r="I80">
        <v>469.29</v>
      </c>
      <c r="J80">
        <v>7.43</v>
      </c>
      <c r="K80">
        <v>3.68</v>
      </c>
      <c r="L80">
        <v>0</v>
      </c>
      <c r="M80">
        <v>16.670000000000002</v>
      </c>
      <c r="N80">
        <v>1381.94</v>
      </c>
      <c r="O80">
        <v>100</v>
      </c>
      <c r="P80">
        <v>3100.63</v>
      </c>
    </row>
    <row r="81" spans="1:16" x14ac:dyDescent="0.2">
      <c r="A81" t="s">
        <v>16</v>
      </c>
      <c r="C81" t="b">
        <v>1</v>
      </c>
      <c r="D81" t="s">
        <v>34</v>
      </c>
      <c r="E81" t="s">
        <v>27</v>
      </c>
      <c r="F81" t="b">
        <v>0</v>
      </c>
      <c r="G81">
        <v>20.7</v>
      </c>
      <c r="H81">
        <v>9.9</v>
      </c>
      <c r="I81">
        <v>46.44</v>
      </c>
      <c r="J81">
        <v>6.56</v>
      </c>
      <c r="K81">
        <v>46.39</v>
      </c>
      <c r="L81">
        <v>2.89</v>
      </c>
      <c r="M81">
        <v>14.72</v>
      </c>
      <c r="N81">
        <v>149.69</v>
      </c>
      <c r="O81">
        <v>10.83</v>
      </c>
      <c r="P81">
        <v>335.86</v>
      </c>
    </row>
    <row r="82" spans="1:16" x14ac:dyDescent="0.2">
      <c r="A82" t="s">
        <v>16</v>
      </c>
      <c r="C82" t="b">
        <v>1</v>
      </c>
      <c r="D82" t="s">
        <v>35</v>
      </c>
      <c r="E82" t="s">
        <v>18</v>
      </c>
      <c r="F82" t="b">
        <v>0</v>
      </c>
      <c r="G82">
        <v>8.41</v>
      </c>
      <c r="H82">
        <v>3.89</v>
      </c>
      <c r="I82">
        <v>18.87</v>
      </c>
      <c r="J82">
        <v>0.09</v>
      </c>
      <c r="K82">
        <v>1.08</v>
      </c>
      <c r="L82">
        <v>-0.03</v>
      </c>
      <c r="M82">
        <v>0.2</v>
      </c>
      <c r="N82">
        <v>66.22</v>
      </c>
      <c r="O82">
        <v>4.1399999999999997</v>
      </c>
      <c r="P82">
        <v>148.58000000000001</v>
      </c>
    </row>
    <row r="83" spans="1:16" x14ac:dyDescent="0.2">
      <c r="A83" t="s">
        <v>16</v>
      </c>
      <c r="C83" t="b">
        <v>1</v>
      </c>
      <c r="D83" t="s">
        <v>35</v>
      </c>
      <c r="E83" t="s">
        <v>19</v>
      </c>
      <c r="F83" t="b">
        <v>0</v>
      </c>
      <c r="G83">
        <v>46.03</v>
      </c>
      <c r="H83">
        <v>21.29</v>
      </c>
      <c r="I83">
        <v>103.28</v>
      </c>
      <c r="J83">
        <v>-0.7</v>
      </c>
      <c r="K83">
        <v>-1.5</v>
      </c>
      <c r="L83">
        <v>-0.72</v>
      </c>
      <c r="M83">
        <v>-1.57</v>
      </c>
      <c r="N83">
        <v>343.62</v>
      </c>
      <c r="O83">
        <v>21.5</v>
      </c>
      <c r="P83">
        <v>770.97</v>
      </c>
    </row>
    <row r="84" spans="1:16" x14ac:dyDescent="0.2">
      <c r="A84" t="s">
        <v>16</v>
      </c>
      <c r="C84" t="b">
        <v>1</v>
      </c>
      <c r="D84" t="s">
        <v>35</v>
      </c>
      <c r="E84" t="s">
        <v>20</v>
      </c>
      <c r="F84" t="b">
        <v>0</v>
      </c>
      <c r="G84">
        <v>41.68</v>
      </c>
      <c r="H84">
        <v>19.28</v>
      </c>
      <c r="I84">
        <v>93.52</v>
      </c>
      <c r="J84">
        <v>7.54</v>
      </c>
      <c r="K84">
        <v>22.09</v>
      </c>
      <c r="L84">
        <v>3.2</v>
      </c>
      <c r="M84">
        <v>16.920000000000002</v>
      </c>
      <c r="N84">
        <v>294.73</v>
      </c>
      <c r="O84">
        <v>18.440000000000001</v>
      </c>
      <c r="P84">
        <v>661.28</v>
      </c>
    </row>
    <row r="85" spans="1:16" x14ac:dyDescent="0.2">
      <c r="A85" t="s">
        <v>16</v>
      </c>
      <c r="C85" t="b">
        <v>1</v>
      </c>
      <c r="D85" t="s">
        <v>35</v>
      </c>
      <c r="E85" t="s">
        <v>21</v>
      </c>
      <c r="F85" t="b">
        <v>0</v>
      </c>
      <c r="G85">
        <v>24.72</v>
      </c>
      <c r="H85">
        <v>11.43</v>
      </c>
      <c r="I85">
        <v>55.46</v>
      </c>
      <c r="J85">
        <v>-4.97</v>
      </c>
      <c r="K85">
        <v>-16.739999999999998</v>
      </c>
      <c r="L85">
        <v>-2.5499999999999998</v>
      </c>
      <c r="M85">
        <v>-11.15</v>
      </c>
      <c r="N85">
        <v>174.26</v>
      </c>
      <c r="O85">
        <v>10.9</v>
      </c>
      <c r="P85">
        <v>390.98</v>
      </c>
    </row>
    <row r="86" spans="1:16" x14ac:dyDescent="0.2">
      <c r="A86" t="s">
        <v>16</v>
      </c>
      <c r="C86" t="b">
        <v>1</v>
      </c>
      <c r="D86" t="s">
        <v>35</v>
      </c>
      <c r="E86" t="s">
        <v>22</v>
      </c>
      <c r="F86" t="b">
        <v>0</v>
      </c>
      <c r="G86">
        <v>55.15</v>
      </c>
      <c r="H86">
        <v>25.51</v>
      </c>
      <c r="I86">
        <v>123.74</v>
      </c>
      <c r="J86">
        <v>-2.02</v>
      </c>
      <c r="K86">
        <v>-3.53</v>
      </c>
      <c r="L86">
        <v>-1.41</v>
      </c>
      <c r="M86">
        <v>-4.53</v>
      </c>
      <c r="N86">
        <v>422.76</v>
      </c>
      <c r="O86">
        <v>26.45</v>
      </c>
      <c r="P86">
        <v>948.54</v>
      </c>
    </row>
    <row r="87" spans="1:16" x14ac:dyDescent="0.2">
      <c r="A87" t="s">
        <v>16</v>
      </c>
      <c r="C87" t="b">
        <v>1</v>
      </c>
      <c r="D87" t="s">
        <v>35</v>
      </c>
      <c r="E87" t="s">
        <v>23</v>
      </c>
      <c r="F87" t="b">
        <v>0</v>
      </c>
      <c r="G87">
        <v>6.39</v>
      </c>
      <c r="H87">
        <v>2.96</v>
      </c>
      <c r="I87">
        <v>14.34</v>
      </c>
      <c r="J87">
        <v>0.68</v>
      </c>
      <c r="K87">
        <v>11.91</v>
      </c>
      <c r="L87">
        <v>0.27</v>
      </c>
      <c r="M87">
        <v>1.53</v>
      </c>
      <c r="N87">
        <v>48.05</v>
      </c>
      <c r="O87">
        <v>3.01</v>
      </c>
      <c r="P87">
        <v>107.81</v>
      </c>
    </row>
    <row r="88" spans="1:16" x14ac:dyDescent="0.2">
      <c r="A88" t="s">
        <v>16</v>
      </c>
      <c r="C88" t="b">
        <v>1</v>
      </c>
      <c r="D88" t="s">
        <v>35</v>
      </c>
      <c r="E88" t="s">
        <v>24</v>
      </c>
      <c r="F88" t="b">
        <v>0</v>
      </c>
      <c r="G88">
        <v>1.82</v>
      </c>
      <c r="H88">
        <v>0.84</v>
      </c>
      <c r="I88">
        <v>4.08</v>
      </c>
      <c r="J88">
        <v>0.2</v>
      </c>
      <c r="K88">
        <v>12.35</v>
      </c>
      <c r="L88">
        <v>0.08</v>
      </c>
      <c r="M88">
        <v>0.45</v>
      </c>
      <c r="N88">
        <v>12.75</v>
      </c>
      <c r="O88">
        <v>0.8</v>
      </c>
      <c r="P88">
        <v>28.61</v>
      </c>
    </row>
    <row r="89" spans="1:16" x14ac:dyDescent="0.2">
      <c r="A89" t="s">
        <v>16</v>
      </c>
      <c r="C89" t="b">
        <v>1</v>
      </c>
      <c r="D89" t="s">
        <v>35</v>
      </c>
      <c r="E89" t="s">
        <v>25</v>
      </c>
      <c r="F89" t="b">
        <v>0</v>
      </c>
      <c r="G89">
        <v>13.23</v>
      </c>
      <c r="H89">
        <v>6.12</v>
      </c>
      <c r="I89">
        <v>29.68</v>
      </c>
      <c r="J89">
        <v>0.28000000000000003</v>
      </c>
      <c r="K89">
        <v>2.16</v>
      </c>
      <c r="L89">
        <v>0.02</v>
      </c>
      <c r="M89">
        <v>0.63</v>
      </c>
      <c r="N89">
        <v>67.290000000000006</v>
      </c>
      <c r="O89">
        <v>4.21</v>
      </c>
      <c r="P89">
        <v>150.97999999999999</v>
      </c>
    </row>
    <row r="90" spans="1:16" x14ac:dyDescent="0.2">
      <c r="A90" t="s">
        <v>16</v>
      </c>
      <c r="C90" t="b">
        <v>1</v>
      </c>
      <c r="D90" t="s">
        <v>35</v>
      </c>
      <c r="E90" t="s">
        <v>26</v>
      </c>
      <c r="F90" t="b">
        <v>1</v>
      </c>
      <c r="G90">
        <v>216.19</v>
      </c>
      <c r="H90">
        <v>100</v>
      </c>
      <c r="I90">
        <v>485.06</v>
      </c>
      <c r="J90">
        <v>3.85</v>
      </c>
      <c r="K90">
        <v>1.81</v>
      </c>
      <c r="L90">
        <v>0</v>
      </c>
      <c r="M90">
        <v>8.64</v>
      </c>
      <c r="N90">
        <v>1598.13</v>
      </c>
      <c r="O90">
        <v>100</v>
      </c>
      <c r="P90">
        <v>3585.69</v>
      </c>
    </row>
    <row r="91" spans="1:16" x14ac:dyDescent="0.2">
      <c r="A91" t="s">
        <v>16</v>
      </c>
      <c r="C91" t="b">
        <v>1</v>
      </c>
      <c r="D91" t="s">
        <v>35</v>
      </c>
      <c r="E91" t="s">
        <v>27</v>
      </c>
      <c r="F91" t="b">
        <v>0</v>
      </c>
      <c r="G91">
        <v>18.760000000000002</v>
      </c>
      <c r="H91">
        <v>8.68</v>
      </c>
      <c r="I91">
        <v>42.09</v>
      </c>
      <c r="J91">
        <v>2.75</v>
      </c>
      <c r="K91">
        <v>17.18</v>
      </c>
      <c r="L91">
        <v>1.1399999999999999</v>
      </c>
      <c r="M91">
        <v>6.17</v>
      </c>
      <c r="N91">
        <v>168.45</v>
      </c>
      <c r="O91">
        <v>10.54</v>
      </c>
      <c r="P91">
        <v>377.95</v>
      </c>
    </row>
    <row r="92" spans="1:16" x14ac:dyDescent="0.2">
      <c r="A92" t="s">
        <v>16</v>
      </c>
      <c r="C92" t="b">
        <v>1</v>
      </c>
      <c r="D92" t="s">
        <v>36</v>
      </c>
      <c r="E92" t="s">
        <v>18</v>
      </c>
      <c r="F92" t="b">
        <v>0</v>
      </c>
      <c r="G92">
        <v>8.49</v>
      </c>
      <c r="H92">
        <v>4.04</v>
      </c>
      <c r="I92">
        <v>19.05</v>
      </c>
      <c r="J92">
        <v>0.2</v>
      </c>
      <c r="K92">
        <v>2.41</v>
      </c>
      <c r="L92">
        <v>0.06</v>
      </c>
      <c r="M92">
        <v>0.45</v>
      </c>
      <c r="N92">
        <v>74.709999999999994</v>
      </c>
      <c r="O92">
        <v>4.13</v>
      </c>
      <c r="P92">
        <v>167.63</v>
      </c>
    </row>
    <row r="93" spans="1:16" x14ac:dyDescent="0.2">
      <c r="A93" t="s">
        <v>16</v>
      </c>
      <c r="C93" t="b">
        <v>1</v>
      </c>
      <c r="D93" t="s">
        <v>36</v>
      </c>
      <c r="E93" t="s">
        <v>19</v>
      </c>
      <c r="F93" t="b">
        <v>0</v>
      </c>
      <c r="G93">
        <v>44.39</v>
      </c>
      <c r="H93">
        <v>21.14</v>
      </c>
      <c r="I93">
        <v>99.6</v>
      </c>
      <c r="J93">
        <v>-0.28000000000000003</v>
      </c>
      <c r="K93">
        <v>-0.63</v>
      </c>
      <c r="L93">
        <v>-0.3</v>
      </c>
      <c r="M93">
        <v>-0.63</v>
      </c>
      <c r="N93">
        <v>388.01</v>
      </c>
      <c r="O93">
        <v>21.46</v>
      </c>
      <c r="P93">
        <v>870.57</v>
      </c>
    </row>
    <row r="94" spans="1:16" x14ac:dyDescent="0.2">
      <c r="A94" t="s">
        <v>16</v>
      </c>
      <c r="C94" t="b">
        <v>1</v>
      </c>
      <c r="D94" t="s">
        <v>36</v>
      </c>
      <c r="E94" t="s">
        <v>20</v>
      </c>
      <c r="F94" t="b">
        <v>0</v>
      </c>
      <c r="G94">
        <v>35.94</v>
      </c>
      <c r="H94">
        <v>17.11</v>
      </c>
      <c r="I94">
        <v>80.64</v>
      </c>
      <c r="J94">
        <v>1.48</v>
      </c>
      <c r="K94">
        <v>4.29</v>
      </c>
      <c r="L94">
        <v>0.56999999999999995</v>
      </c>
      <c r="M94">
        <v>3.32</v>
      </c>
      <c r="N94">
        <v>330.67</v>
      </c>
      <c r="O94">
        <v>18.29</v>
      </c>
      <c r="P94">
        <v>741.92</v>
      </c>
    </row>
    <row r="95" spans="1:16" x14ac:dyDescent="0.2">
      <c r="A95" t="s">
        <v>16</v>
      </c>
      <c r="C95" t="b">
        <v>1</v>
      </c>
      <c r="D95" t="s">
        <v>36</v>
      </c>
      <c r="E95" t="s">
        <v>21</v>
      </c>
      <c r="F95" t="b">
        <v>0</v>
      </c>
      <c r="G95">
        <v>24.25</v>
      </c>
      <c r="H95">
        <v>11.55</v>
      </c>
      <c r="I95">
        <v>54.41</v>
      </c>
      <c r="J95">
        <v>-1.78</v>
      </c>
      <c r="K95">
        <v>-6.84</v>
      </c>
      <c r="L95">
        <v>-0.94</v>
      </c>
      <c r="M95">
        <v>-3.99</v>
      </c>
      <c r="N95">
        <v>198.51</v>
      </c>
      <c r="O95">
        <v>10.98</v>
      </c>
      <c r="P95">
        <v>445.39</v>
      </c>
    </row>
    <row r="96" spans="1:16" x14ac:dyDescent="0.2">
      <c r="A96" t="s">
        <v>16</v>
      </c>
      <c r="C96" t="b">
        <v>1</v>
      </c>
      <c r="D96" t="s">
        <v>36</v>
      </c>
      <c r="E96" t="s">
        <v>22</v>
      </c>
      <c r="F96" t="b">
        <v>0</v>
      </c>
      <c r="G96">
        <v>58.02</v>
      </c>
      <c r="H96">
        <v>27.63</v>
      </c>
      <c r="I96">
        <v>130.18</v>
      </c>
      <c r="J96">
        <v>1.4</v>
      </c>
      <c r="K96">
        <v>2.4700000000000002</v>
      </c>
      <c r="L96">
        <v>0.45</v>
      </c>
      <c r="M96">
        <v>3.14</v>
      </c>
      <c r="N96">
        <v>480.78</v>
      </c>
      <c r="O96">
        <v>26.59</v>
      </c>
      <c r="P96">
        <v>1078.72</v>
      </c>
    </row>
    <row r="97" spans="1:16" x14ac:dyDescent="0.2">
      <c r="A97" t="s">
        <v>16</v>
      </c>
      <c r="C97" t="b">
        <v>1</v>
      </c>
      <c r="D97" t="s">
        <v>36</v>
      </c>
      <c r="E97" t="s">
        <v>23</v>
      </c>
      <c r="F97" t="b">
        <v>0</v>
      </c>
      <c r="G97">
        <v>6.38</v>
      </c>
      <c r="H97">
        <v>3.04</v>
      </c>
      <c r="I97">
        <v>14.31</v>
      </c>
      <c r="J97">
        <v>0.22</v>
      </c>
      <c r="K97">
        <v>3.57</v>
      </c>
      <c r="L97">
        <v>0.08</v>
      </c>
      <c r="M97">
        <v>0.49</v>
      </c>
      <c r="N97">
        <v>54.43</v>
      </c>
      <c r="O97">
        <v>3.01</v>
      </c>
      <c r="P97">
        <v>122.12</v>
      </c>
    </row>
    <row r="98" spans="1:16" x14ac:dyDescent="0.2">
      <c r="A98" t="s">
        <v>16</v>
      </c>
      <c r="C98" t="b">
        <v>1</v>
      </c>
      <c r="D98" t="s">
        <v>36</v>
      </c>
      <c r="E98" t="s">
        <v>24</v>
      </c>
      <c r="F98" t="b">
        <v>0</v>
      </c>
      <c r="G98">
        <v>1.74</v>
      </c>
      <c r="H98">
        <v>0.83</v>
      </c>
      <c r="I98">
        <v>3.9</v>
      </c>
      <c r="J98">
        <v>0.05</v>
      </c>
      <c r="K98">
        <v>2.96</v>
      </c>
      <c r="L98">
        <v>0.02</v>
      </c>
      <c r="M98">
        <v>0.11</v>
      </c>
      <c r="N98">
        <v>14.49</v>
      </c>
      <c r="O98">
        <v>0.8</v>
      </c>
      <c r="P98">
        <v>32.51</v>
      </c>
    </row>
    <row r="99" spans="1:16" x14ac:dyDescent="0.2">
      <c r="A99" t="s">
        <v>16</v>
      </c>
      <c r="C99" t="b">
        <v>1</v>
      </c>
      <c r="D99" t="s">
        <v>36</v>
      </c>
      <c r="E99" t="s">
        <v>25</v>
      </c>
      <c r="F99" t="b">
        <v>0</v>
      </c>
      <c r="G99">
        <v>12.4</v>
      </c>
      <c r="H99">
        <v>5.9</v>
      </c>
      <c r="I99">
        <v>27.82</v>
      </c>
      <c r="J99">
        <v>0.01</v>
      </c>
      <c r="K99">
        <v>0.08</v>
      </c>
      <c r="L99">
        <v>-0.05</v>
      </c>
      <c r="M99">
        <v>0.02</v>
      </c>
      <c r="N99">
        <v>79.69</v>
      </c>
      <c r="O99">
        <v>4.41</v>
      </c>
      <c r="P99">
        <v>178.8</v>
      </c>
    </row>
    <row r="100" spans="1:16" x14ac:dyDescent="0.2">
      <c r="A100" t="s">
        <v>16</v>
      </c>
      <c r="C100" t="b">
        <v>1</v>
      </c>
      <c r="D100" t="s">
        <v>36</v>
      </c>
      <c r="E100" t="s">
        <v>26</v>
      </c>
      <c r="F100" t="b">
        <v>1</v>
      </c>
      <c r="G100">
        <v>210</v>
      </c>
      <c r="H100">
        <v>100</v>
      </c>
      <c r="I100">
        <v>471.17</v>
      </c>
      <c r="J100">
        <v>1.67</v>
      </c>
      <c r="K100">
        <v>0.8</v>
      </c>
      <c r="L100">
        <v>0</v>
      </c>
      <c r="M100">
        <v>3.75</v>
      </c>
      <c r="N100">
        <v>1808.13</v>
      </c>
      <c r="O100">
        <v>100</v>
      </c>
      <c r="P100">
        <v>4056.86</v>
      </c>
    </row>
    <row r="101" spans="1:16" x14ac:dyDescent="0.2">
      <c r="A101" t="s">
        <v>16</v>
      </c>
      <c r="C101" t="b">
        <v>1</v>
      </c>
      <c r="D101" t="s">
        <v>36</v>
      </c>
      <c r="E101" t="s">
        <v>27</v>
      </c>
      <c r="F101" t="b">
        <v>0</v>
      </c>
      <c r="G101">
        <v>18.39</v>
      </c>
      <c r="H101">
        <v>8.76</v>
      </c>
      <c r="I101">
        <v>41.26</v>
      </c>
      <c r="J101">
        <v>0.37</v>
      </c>
      <c r="K101">
        <v>2.0499999999999998</v>
      </c>
      <c r="L101">
        <v>0.11</v>
      </c>
      <c r="M101">
        <v>0.83</v>
      </c>
      <c r="N101">
        <v>186.84</v>
      </c>
      <c r="O101">
        <v>10.33</v>
      </c>
      <c r="P101">
        <v>419.21</v>
      </c>
    </row>
    <row r="102" spans="1:16" x14ac:dyDescent="0.2">
      <c r="A102" t="s">
        <v>16</v>
      </c>
      <c r="C102" t="b">
        <v>1</v>
      </c>
      <c r="D102" t="s">
        <v>37</v>
      </c>
      <c r="E102" t="s">
        <v>18</v>
      </c>
      <c r="F102" t="b">
        <v>0</v>
      </c>
      <c r="G102">
        <v>8.56</v>
      </c>
      <c r="H102">
        <v>4.0999999999999996</v>
      </c>
      <c r="I102">
        <v>19.21</v>
      </c>
      <c r="J102">
        <v>0.53</v>
      </c>
      <c r="K102">
        <v>6.6</v>
      </c>
      <c r="L102">
        <v>0.25</v>
      </c>
      <c r="M102">
        <v>1.19</v>
      </c>
      <c r="N102">
        <v>83.27</v>
      </c>
      <c r="O102">
        <v>4.13</v>
      </c>
      <c r="P102">
        <v>186.83</v>
      </c>
    </row>
    <row r="103" spans="1:16" x14ac:dyDescent="0.2">
      <c r="A103" t="s">
        <v>16</v>
      </c>
      <c r="C103" t="b">
        <v>1</v>
      </c>
      <c r="D103" t="s">
        <v>37</v>
      </c>
      <c r="E103" t="s">
        <v>19</v>
      </c>
      <c r="F103" t="b">
        <v>0</v>
      </c>
      <c r="G103">
        <v>46.12</v>
      </c>
      <c r="H103">
        <v>22.09</v>
      </c>
      <c r="I103">
        <v>103.48</v>
      </c>
      <c r="J103">
        <v>-3.7</v>
      </c>
      <c r="K103">
        <v>-7.43</v>
      </c>
      <c r="L103">
        <v>-1.81</v>
      </c>
      <c r="M103">
        <v>-8.3000000000000007</v>
      </c>
      <c r="N103">
        <v>434.13</v>
      </c>
      <c r="O103">
        <v>21.52</v>
      </c>
      <c r="P103">
        <v>974.05</v>
      </c>
    </row>
    <row r="104" spans="1:16" x14ac:dyDescent="0.2">
      <c r="A104" t="s">
        <v>16</v>
      </c>
      <c r="C104" t="b">
        <v>1</v>
      </c>
      <c r="D104" t="s">
        <v>37</v>
      </c>
      <c r="E104" t="s">
        <v>20</v>
      </c>
      <c r="F104" t="b">
        <v>0</v>
      </c>
      <c r="G104">
        <v>36.35</v>
      </c>
      <c r="H104">
        <v>17.41</v>
      </c>
      <c r="I104">
        <v>81.56</v>
      </c>
      <c r="J104">
        <v>-6.25</v>
      </c>
      <c r="K104">
        <v>-14.67</v>
      </c>
      <c r="L104">
        <v>-3.03</v>
      </c>
      <c r="M104">
        <v>-14.02</v>
      </c>
      <c r="N104">
        <v>367.02</v>
      </c>
      <c r="O104">
        <v>18.2</v>
      </c>
      <c r="P104">
        <v>823.47</v>
      </c>
    </row>
    <row r="105" spans="1:16" x14ac:dyDescent="0.2">
      <c r="A105" t="s">
        <v>16</v>
      </c>
      <c r="C105" t="b">
        <v>1</v>
      </c>
      <c r="D105" t="s">
        <v>37</v>
      </c>
      <c r="E105" t="s">
        <v>21</v>
      </c>
      <c r="F105" t="b">
        <v>0</v>
      </c>
      <c r="G105">
        <v>24.51</v>
      </c>
      <c r="H105">
        <v>11.74</v>
      </c>
      <c r="I105">
        <v>54.99</v>
      </c>
      <c r="J105">
        <v>2.52</v>
      </c>
      <c r="K105">
        <v>11.46</v>
      </c>
      <c r="L105">
        <v>1.19</v>
      </c>
      <c r="M105">
        <v>5.65</v>
      </c>
      <c r="N105">
        <v>223.02</v>
      </c>
      <c r="O105">
        <v>11.06</v>
      </c>
      <c r="P105">
        <v>500.39</v>
      </c>
    </row>
    <row r="106" spans="1:16" x14ac:dyDescent="0.2">
      <c r="A106" t="s">
        <v>16</v>
      </c>
      <c r="C106" t="b">
        <v>1</v>
      </c>
      <c r="D106" t="s">
        <v>37</v>
      </c>
      <c r="E106" t="s">
        <v>22</v>
      </c>
      <c r="F106" t="b">
        <v>0</v>
      </c>
      <c r="G106">
        <v>56.63</v>
      </c>
      <c r="H106">
        <v>27.13</v>
      </c>
      <c r="I106">
        <v>127.06</v>
      </c>
      <c r="J106">
        <v>2.06</v>
      </c>
      <c r="K106">
        <v>3.77</v>
      </c>
      <c r="L106">
        <v>0.95</v>
      </c>
      <c r="M106">
        <v>4.62</v>
      </c>
      <c r="N106">
        <v>537.41</v>
      </c>
      <c r="O106">
        <v>26.65</v>
      </c>
      <c r="P106">
        <v>1205.77</v>
      </c>
    </row>
    <row r="107" spans="1:16" x14ac:dyDescent="0.2">
      <c r="A107" t="s">
        <v>16</v>
      </c>
      <c r="C107" t="b">
        <v>1</v>
      </c>
      <c r="D107" t="s">
        <v>37</v>
      </c>
      <c r="E107" t="s">
        <v>23</v>
      </c>
      <c r="F107" t="b">
        <v>0</v>
      </c>
      <c r="G107">
        <v>5.86</v>
      </c>
      <c r="H107">
        <v>2.81</v>
      </c>
      <c r="I107">
        <v>13.15</v>
      </c>
      <c r="J107">
        <v>0.09</v>
      </c>
      <c r="K107">
        <v>1.56</v>
      </c>
      <c r="L107">
        <v>0.04</v>
      </c>
      <c r="M107">
        <v>0.2</v>
      </c>
      <c r="N107">
        <v>60.29</v>
      </c>
      <c r="O107">
        <v>2.99</v>
      </c>
      <c r="P107">
        <v>135.27000000000001</v>
      </c>
    </row>
    <row r="108" spans="1:16" x14ac:dyDescent="0.2">
      <c r="A108" t="s">
        <v>16</v>
      </c>
      <c r="C108" t="b">
        <v>1</v>
      </c>
      <c r="D108" t="s">
        <v>37</v>
      </c>
      <c r="E108" t="s">
        <v>24</v>
      </c>
      <c r="F108" t="b">
        <v>0</v>
      </c>
      <c r="G108">
        <v>1.71</v>
      </c>
      <c r="H108">
        <v>0.82</v>
      </c>
      <c r="I108">
        <v>3.84</v>
      </c>
      <c r="J108">
        <v>0.3</v>
      </c>
      <c r="K108">
        <v>21.28</v>
      </c>
      <c r="L108">
        <v>0.14000000000000001</v>
      </c>
      <c r="M108">
        <v>0.67</v>
      </c>
      <c r="N108">
        <v>16.2</v>
      </c>
      <c r="O108">
        <v>0.8</v>
      </c>
      <c r="P108">
        <v>36.35</v>
      </c>
    </row>
    <row r="109" spans="1:16" x14ac:dyDescent="0.2">
      <c r="A109" t="s">
        <v>16</v>
      </c>
      <c r="C109" t="b">
        <v>1</v>
      </c>
      <c r="D109" t="s">
        <v>37</v>
      </c>
      <c r="E109" t="s">
        <v>25</v>
      </c>
      <c r="F109" t="b">
        <v>0</v>
      </c>
      <c r="G109">
        <v>9.1</v>
      </c>
      <c r="H109">
        <v>4.3600000000000003</v>
      </c>
      <c r="I109">
        <v>20.420000000000002</v>
      </c>
      <c r="J109">
        <v>-0.78</v>
      </c>
      <c r="K109">
        <v>-7.89</v>
      </c>
      <c r="L109">
        <v>-0.38</v>
      </c>
      <c r="M109">
        <v>-1.75</v>
      </c>
      <c r="N109">
        <v>88.79</v>
      </c>
      <c r="O109">
        <v>4.4000000000000004</v>
      </c>
      <c r="P109">
        <v>199.22</v>
      </c>
    </row>
    <row r="110" spans="1:16" x14ac:dyDescent="0.2">
      <c r="A110" t="s">
        <v>16</v>
      </c>
      <c r="C110" t="b">
        <v>1</v>
      </c>
      <c r="D110" t="s">
        <v>37</v>
      </c>
      <c r="E110" t="s">
        <v>26</v>
      </c>
      <c r="F110" t="b">
        <v>1</v>
      </c>
      <c r="G110">
        <v>208.74</v>
      </c>
      <c r="H110">
        <v>100</v>
      </c>
      <c r="I110">
        <v>468.35</v>
      </c>
      <c r="J110">
        <v>0.28000000000000003</v>
      </c>
      <c r="K110">
        <v>0.13</v>
      </c>
      <c r="L110">
        <v>0</v>
      </c>
      <c r="M110">
        <v>0.63</v>
      </c>
      <c r="N110">
        <v>2016.87</v>
      </c>
      <c r="O110">
        <v>100</v>
      </c>
      <c r="P110">
        <v>4525.21</v>
      </c>
    </row>
    <row r="111" spans="1:16" x14ac:dyDescent="0.2">
      <c r="A111" t="s">
        <v>16</v>
      </c>
      <c r="C111" t="b">
        <v>1</v>
      </c>
      <c r="D111" t="s">
        <v>37</v>
      </c>
      <c r="E111" t="s">
        <v>27</v>
      </c>
      <c r="F111" t="b">
        <v>0</v>
      </c>
      <c r="G111">
        <v>19.899999999999999</v>
      </c>
      <c r="H111">
        <v>9.5299999999999994</v>
      </c>
      <c r="I111">
        <v>44.65</v>
      </c>
      <c r="J111">
        <v>5.51</v>
      </c>
      <c r="K111">
        <v>38.29</v>
      </c>
      <c r="L111">
        <v>2.63</v>
      </c>
      <c r="M111">
        <v>12.36</v>
      </c>
      <c r="N111">
        <v>206.74</v>
      </c>
      <c r="O111">
        <v>10.25</v>
      </c>
      <c r="P111">
        <v>463.86</v>
      </c>
    </row>
    <row r="112" spans="1:16" x14ac:dyDescent="0.2">
      <c r="A112" t="s">
        <v>16</v>
      </c>
      <c r="C112" t="b">
        <v>1</v>
      </c>
      <c r="D112" t="s">
        <v>38</v>
      </c>
      <c r="E112" t="s">
        <v>18</v>
      </c>
      <c r="F112" t="b">
        <v>0</v>
      </c>
      <c r="G112">
        <v>9.42</v>
      </c>
      <c r="H112">
        <v>4.22</v>
      </c>
      <c r="I112">
        <v>21.14</v>
      </c>
      <c r="J112">
        <v>0.65</v>
      </c>
      <c r="K112">
        <v>7.41</v>
      </c>
      <c r="L112">
        <v>0.3</v>
      </c>
      <c r="M112">
        <v>1.46</v>
      </c>
      <c r="N112">
        <v>92.69</v>
      </c>
      <c r="O112">
        <v>4.1399999999999997</v>
      </c>
      <c r="P112">
        <v>207.97</v>
      </c>
    </row>
    <row r="113" spans="1:16" x14ac:dyDescent="0.2">
      <c r="A113" t="s">
        <v>16</v>
      </c>
      <c r="C113" t="b">
        <v>1</v>
      </c>
      <c r="D113" t="s">
        <v>38</v>
      </c>
      <c r="E113" t="s">
        <v>19</v>
      </c>
      <c r="F113" t="b">
        <v>0</v>
      </c>
      <c r="G113">
        <v>48.68</v>
      </c>
      <c r="H113">
        <v>21.8</v>
      </c>
      <c r="I113">
        <v>109.22</v>
      </c>
      <c r="J113">
        <v>-7.25</v>
      </c>
      <c r="K113">
        <v>-12.96</v>
      </c>
      <c r="L113">
        <v>-3.21</v>
      </c>
      <c r="M113">
        <v>-16.27</v>
      </c>
      <c r="N113">
        <v>482.81</v>
      </c>
      <c r="O113">
        <v>21.55</v>
      </c>
      <c r="P113">
        <v>1083.27</v>
      </c>
    </row>
    <row r="114" spans="1:16" x14ac:dyDescent="0.2">
      <c r="A114" t="s">
        <v>16</v>
      </c>
      <c r="C114" t="b">
        <v>1</v>
      </c>
      <c r="D114" t="s">
        <v>38</v>
      </c>
      <c r="E114" t="s">
        <v>20</v>
      </c>
      <c r="F114" t="b">
        <v>0</v>
      </c>
      <c r="G114">
        <v>42.22</v>
      </c>
      <c r="H114">
        <v>18.91</v>
      </c>
      <c r="I114">
        <v>94.73</v>
      </c>
      <c r="J114">
        <v>-6.37</v>
      </c>
      <c r="K114">
        <v>-13.11</v>
      </c>
      <c r="L114">
        <v>-2.82</v>
      </c>
      <c r="M114">
        <v>-14.29</v>
      </c>
      <c r="N114">
        <v>409.24</v>
      </c>
      <c r="O114">
        <v>18.27</v>
      </c>
      <c r="P114">
        <v>918.2</v>
      </c>
    </row>
    <row r="115" spans="1:16" x14ac:dyDescent="0.2">
      <c r="A115" t="s">
        <v>16</v>
      </c>
      <c r="C115" t="b">
        <v>1</v>
      </c>
      <c r="D115" t="s">
        <v>38</v>
      </c>
      <c r="E115" t="s">
        <v>21</v>
      </c>
      <c r="F115" t="b">
        <v>0</v>
      </c>
      <c r="G115">
        <v>20.57</v>
      </c>
      <c r="H115">
        <v>9.2100000000000009</v>
      </c>
      <c r="I115">
        <v>46.15</v>
      </c>
      <c r="J115">
        <v>-0.69</v>
      </c>
      <c r="K115">
        <v>-3.25</v>
      </c>
      <c r="L115">
        <v>-0.3</v>
      </c>
      <c r="M115">
        <v>-1.55</v>
      </c>
      <c r="N115">
        <v>243.59</v>
      </c>
      <c r="O115">
        <v>10.87</v>
      </c>
      <c r="P115">
        <v>546.54</v>
      </c>
    </row>
    <row r="116" spans="1:16" x14ac:dyDescent="0.2">
      <c r="A116" t="s">
        <v>16</v>
      </c>
      <c r="C116" t="b">
        <v>1</v>
      </c>
      <c r="D116" t="s">
        <v>38</v>
      </c>
      <c r="E116" t="s">
        <v>22</v>
      </c>
      <c r="F116" t="b">
        <v>0</v>
      </c>
      <c r="G116">
        <v>56.55</v>
      </c>
      <c r="H116">
        <v>25.33</v>
      </c>
      <c r="I116">
        <v>126.88</v>
      </c>
      <c r="J116">
        <v>-0.25</v>
      </c>
      <c r="K116">
        <v>-0.44</v>
      </c>
      <c r="L116">
        <v>-7.0000000000000007E-2</v>
      </c>
      <c r="M116">
        <v>-0.56000000000000005</v>
      </c>
      <c r="N116">
        <v>593.96</v>
      </c>
      <c r="O116">
        <v>26.51</v>
      </c>
      <c r="P116">
        <v>1332.65</v>
      </c>
    </row>
    <row r="117" spans="1:16" x14ac:dyDescent="0.2">
      <c r="A117" t="s">
        <v>16</v>
      </c>
      <c r="C117" t="b">
        <v>1</v>
      </c>
      <c r="D117" t="s">
        <v>38</v>
      </c>
      <c r="E117" t="s">
        <v>23</v>
      </c>
      <c r="F117" t="b">
        <v>0</v>
      </c>
      <c r="G117">
        <v>6.24</v>
      </c>
      <c r="H117">
        <v>2.79</v>
      </c>
      <c r="I117">
        <v>14</v>
      </c>
      <c r="J117">
        <v>-0.03</v>
      </c>
      <c r="K117">
        <v>-0.48</v>
      </c>
      <c r="L117">
        <v>-0.01</v>
      </c>
      <c r="M117">
        <v>-7.0000000000000007E-2</v>
      </c>
      <c r="N117">
        <v>66.53</v>
      </c>
      <c r="O117">
        <v>2.97</v>
      </c>
      <c r="P117">
        <v>149.27000000000001</v>
      </c>
    </row>
    <row r="118" spans="1:16" x14ac:dyDescent="0.2">
      <c r="A118" t="s">
        <v>16</v>
      </c>
      <c r="C118" t="b">
        <v>1</v>
      </c>
      <c r="D118" t="s">
        <v>38</v>
      </c>
      <c r="E118" t="s">
        <v>24</v>
      </c>
      <c r="F118" t="b">
        <v>0</v>
      </c>
      <c r="G118">
        <v>1.68</v>
      </c>
      <c r="H118">
        <v>0.75</v>
      </c>
      <c r="I118">
        <v>3.77</v>
      </c>
      <c r="J118">
        <v>-0.05</v>
      </c>
      <c r="K118">
        <v>-2.89</v>
      </c>
      <c r="L118">
        <v>-0.02</v>
      </c>
      <c r="M118">
        <v>-0.11</v>
      </c>
      <c r="N118">
        <v>17.88</v>
      </c>
      <c r="O118">
        <v>0.8</v>
      </c>
      <c r="P118">
        <v>40.119999999999997</v>
      </c>
    </row>
    <row r="119" spans="1:16" x14ac:dyDescent="0.2">
      <c r="A119" t="s">
        <v>16</v>
      </c>
      <c r="C119" t="b">
        <v>1</v>
      </c>
      <c r="D119" t="s">
        <v>38</v>
      </c>
      <c r="E119" t="s">
        <v>25</v>
      </c>
      <c r="F119" t="b">
        <v>0</v>
      </c>
      <c r="G119">
        <v>7.03</v>
      </c>
      <c r="H119">
        <v>3.15</v>
      </c>
      <c r="I119">
        <v>15.77</v>
      </c>
      <c r="J119">
        <v>1.49</v>
      </c>
      <c r="K119">
        <v>26.9</v>
      </c>
      <c r="L119">
        <v>0.67</v>
      </c>
      <c r="M119">
        <v>3.34</v>
      </c>
      <c r="N119">
        <v>95.82</v>
      </c>
      <c r="O119">
        <v>4.28</v>
      </c>
      <c r="P119">
        <v>214.99</v>
      </c>
    </row>
    <row r="120" spans="1:16" x14ac:dyDescent="0.2">
      <c r="A120" t="s">
        <v>16</v>
      </c>
      <c r="C120" t="b">
        <v>1</v>
      </c>
      <c r="D120" t="s">
        <v>38</v>
      </c>
      <c r="E120" t="s">
        <v>26</v>
      </c>
      <c r="F120" t="b">
        <v>1</v>
      </c>
      <c r="G120">
        <v>223.26</v>
      </c>
      <c r="H120">
        <v>100</v>
      </c>
      <c r="I120">
        <v>500.92</v>
      </c>
      <c r="J120">
        <v>-0.39</v>
      </c>
      <c r="K120">
        <v>-0.17</v>
      </c>
      <c r="L120">
        <v>0</v>
      </c>
      <c r="M120">
        <v>-0.88</v>
      </c>
      <c r="N120">
        <v>2240.13</v>
      </c>
      <c r="O120">
        <v>100</v>
      </c>
      <c r="P120">
        <v>5026.13</v>
      </c>
    </row>
    <row r="121" spans="1:16" x14ac:dyDescent="0.2">
      <c r="A121" t="s">
        <v>16</v>
      </c>
      <c r="C121" t="b">
        <v>1</v>
      </c>
      <c r="D121" t="s">
        <v>38</v>
      </c>
      <c r="E121" t="s">
        <v>27</v>
      </c>
      <c r="F121" t="b">
        <v>0</v>
      </c>
      <c r="G121">
        <v>30.87</v>
      </c>
      <c r="H121">
        <v>13.83</v>
      </c>
      <c r="I121">
        <v>69.260000000000005</v>
      </c>
      <c r="J121">
        <v>12.11</v>
      </c>
      <c r="K121">
        <v>64.55</v>
      </c>
      <c r="L121">
        <v>5.44</v>
      </c>
      <c r="M121">
        <v>27.17</v>
      </c>
      <c r="N121">
        <v>237.61</v>
      </c>
      <c r="O121">
        <v>10.61</v>
      </c>
      <c r="P121">
        <v>533.12</v>
      </c>
    </row>
    <row r="122" spans="1:16" x14ac:dyDescent="0.2">
      <c r="A122" t="s">
        <v>16</v>
      </c>
      <c r="C122" t="b">
        <v>1</v>
      </c>
      <c r="D122" t="s">
        <v>39</v>
      </c>
      <c r="E122" t="s">
        <v>18</v>
      </c>
      <c r="F122" t="b">
        <v>0</v>
      </c>
      <c r="G122">
        <v>9.94</v>
      </c>
      <c r="H122">
        <v>4.1500000000000004</v>
      </c>
      <c r="I122">
        <v>22.3</v>
      </c>
      <c r="J122">
        <v>0.97</v>
      </c>
      <c r="K122">
        <v>10.81</v>
      </c>
      <c r="L122">
        <v>0.38</v>
      </c>
      <c r="M122">
        <v>2.1800000000000002</v>
      </c>
      <c r="N122">
        <v>102.63</v>
      </c>
      <c r="O122">
        <v>4.1399999999999997</v>
      </c>
      <c r="P122">
        <v>230.27</v>
      </c>
    </row>
    <row r="123" spans="1:16" x14ac:dyDescent="0.2">
      <c r="A123" t="s">
        <v>16</v>
      </c>
      <c r="C123" t="b">
        <v>1</v>
      </c>
      <c r="D123" t="s">
        <v>39</v>
      </c>
      <c r="E123" t="s">
        <v>19</v>
      </c>
      <c r="F123" t="b">
        <v>0</v>
      </c>
      <c r="G123">
        <v>54.84</v>
      </c>
      <c r="H123">
        <v>22.92</v>
      </c>
      <c r="I123">
        <v>123.04</v>
      </c>
      <c r="J123">
        <v>-2.56</v>
      </c>
      <c r="K123">
        <v>-4.46</v>
      </c>
      <c r="L123">
        <v>-1.19</v>
      </c>
      <c r="M123">
        <v>-5.74</v>
      </c>
      <c r="N123">
        <v>537.65</v>
      </c>
      <c r="O123">
        <v>21.68</v>
      </c>
      <c r="P123">
        <v>1206.31</v>
      </c>
    </row>
    <row r="124" spans="1:16" x14ac:dyDescent="0.2">
      <c r="A124" t="s">
        <v>16</v>
      </c>
      <c r="C124" t="b">
        <v>1</v>
      </c>
      <c r="D124" t="s">
        <v>39</v>
      </c>
      <c r="E124" t="s">
        <v>20</v>
      </c>
      <c r="F124" t="b">
        <v>0</v>
      </c>
      <c r="G124">
        <v>52.02</v>
      </c>
      <c r="H124">
        <v>21.74</v>
      </c>
      <c r="I124">
        <v>116.72</v>
      </c>
      <c r="J124">
        <v>0.63</v>
      </c>
      <c r="K124">
        <v>1.23</v>
      </c>
      <c r="L124">
        <v>0.15</v>
      </c>
      <c r="M124">
        <v>1.41</v>
      </c>
      <c r="N124">
        <v>461.26</v>
      </c>
      <c r="O124">
        <v>18.600000000000001</v>
      </c>
      <c r="P124">
        <v>1034.92</v>
      </c>
    </row>
    <row r="125" spans="1:16" x14ac:dyDescent="0.2">
      <c r="A125" t="s">
        <v>16</v>
      </c>
      <c r="C125" t="b">
        <v>1</v>
      </c>
      <c r="D125" t="s">
        <v>39</v>
      </c>
      <c r="E125" t="s">
        <v>21</v>
      </c>
      <c r="F125" t="b">
        <v>0</v>
      </c>
      <c r="G125">
        <v>22.4</v>
      </c>
      <c r="H125">
        <v>9.36</v>
      </c>
      <c r="I125">
        <v>50.26</v>
      </c>
      <c r="J125">
        <v>-0.97</v>
      </c>
      <c r="K125">
        <v>-4.1500000000000004</v>
      </c>
      <c r="L125">
        <v>-0.46</v>
      </c>
      <c r="M125">
        <v>-2.1800000000000002</v>
      </c>
      <c r="N125">
        <v>265.99</v>
      </c>
      <c r="O125">
        <v>10.73</v>
      </c>
      <c r="P125">
        <v>596.79999999999995</v>
      </c>
    </row>
    <row r="126" spans="1:16" x14ac:dyDescent="0.2">
      <c r="A126" t="s">
        <v>16</v>
      </c>
      <c r="C126" t="b">
        <v>1</v>
      </c>
      <c r="D126" t="s">
        <v>39</v>
      </c>
      <c r="E126" t="s">
        <v>22</v>
      </c>
      <c r="F126" t="b">
        <v>0</v>
      </c>
      <c r="G126">
        <v>59.89</v>
      </c>
      <c r="H126">
        <v>25.03</v>
      </c>
      <c r="I126">
        <v>134.37</v>
      </c>
      <c r="J126">
        <v>0.65</v>
      </c>
      <c r="K126">
        <v>1.1000000000000001</v>
      </c>
      <c r="L126">
        <v>0.14000000000000001</v>
      </c>
      <c r="M126">
        <v>1.46</v>
      </c>
      <c r="N126">
        <v>653.85</v>
      </c>
      <c r="O126">
        <v>26.37</v>
      </c>
      <c r="P126">
        <v>1467.03</v>
      </c>
    </row>
    <row r="127" spans="1:16" x14ac:dyDescent="0.2">
      <c r="A127" t="s">
        <v>16</v>
      </c>
      <c r="C127" t="b">
        <v>1</v>
      </c>
      <c r="D127" t="s">
        <v>39</v>
      </c>
      <c r="E127" t="s">
        <v>23</v>
      </c>
      <c r="F127" t="b">
        <v>0</v>
      </c>
      <c r="G127">
        <v>6.61</v>
      </c>
      <c r="H127">
        <v>2.76</v>
      </c>
      <c r="I127">
        <v>14.83</v>
      </c>
      <c r="J127">
        <v>-0.01</v>
      </c>
      <c r="K127">
        <v>-0.15</v>
      </c>
      <c r="L127">
        <v>-0.02</v>
      </c>
      <c r="M127">
        <v>-0.02</v>
      </c>
      <c r="N127">
        <v>73.14</v>
      </c>
      <c r="O127">
        <v>2.95</v>
      </c>
      <c r="P127">
        <v>164.1</v>
      </c>
    </row>
    <row r="128" spans="1:16" x14ac:dyDescent="0.2">
      <c r="A128" t="s">
        <v>16</v>
      </c>
      <c r="C128" t="b">
        <v>1</v>
      </c>
      <c r="D128" t="s">
        <v>39</v>
      </c>
      <c r="E128" t="s">
        <v>24</v>
      </c>
      <c r="F128" t="b">
        <v>0</v>
      </c>
      <c r="G128">
        <v>1.77</v>
      </c>
      <c r="H128">
        <v>0.74</v>
      </c>
      <c r="I128">
        <v>3.97</v>
      </c>
      <c r="J128">
        <v>0.14000000000000001</v>
      </c>
      <c r="K128">
        <v>8.59</v>
      </c>
      <c r="L128">
        <v>0.06</v>
      </c>
      <c r="M128">
        <v>0.31</v>
      </c>
      <c r="N128">
        <v>19.649999999999999</v>
      </c>
      <c r="O128">
        <v>0.79</v>
      </c>
      <c r="P128">
        <v>44.09</v>
      </c>
    </row>
    <row r="129" spans="1:16" x14ac:dyDescent="0.2">
      <c r="A129" t="s">
        <v>16</v>
      </c>
      <c r="C129" t="b">
        <v>1</v>
      </c>
      <c r="D129" t="s">
        <v>39</v>
      </c>
      <c r="E129" t="s">
        <v>25</v>
      </c>
      <c r="F129" t="b">
        <v>0</v>
      </c>
      <c r="G129">
        <v>3.69</v>
      </c>
      <c r="H129">
        <v>1.54</v>
      </c>
      <c r="I129">
        <v>8.2799999999999994</v>
      </c>
      <c r="J129">
        <v>0.19</v>
      </c>
      <c r="K129">
        <v>5.43</v>
      </c>
      <c r="L129">
        <v>7.0000000000000007E-2</v>
      </c>
      <c r="M129">
        <v>0.43</v>
      </c>
      <c r="N129">
        <v>99.51</v>
      </c>
      <c r="O129">
        <v>4.01</v>
      </c>
      <c r="P129">
        <v>223.27</v>
      </c>
    </row>
    <row r="130" spans="1:16" x14ac:dyDescent="0.2">
      <c r="A130" t="s">
        <v>16</v>
      </c>
      <c r="C130" t="b">
        <v>1</v>
      </c>
      <c r="D130" t="s">
        <v>39</v>
      </c>
      <c r="E130" t="s">
        <v>26</v>
      </c>
      <c r="F130" t="b">
        <v>1</v>
      </c>
      <c r="G130">
        <v>239.3</v>
      </c>
      <c r="H130">
        <v>100</v>
      </c>
      <c r="I130">
        <v>536.91</v>
      </c>
      <c r="J130">
        <v>1.26</v>
      </c>
      <c r="K130">
        <v>0.53</v>
      </c>
      <c r="L130">
        <v>0</v>
      </c>
      <c r="M130">
        <v>2.83</v>
      </c>
      <c r="N130">
        <v>2479.4299999999998</v>
      </c>
      <c r="O130">
        <v>100</v>
      </c>
      <c r="P130">
        <v>5563.04</v>
      </c>
    </row>
    <row r="131" spans="1:16" x14ac:dyDescent="0.2">
      <c r="A131" t="s">
        <v>16</v>
      </c>
      <c r="C131" t="b">
        <v>1</v>
      </c>
      <c r="D131" t="s">
        <v>39</v>
      </c>
      <c r="E131" t="s">
        <v>27</v>
      </c>
      <c r="F131" t="b">
        <v>0</v>
      </c>
      <c r="G131">
        <v>28.14</v>
      </c>
      <c r="H131">
        <v>11.76</v>
      </c>
      <c r="I131">
        <v>63.14</v>
      </c>
      <c r="J131">
        <v>2.2200000000000002</v>
      </c>
      <c r="K131">
        <v>8.56</v>
      </c>
      <c r="L131">
        <v>0.87</v>
      </c>
      <c r="M131">
        <v>4.9800000000000004</v>
      </c>
      <c r="N131">
        <v>265.75</v>
      </c>
      <c r="O131">
        <v>10.72</v>
      </c>
      <c r="P131">
        <v>596.26</v>
      </c>
    </row>
    <row r="132" spans="1:16" x14ac:dyDescent="0.2">
      <c r="A132" t="s">
        <v>16</v>
      </c>
      <c r="C132" t="b">
        <v>1</v>
      </c>
      <c r="D132" t="s">
        <v>40</v>
      </c>
      <c r="E132" t="s">
        <v>18</v>
      </c>
      <c r="F132" t="b">
        <v>0</v>
      </c>
      <c r="G132">
        <v>10.3</v>
      </c>
      <c r="H132">
        <v>4.0599999999999996</v>
      </c>
      <c r="I132">
        <v>23.11</v>
      </c>
      <c r="J132">
        <v>0.83</v>
      </c>
      <c r="K132">
        <v>8.76</v>
      </c>
      <c r="L132">
        <v>0.32</v>
      </c>
      <c r="M132">
        <v>1.86</v>
      </c>
      <c r="N132">
        <v>112.93</v>
      </c>
      <c r="O132">
        <v>4.13</v>
      </c>
      <c r="P132">
        <v>253.38</v>
      </c>
    </row>
    <row r="133" spans="1:16" x14ac:dyDescent="0.2">
      <c r="A133" t="s">
        <v>16</v>
      </c>
      <c r="C133" t="b">
        <v>1</v>
      </c>
      <c r="D133" t="s">
        <v>40</v>
      </c>
      <c r="E133" t="s">
        <v>19</v>
      </c>
      <c r="F133" t="b">
        <v>0</v>
      </c>
      <c r="G133">
        <v>50.58</v>
      </c>
      <c r="H133">
        <v>19.920000000000002</v>
      </c>
      <c r="I133">
        <v>113.49</v>
      </c>
      <c r="J133">
        <v>-8.49</v>
      </c>
      <c r="K133">
        <v>-14.37</v>
      </c>
      <c r="L133">
        <v>-3.4</v>
      </c>
      <c r="M133">
        <v>-19.05</v>
      </c>
      <c r="N133">
        <v>588.23</v>
      </c>
      <c r="O133">
        <v>21.52</v>
      </c>
      <c r="P133">
        <v>1319.8</v>
      </c>
    </row>
    <row r="134" spans="1:16" x14ac:dyDescent="0.2">
      <c r="A134" t="s">
        <v>16</v>
      </c>
      <c r="C134" t="b">
        <v>1</v>
      </c>
      <c r="D134" t="s">
        <v>40</v>
      </c>
      <c r="E134" t="s">
        <v>20</v>
      </c>
      <c r="F134" t="b">
        <v>0</v>
      </c>
      <c r="G134">
        <v>47.03</v>
      </c>
      <c r="H134">
        <v>18.52</v>
      </c>
      <c r="I134">
        <v>105.52</v>
      </c>
      <c r="J134">
        <v>-9.5399999999999991</v>
      </c>
      <c r="K134">
        <v>-16.86</v>
      </c>
      <c r="L134">
        <v>-3.81</v>
      </c>
      <c r="M134">
        <v>-21.4</v>
      </c>
      <c r="N134">
        <v>508.29</v>
      </c>
      <c r="O134">
        <v>18.600000000000001</v>
      </c>
      <c r="P134">
        <v>1140.44</v>
      </c>
    </row>
    <row r="135" spans="1:16" x14ac:dyDescent="0.2">
      <c r="A135" t="s">
        <v>16</v>
      </c>
      <c r="C135" t="b">
        <v>1</v>
      </c>
      <c r="D135" t="s">
        <v>40</v>
      </c>
      <c r="E135" t="s">
        <v>21</v>
      </c>
      <c r="F135" t="b">
        <v>0</v>
      </c>
      <c r="G135">
        <v>24.92</v>
      </c>
      <c r="H135">
        <v>9.81</v>
      </c>
      <c r="I135">
        <v>55.91</v>
      </c>
      <c r="J135">
        <v>1.97</v>
      </c>
      <c r="K135">
        <v>8.58</v>
      </c>
      <c r="L135">
        <v>0.75</v>
      </c>
      <c r="M135">
        <v>4.42</v>
      </c>
      <c r="N135">
        <v>290.91000000000003</v>
      </c>
      <c r="O135">
        <v>10.64</v>
      </c>
      <c r="P135">
        <v>652.71</v>
      </c>
    </row>
    <row r="136" spans="1:16" x14ac:dyDescent="0.2">
      <c r="A136" t="s">
        <v>16</v>
      </c>
      <c r="C136" t="b">
        <v>1</v>
      </c>
      <c r="D136" t="s">
        <v>40</v>
      </c>
      <c r="E136" t="s">
        <v>22</v>
      </c>
      <c r="F136" t="b">
        <v>0</v>
      </c>
      <c r="G136">
        <v>70.27</v>
      </c>
      <c r="H136">
        <v>27.67</v>
      </c>
      <c r="I136">
        <v>157.66</v>
      </c>
      <c r="J136">
        <v>3.33</v>
      </c>
      <c r="K136">
        <v>4.97</v>
      </c>
      <c r="L136">
        <v>1.24</v>
      </c>
      <c r="M136">
        <v>7.47</v>
      </c>
      <c r="N136">
        <v>724.12</v>
      </c>
      <c r="O136">
        <v>26.49</v>
      </c>
      <c r="P136">
        <v>1624.69</v>
      </c>
    </row>
    <row r="137" spans="1:16" x14ac:dyDescent="0.2">
      <c r="A137" t="s">
        <v>16</v>
      </c>
      <c r="C137" t="b">
        <v>1</v>
      </c>
      <c r="D137" t="s">
        <v>40</v>
      </c>
      <c r="E137" t="s">
        <v>23</v>
      </c>
      <c r="F137" t="b">
        <v>0</v>
      </c>
      <c r="G137">
        <v>6.8</v>
      </c>
      <c r="H137">
        <v>2.68</v>
      </c>
      <c r="I137">
        <v>15.26</v>
      </c>
      <c r="J137">
        <v>0.03</v>
      </c>
      <c r="K137">
        <v>0.44</v>
      </c>
      <c r="L137">
        <v>0.01</v>
      </c>
      <c r="M137">
        <v>7.0000000000000007E-2</v>
      </c>
      <c r="N137">
        <v>79.94</v>
      </c>
      <c r="O137">
        <v>2.92</v>
      </c>
      <c r="P137">
        <v>179.36</v>
      </c>
    </row>
    <row r="138" spans="1:16" x14ac:dyDescent="0.2">
      <c r="A138" t="s">
        <v>16</v>
      </c>
      <c r="C138" t="b">
        <v>1</v>
      </c>
      <c r="D138" t="s">
        <v>40</v>
      </c>
      <c r="E138" t="s">
        <v>24</v>
      </c>
      <c r="F138" t="b">
        <v>0</v>
      </c>
      <c r="G138">
        <v>1.69</v>
      </c>
      <c r="H138">
        <v>0.67</v>
      </c>
      <c r="I138">
        <v>3.79</v>
      </c>
      <c r="J138">
        <v>-0.08</v>
      </c>
      <c r="K138">
        <v>-4.5199999999999996</v>
      </c>
      <c r="L138">
        <v>-0.03</v>
      </c>
      <c r="M138">
        <v>-0.18</v>
      </c>
      <c r="N138">
        <v>21.34</v>
      </c>
      <c r="O138">
        <v>0.78</v>
      </c>
      <c r="P138">
        <v>47.88</v>
      </c>
    </row>
    <row r="139" spans="1:16" x14ac:dyDescent="0.2">
      <c r="A139" t="s">
        <v>16</v>
      </c>
      <c r="C139" t="b">
        <v>1</v>
      </c>
      <c r="D139" t="s">
        <v>40</v>
      </c>
      <c r="E139" t="s">
        <v>25</v>
      </c>
      <c r="F139" t="b">
        <v>0</v>
      </c>
      <c r="G139">
        <v>2.73</v>
      </c>
      <c r="H139">
        <v>1.08</v>
      </c>
      <c r="I139">
        <v>6.13</v>
      </c>
      <c r="J139">
        <v>-0.43</v>
      </c>
      <c r="K139">
        <v>-13.61</v>
      </c>
      <c r="L139">
        <v>-0.17</v>
      </c>
      <c r="M139">
        <v>-0.96</v>
      </c>
      <c r="N139">
        <v>102.24</v>
      </c>
      <c r="O139">
        <v>3.74</v>
      </c>
      <c r="P139">
        <v>229.39</v>
      </c>
    </row>
    <row r="140" spans="1:16" x14ac:dyDescent="0.2">
      <c r="A140" t="s">
        <v>16</v>
      </c>
      <c r="C140" t="b">
        <v>1</v>
      </c>
      <c r="D140" t="s">
        <v>40</v>
      </c>
      <c r="E140" t="s">
        <v>26</v>
      </c>
      <c r="F140" t="b">
        <v>1</v>
      </c>
      <c r="G140">
        <v>253.94</v>
      </c>
      <c r="H140">
        <v>100</v>
      </c>
      <c r="I140">
        <v>569.76</v>
      </c>
      <c r="J140">
        <v>0.66</v>
      </c>
      <c r="K140">
        <v>0.26</v>
      </c>
      <c r="L140">
        <v>0</v>
      </c>
      <c r="M140">
        <v>1.48</v>
      </c>
      <c r="N140">
        <v>2733.37</v>
      </c>
      <c r="O140">
        <v>100</v>
      </c>
      <c r="P140">
        <v>6132.8</v>
      </c>
    </row>
    <row r="141" spans="1:16" x14ac:dyDescent="0.2">
      <c r="A141" t="s">
        <v>16</v>
      </c>
      <c r="C141" t="b">
        <v>1</v>
      </c>
      <c r="D141" t="s">
        <v>40</v>
      </c>
      <c r="E141" t="s">
        <v>27</v>
      </c>
      <c r="F141" t="b">
        <v>0</v>
      </c>
      <c r="G141">
        <v>39.619999999999997</v>
      </c>
      <c r="H141">
        <v>15.6</v>
      </c>
      <c r="I141">
        <v>88.89</v>
      </c>
      <c r="J141">
        <v>13.04</v>
      </c>
      <c r="K141">
        <v>49.06</v>
      </c>
      <c r="L141">
        <v>5.1100000000000003</v>
      </c>
      <c r="M141">
        <v>29.26</v>
      </c>
      <c r="N141">
        <v>305.37</v>
      </c>
      <c r="O141">
        <v>11.17</v>
      </c>
      <c r="P141">
        <v>685.15</v>
      </c>
    </row>
    <row r="142" spans="1:16" x14ac:dyDescent="0.2">
      <c r="A142" t="s">
        <v>16</v>
      </c>
      <c r="C142" t="b">
        <v>1</v>
      </c>
      <c r="D142" t="s">
        <v>41</v>
      </c>
      <c r="E142" t="s">
        <v>18</v>
      </c>
      <c r="F142" t="b">
        <v>0</v>
      </c>
      <c r="G142">
        <v>10.4</v>
      </c>
      <c r="H142">
        <v>4.0599999999999996</v>
      </c>
      <c r="I142">
        <v>23.29</v>
      </c>
      <c r="J142">
        <v>-0.13</v>
      </c>
      <c r="K142">
        <v>-1.23</v>
      </c>
      <c r="L142">
        <v>0.22</v>
      </c>
      <c r="M142">
        <v>-0.28999999999999998</v>
      </c>
      <c r="N142">
        <v>10.4</v>
      </c>
      <c r="O142">
        <v>4.0599999999999996</v>
      </c>
      <c r="P142">
        <v>23.29</v>
      </c>
    </row>
    <row r="143" spans="1:16" x14ac:dyDescent="0.2">
      <c r="A143" t="s">
        <v>16</v>
      </c>
      <c r="C143" t="b">
        <v>1</v>
      </c>
      <c r="D143" t="s">
        <v>41</v>
      </c>
      <c r="E143" t="s">
        <v>19</v>
      </c>
      <c r="F143" t="b">
        <v>0</v>
      </c>
      <c r="G143">
        <v>49.22</v>
      </c>
      <c r="H143">
        <v>19.23</v>
      </c>
      <c r="I143">
        <v>110.23</v>
      </c>
      <c r="J143">
        <v>-15.6</v>
      </c>
      <c r="K143">
        <v>-24.07</v>
      </c>
      <c r="L143">
        <v>-4.4400000000000004</v>
      </c>
      <c r="M143">
        <v>-34.94</v>
      </c>
      <c r="N143">
        <v>49.22</v>
      </c>
      <c r="O143">
        <v>19.23</v>
      </c>
      <c r="P143">
        <v>110.23</v>
      </c>
    </row>
    <row r="144" spans="1:16" x14ac:dyDescent="0.2">
      <c r="A144" t="s">
        <v>16</v>
      </c>
      <c r="C144" t="b">
        <v>1</v>
      </c>
      <c r="D144" t="s">
        <v>41</v>
      </c>
      <c r="E144" t="s">
        <v>20</v>
      </c>
      <c r="F144" t="b">
        <v>0</v>
      </c>
      <c r="G144">
        <v>43.2</v>
      </c>
      <c r="H144">
        <v>16.88</v>
      </c>
      <c r="I144">
        <v>96.75</v>
      </c>
      <c r="J144">
        <v>-17.670000000000002</v>
      </c>
      <c r="K144">
        <v>-29.03</v>
      </c>
      <c r="L144">
        <v>-5.35</v>
      </c>
      <c r="M144">
        <v>-39.57</v>
      </c>
      <c r="N144">
        <v>43.2</v>
      </c>
      <c r="O144">
        <v>16.88</v>
      </c>
      <c r="P144">
        <v>96.75</v>
      </c>
    </row>
    <row r="145" spans="1:16" x14ac:dyDescent="0.2">
      <c r="A145" t="s">
        <v>16</v>
      </c>
      <c r="C145" t="b">
        <v>1</v>
      </c>
      <c r="D145" t="s">
        <v>41</v>
      </c>
      <c r="E145" t="s">
        <v>21</v>
      </c>
      <c r="F145" t="b">
        <v>0</v>
      </c>
      <c r="G145">
        <v>30.35</v>
      </c>
      <c r="H145">
        <v>11.86</v>
      </c>
      <c r="I145">
        <v>67.97</v>
      </c>
      <c r="J145">
        <v>5.65</v>
      </c>
      <c r="K145">
        <v>22.87</v>
      </c>
      <c r="L145">
        <v>2.84</v>
      </c>
      <c r="M145">
        <v>12.65</v>
      </c>
      <c r="N145">
        <v>30.35</v>
      </c>
      <c r="O145">
        <v>11.86</v>
      </c>
      <c r="P145">
        <v>67.97</v>
      </c>
    </row>
    <row r="146" spans="1:16" x14ac:dyDescent="0.2">
      <c r="A146" t="s">
        <v>16</v>
      </c>
      <c r="C146" t="b">
        <v>1</v>
      </c>
      <c r="D146" t="s">
        <v>41</v>
      </c>
      <c r="E146" t="s">
        <v>22</v>
      </c>
      <c r="F146" t="b">
        <v>0</v>
      </c>
      <c r="G146">
        <v>72.739999999999995</v>
      </c>
      <c r="H146">
        <v>28.43</v>
      </c>
      <c r="I146">
        <v>162.91</v>
      </c>
      <c r="J146">
        <v>0.4</v>
      </c>
      <c r="K146">
        <v>0.55000000000000004</v>
      </c>
      <c r="L146">
        <v>2.02</v>
      </c>
      <c r="M146">
        <v>0.9</v>
      </c>
      <c r="N146">
        <v>72.739999999999995</v>
      </c>
      <c r="O146">
        <v>28.43</v>
      </c>
      <c r="P146">
        <v>162.91</v>
      </c>
    </row>
    <row r="147" spans="1:16" x14ac:dyDescent="0.2">
      <c r="A147" t="s">
        <v>16</v>
      </c>
      <c r="C147" t="b">
        <v>1</v>
      </c>
      <c r="D147" t="s">
        <v>41</v>
      </c>
      <c r="E147" t="s">
        <v>23</v>
      </c>
      <c r="F147" t="b">
        <v>0</v>
      </c>
      <c r="G147">
        <v>7.34</v>
      </c>
      <c r="H147">
        <v>2.87</v>
      </c>
      <c r="I147">
        <v>16.440000000000001</v>
      </c>
      <c r="J147">
        <v>-1.04</v>
      </c>
      <c r="K147">
        <v>-12.41</v>
      </c>
      <c r="L147">
        <v>-0.19</v>
      </c>
      <c r="M147">
        <v>-2.33</v>
      </c>
      <c r="N147">
        <v>7.34</v>
      </c>
      <c r="O147">
        <v>2.87</v>
      </c>
      <c r="P147">
        <v>16.440000000000001</v>
      </c>
    </row>
    <row r="148" spans="1:16" x14ac:dyDescent="0.2">
      <c r="A148" t="s">
        <v>16</v>
      </c>
      <c r="C148" t="b">
        <v>1</v>
      </c>
      <c r="D148" t="s">
        <v>41</v>
      </c>
      <c r="E148" t="s">
        <v>24</v>
      </c>
      <c r="F148" t="b">
        <v>0</v>
      </c>
      <c r="G148">
        <v>1.48</v>
      </c>
      <c r="H148">
        <v>0.57999999999999996</v>
      </c>
      <c r="I148">
        <v>3.31</v>
      </c>
      <c r="J148">
        <v>-0.45</v>
      </c>
      <c r="K148">
        <v>-23.32</v>
      </c>
      <c r="L148">
        <v>-0.12</v>
      </c>
      <c r="M148">
        <v>-1.01</v>
      </c>
      <c r="N148">
        <v>1.48</v>
      </c>
      <c r="O148">
        <v>0.57999999999999996</v>
      </c>
      <c r="P148">
        <v>3.31</v>
      </c>
    </row>
    <row r="149" spans="1:16" x14ac:dyDescent="0.2">
      <c r="A149" t="s">
        <v>16</v>
      </c>
      <c r="C149" t="b">
        <v>1</v>
      </c>
      <c r="D149" t="s">
        <v>41</v>
      </c>
      <c r="E149" t="s">
        <v>25</v>
      </c>
      <c r="F149" t="b">
        <v>0</v>
      </c>
      <c r="G149">
        <v>3.19</v>
      </c>
      <c r="H149">
        <v>1.25</v>
      </c>
      <c r="I149">
        <v>7.14</v>
      </c>
      <c r="J149">
        <v>-0.2</v>
      </c>
      <c r="K149">
        <v>-5.9</v>
      </c>
      <c r="L149">
        <v>0.01</v>
      </c>
      <c r="M149">
        <v>-0.45</v>
      </c>
      <c r="N149">
        <v>3.19</v>
      </c>
      <c r="O149">
        <v>1.25</v>
      </c>
      <c r="P149">
        <v>7.14</v>
      </c>
    </row>
    <row r="150" spans="1:16" x14ac:dyDescent="0.2">
      <c r="A150" t="s">
        <v>16</v>
      </c>
      <c r="C150" t="b">
        <v>1</v>
      </c>
      <c r="D150" t="s">
        <v>41</v>
      </c>
      <c r="E150" t="s">
        <v>26</v>
      </c>
      <c r="F150" t="b">
        <v>1</v>
      </c>
      <c r="G150">
        <v>255.89</v>
      </c>
      <c r="H150">
        <v>100</v>
      </c>
      <c r="I150">
        <v>573.1</v>
      </c>
      <c r="J150">
        <v>-17.989999999999998</v>
      </c>
      <c r="K150">
        <v>-6.57</v>
      </c>
      <c r="L150">
        <v>0</v>
      </c>
      <c r="M150">
        <v>-40.29</v>
      </c>
      <c r="N150">
        <v>255.89</v>
      </c>
      <c r="O150">
        <v>100</v>
      </c>
      <c r="P150">
        <v>573.1</v>
      </c>
    </row>
    <row r="151" spans="1:16" x14ac:dyDescent="0.2">
      <c r="A151" t="s">
        <v>16</v>
      </c>
      <c r="C151" t="b">
        <v>1</v>
      </c>
      <c r="D151" t="s">
        <v>41</v>
      </c>
      <c r="E151" t="s">
        <v>27</v>
      </c>
      <c r="F151" t="b">
        <v>0</v>
      </c>
      <c r="G151">
        <v>37.97</v>
      </c>
      <c r="H151">
        <v>14.84</v>
      </c>
      <c r="I151">
        <v>85.04</v>
      </c>
      <c r="J151">
        <v>11.05</v>
      </c>
      <c r="K151">
        <v>41.05</v>
      </c>
      <c r="L151">
        <v>5.01</v>
      </c>
      <c r="M151">
        <v>24.75</v>
      </c>
      <c r="N151">
        <v>37.97</v>
      </c>
      <c r="O151">
        <v>14.84</v>
      </c>
      <c r="P151">
        <v>85.04</v>
      </c>
    </row>
    <row r="152" spans="1:16" x14ac:dyDescent="0.2">
      <c r="A152" t="s">
        <v>16</v>
      </c>
      <c r="C152" t="b">
        <v>1</v>
      </c>
      <c r="D152" t="s">
        <v>42</v>
      </c>
      <c r="E152" t="s">
        <v>18</v>
      </c>
      <c r="F152" t="b">
        <v>0</v>
      </c>
      <c r="G152">
        <v>10.16</v>
      </c>
      <c r="H152">
        <v>4.18</v>
      </c>
      <c r="I152">
        <v>22.75</v>
      </c>
      <c r="J152">
        <v>0.38</v>
      </c>
      <c r="K152">
        <v>3.89</v>
      </c>
      <c r="L152">
        <v>-0.01</v>
      </c>
      <c r="M152">
        <v>0.85</v>
      </c>
      <c r="N152">
        <v>20.56</v>
      </c>
      <c r="O152">
        <v>4.12</v>
      </c>
      <c r="P152">
        <v>46.05</v>
      </c>
    </row>
    <row r="153" spans="1:16" x14ac:dyDescent="0.2">
      <c r="A153" t="s">
        <v>16</v>
      </c>
      <c r="C153" t="b">
        <v>1</v>
      </c>
      <c r="D153" t="s">
        <v>42</v>
      </c>
      <c r="E153" t="s">
        <v>19</v>
      </c>
      <c r="F153" t="b">
        <v>0</v>
      </c>
      <c r="G153">
        <v>53.11</v>
      </c>
      <c r="H153">
        <v>21.86</v>
      </c>
      <c r="I153">
        <v>118.95</v>
      </c>
      <c r="J153">
        <v>0.8</v>
      </c>
      <c r="K153">
        <v>1.53</v>
      </c>
      <c r="L153">
        <v>-0.54</v>
      </c>
      <c r="M153">
        <v>1.79</v>
      </c>
      <c r="N153">
        <v>102.33</v>
      </c>
      <c r="O153">
        <v>20.51</v>
      </c>
      <c r="P153">
        <v>229.18</v>
      </c>
    </row>
    <row r="154" spans="1:16" x14ac:dyDescent="0.2">
      <c r="A154" t="s">
        <v>16</v>
      </c>
      <c r="C154" t="b">
        <v>1</v>
      </c>
      <c r="D154" t="s">
        <v>42</v>
      </c>
      <c r="E154" t="s">
        <v>20</v>
      </c>
      <c r="F154" t="b">
        <v>0</v>
      </c>
      <c r="G154">
        <v>45.94</v>
      </c>
      <c r="H154">
        <v>18.91</v>
      </c>
      <c r="I154">
        <v>102.89</v>
      </c>
      <c r="J154">
        <v>0.26</v>
      </c>
      <c r="K154">
        <v>0.56999999999999995</v>
      </c>
      <c r="L154">
        <v>-0.65</v>
      </c>
      <c r="M154">
        <v>0.57999999999999996</v>
      </c>
      <c r="N154">
        <v>89.14</v>
      </c>
      <c r="O154">
        <v>17.87</v>
      </c>
      <c r="P154">
        <v>199.64</v>
      </c>
    </row>
    <row r="155" spans="1:16" x14ac:dyDescent="0.2">
      <c r="A155" t="s">
        <v>16</v>
      </c>
      <c r="C155" t="b">
        <v>1</v>
      </c>
      <c r="D155" t="s">
        <v>42</v>
      </c>
      <c r="E155" t="s">
        <v>21</v>
      </c>
      <c r="F155" t="b">
        <v>0</v>
      </c>
      <c r="G155">
        <v>28.74</v>
      </c>
      <c r="H155">
        <v>11.83</v>
      </c>
      <c r="I155">
        <v>64.37</v>
      </c>
      <c r="J155">
        <v>7.04</v>
      </c>
      <c r="K155">
        <v>32.44</v>
      </c>
      <c r="L155">
        <v>2.54</v>
      </c>
      <c r="M155">
        <v>15.77</v>
      </c>
      <c r="N155">
        <v>59.09</v>
      </c>
      <c r="O155">
        <v>11.84</v>
      </c>
      <c r="P155">
        <v>132.34</v>
      </c>
    </row>
    <row r="156" spans="1:16" x14ac:dyDescent="0.2">
      <c r="A156" t="s">
        <v>16</v>
      </c>
      <c r="C156" t="b">
        <v>1</v>
      </c>
      <c r="D156" t="s">
        <v>42</v>
      </c>
      <c r="E156" t="s">
        <v>22</v>
      </c>
      <c r="F156" t="b">
        <v>0</v>
      </c>
      <c r="G156">
        <v>65.61</v>
      </c>
      <c r="H156">
        <v>27</v>
      </c>
      <c r="I156">
        <v>146.94</v>
      </c>
      <c r="J156">
        <v>4.04</v>
      </c>
      <c r="K156">
        <v>6.56</v>
      </c>
      <c r="L156">
        <v>0.63</v>
      </c>
      <c r="M156">
        <v>9.0500000000000007</v>
      </c>
      <c r="N156">
        <v>138.35</v>
      </c>
      <c r="O156">
        <v>27.73</v>
      </c>
      <c r="P156">
        <v>309.85000000000002</v>
      </c>
    </row>
    <row r="157" spans="1:16" x14ac:dyDescent="0.2">
      <c r="A157" t="s">
        <v>16</v>
      </c>
      <c r="C157" t="b">
        <v>1</v>
      </c>
      <c r="D157" t="s">
        <v>42</v>
      </c>
      <c r="E157" t="s">
        <v>23</v>
      </c>
      <c r="F157" t="b">
        <v>0</v>
      </c>
      <c r="G157">
        <v>6.93</v>
      </c>
      <c r="H157">
        <v>2.85</v>
      </c>
      <c r="I157">
        <v>15.52</v>
      </c>
      <c r="J157">
        <v>-0.24</v>
      </c>
      <c r="K157">
        <v>-3.35</v>
      </c>
      <c r="L157">
        <v>-0.22</v>
      </c>
      <c r="M157">
        <v>-0.54</v>
      </c>
      <c r="N157">
        <v>14.27</v>
      </c>
      <c r="O157">
        <v>2.86</v>
      </c>
      <c r="P157">
        <v>31.96</v>
      </c>
    </row>
    <row r="158" spans="1:16" x14ac:dyDescent="0.2">
      <c r="A158" t="s">
        <v>16</v>
      </c>
      <c r="C158" t="b">
        <v>1</v>
      </c>
      <c r="D158" t="s">
        <v>42</v>
      </c>
      <c r="E158" t="s">
        <v>24</v>
      </c>
      <c r="F158" t="b">
        <v>0</v>
      </c>
      <c r="G158">
        <v>1.35</v>
      </c>
      <c r="H158">
        <v>0.56000000000000005</v>
      </c>
      <c r="I158">
        <v>3.02</v>
      </c>
      <c r="J158">
        <v>-0.34</v>
      </c>
      <c r="K158">
        <v>-20.12</v>
      </c>
      <c r="L158">
        <v>-0.16</v>
      </c>
      <c r="M158">
        <v>-0.76</v>
      </c>
      <c r="N158">
        <v>2.83</v>
      </c>
      <c r="O158">
        <v>0.56999999999999995</v>
      </c>
      <c r="P158">
        <v>6.34</v>
      </c>
    </row>
    <row r="159" spans="1:16" x14ac:dyDescent="0.2">
      <c r="A159" t="s">
        <v>16</v>
      </c>
      <c r="C159" t="b">
        <v>1</v>
      </c>
      <c r="D159" t="s">
        <v>42</v>
      </c>
      <c r="E159" t="s">
        <v>25</v>
      </c>
      <c r="F159" t="b">
        <v>0</v>
      </c>
      <c r="G159">
        <v>5.0999999999999996</v>
      </c>
      <c r="H159">
        <v>2.1</v>
      </c>
      <c r="I159">
        <v>11.42</v>
      </c>
      <c r="J159">
        <v>0.64</v>
      </c>
      <c r="K159">
        <v>14.35</v>
      </c>
      <c r="L159">
        <v>0.19</v>
      </c>
      <c r="M159">
        <v>1.43</v>
      </c>
      <c r="N159">
        <v>8.2899999999999991</v>
      </c>
      <c r="O159">
        <v>1.66</v>
      </c>
      <c r="P159">
        <v>18.57</v>
      </c>
    </row>
    <row r="160" spans="1:16" x14ac:dyDescent="0.2">
      <c r="A160" t="s">
        <v>16</v>
      </c>
      <c r="C160" t="b">
        <v>1</v>
      </c>
      <c r="D160" t="s">
        <v>42</v>
      </c>
      <c r="E160" t="s">
        <v>26</v>
      </c>
      <c r="F160" t="b">
        <v>1</v>
      </c>
      <c r="G160">
        <v>243</v>
      </c>
      <c r="H160">
        <v>100</v>
      </c>
      <c r="I160">
        <v>544.23</v>
      </c>
      <c r="J160">
        <v>9.51</v>
      </c>
      <c r="K160">
        <v>4.07</v>
      </c>
      <c r="L160">
        <v>0</v>
      </c>
      <c r="M160">
        <v>21.3</v>
      </c>
      <c r="N160">
        <v>498.89</v>
      </c>
      <c r="O160">
        <v>100</v>
      </c>
      <c r="P160">
        <v>1117.33</v>
      </c>
    </row>
    <row r="161" spans="1:16" x14ac:dyDescent="0.2">
      <c r="A161" t="s">
        <v>16</v>
      </c>
      <c r="C161" t="b">
        <v>1</v>
      </c>
      <c r="D161" t="s">
        <v>42</v>
      </c>
      <c r="E161" t="s">
        <v>27</v>
      </c>
      <c r="F161" t="b">
        <v>0</v>
      </c>
      <c r="G161">
        <v>26.06</v>
      </c>
      <c r="H161">
        <v>10.72</v>
      </c>
      <c r="I161">
        <v>58.36</v>
      </c>
      <c r="J161">
        <v>-3.07</v>
      </c>
      <c r="K161">
        <v>-10.54</v>
      </c>
      <c r="L161">
        <v>-1.76</v>
      </c>
      <c r="M161">
        <v>-6.88</v>
      </c>
      <c r="N161">
        <v>64.03</v>
      </c>
      <c r="O161">
        <v>12.83</v>
      </c>
      <c r="P161">
        <v>143.4</v>
      </c>
    </row>
    <row r="162" spans="1:16" x14ac:dyDescent="0.2">
      <c r="A162" t="s">
        <v>16</v>
      </c>
      <c r="C162" t="b">
        <v>1</v>
      </c>
      <c r="D162" t="s">
        <v>43</v>
      </c>
      <c r="E162" t="s">
        <v>18</v>
      </c>
      <c r="F162" t="b">
        <v>0</v>
      </c>
      <c r="G162">
        <v>10.55</v>
      </c>
      <c r="H162">
        <v>4.16</v>
      </c>
      <c r="I162">
        <v>23.63</v>
      </c>
      <c r="J162">
        <v>0.21</v>
      </c>
      <c r="K162">
        <v>2.0299999999999998</v>
      </c>
      <c r="L162">
        <v>-0.17</v>
      </c>
      <c r="M162">
        <v>0.47</v>
      </c>
      <c r="N162">
        <v>31.11</v>
      </c>
      <c r="O162">
        <v>4.13</v>
      </c>
      <c r="P162">
        <v>69.67</v>
      </c>
    </row>
    <row r="163" spans="1:16" x14ac:dyDescent="0.2">
      <c r="A163" t="s">
        <v>16</v>
      </c>
      <c r="C163" t="b">
        <v>1</v>
      </c>
      <c r="D163" t="s">
        <v>43</v>
      </c>
      <c r="E163" t="s">
        <v>19</v>
      </c>
      <c r="F163" t="b">
        <v>0</v>
      </c>
      <c r="G163">
        <v>50.97</v>
      </c>
      <c r="H163">
        <v>20.100000000000001</v>
      </c>
      <c r="I163">
        <v>114.15</v>
      </c>
      <c r="J163">
        <v>2.74</v>
      </c>
      <c r="K163">
        <v>5.68</v>
      </c>
      <c r="L163">
        <v>-0.08</v>
      </c>
      <c r="M163">
        <v>6.14</v>
      </c>
      <c r="N163">
        <v>153.30000000000001</v>
      </c>
      <c r="O163">
        <v>20.37</v>
      </c>
      <c r="P163">
        <v>343.33</v>
      </c>
    </row>
    <row r="164" spans="1:16" x14ac:dyDescent="0.2">
      <c r="A164" t="s">
        <v>16</v>
      </c>
      <c r="C164" t="b">
        <v>1</v>
      </c>
      <c r="D164" t="s">
        <v>43</v>
      </c>
      <c r="E164" t="s">
        <v>20</v>
      </c>
      <c r="F164" t="b">
        <v>0</v>
      </c>
      <c r="G164">
        <v>40.119999999999997</v>
      </c>
      <c r="H164">
        <v>15.82</v>
      </c>
      <c r="I164">
        <v>89.85</v>
      </c>
      <c r="J164">
        <v>-0.56999999999999995</v>
      </c>
      <c r="K164">
        <v>-1.4</v>
      </c>
      <c r="L164">
        <v>-1.21</v>
      </c>
      <c r="M164">
        <v>-1.28</v>
      </c>
      <c r="N164">
        <v>129.26</v>
      </c>
      <c r="O164">
        <v>17.18</v>
      </c>
      <c r="P164">
        <v>289.49</v>
      </c>
    </row>
    <row r="165" spans="1:16" x14ac:dyDescent="0.2">
      <c r="A165" t="s">
        <v>16</v>
      </c>
      <c r="C165" t="b">
        <v>1</v>
      </c>
      <c r="D165" t="s">
        <v>43</v>
      </c>
      <c r="E165" t="s">
        <v>21</v>
      </c>
      <c r="F165" t="b">
        <v>0</v>
      </c>
      <c r="G165">
        <v>34.04</v>
      </c>
      <c r="H165">
        <v>13.42</v>
      </c>
      <c r="I165">
        <v>76.239999999999995</v>
      </c>
      <c r="J165">
        <v>6.76</v>
      </c>
      <c r="K165">
        <v>24.78</v>
      </c>
      <c r="L165">
        <v>2</v>
      </c>
      <c r="M165">
        <v>15.14</v>
      </c>
      <c r="N165">
        <v>93.13</v>
      </c>
      <c r="O165">
        <v>12.38</v>
      </c>
      <c r="P165">
        <v>208.58</v>
      </c>
    </row>
    <row r="166" spans="1:16" x14ac:dyDescent="0.2">
      <c r="A166" t="s">
        <v>16</v>
      </c>
      <c r="C166" t="b">
        <v>1</v>
      </c>
      <c r="D166" t="s">
        <v>43</v>
      </c>
      <c r="E166" t="s">
        <v>22</v>
      </c>
      <c r="F166" t="b">
        <v>0</v>
      </c>
      <c r="G166">
        <v>67.010000000000005</v>
      </c>
      <c r="H166">
        <v>26.42</v>
      </c>
      <c r="I166">
        <v>150.08000000000001</v>
      </c>
      <c r="J166">
        <v>2.09</v>
      </c>
      <c r="K166">
        <v>3.22</v>
      </c>
      <c r="L166">
        <v>-0.75</v>
      </c>
      <c r="M166">
        <v>4.68</v>
      </c>
      <c r="N166">
        <v>205.36</v>
      </c>
      <c r="O166">
        <v>27.29</v>
      </c>
      <c r="P166">
        <v>459.93</v>
      </c>
    </row>
    <row r="167" spans="1:16" x14ac:dyDescent="0.2">
      <c r="A167" t="s">
        <v>16</v>
      </c>
      <c r="C167" t="b">
        <v>1</v>
      </c>
      <c r="D167" t="s">
        <v>43</v>
      </c>
      <c r="E167" t="s">
        <v>23</v>
      </c>
      <c r="F167" t="b">
        <v>0</v>
      </c>
      <c r="G167">
        <v>7.38</v>
      </c>
      <c r="H167">
        <v>2.91</v>
      </c>
      <c r="I167">
        <v>16.53</v>
      </c>
      <c r="J167">
        <v>0.1</v>
      </c>
      <c r="K167">
        <v>1.37</v>
      </c>
      <c r="L167">
        <v>-0.14000000000000001</v>
      </c>
      <c r="M167">
        <v>0.22</v>
      </c>
      <c r="N167">
        <v>21.65</v>
      </c>
      <c r="O167">
        <v>2.88</v>
      </c>
      <c r="P167">
        <v>48.49</v>
      </c>
    </row>
    <row r="168" spans="1:16" x14ac:dyDescent="0.2">
      <c r="A168" t="s">
        <v>16</v>
      </c>
      <c r="C168" t="b">
        <v>1</v>
      </c>
      <c r="D168" t="s">
        <v>43</v>
      </c>
      <c r="E168" t="s">
        <v>24</v>
      </c>
      <c r="F168" t="b">
        <v>0</v>
      </c>
      <c r="G168">
        <v>1.46</v>
      </c>
      <c r="H168">
        <v>0.57999999999999996</v>
      </c>
      <c r="I168">
        <v>3.27</v>
      </c>
      <c r="J168">
        <v>-0.38</v>
      </c>
      <c r="K168">
        <v>-20.65</v>
      </c>
      <c r="L168">
        <v>-0.19</v>
      </c>
      <c r="M168">
        <v>-0.85</v>
      </c>
      <c r="N168">
        <v>4.29</v>
      </c>
      <c r="O168">
        <v>0.56999999999999995</v>
      </c>
      <c r="P168">
        <v>9.61</v>
      </c>
    </row>
    <row r="169" spans="1:16" x14ac:dyDescent="0.2">
      <c r="A169" t="s">
        <v>16</v>
      </c>
      <c r="C169" t="b">
        <v>1</v>
      </c>
      <c r="D169" t="s">
        <v>43</v>
      </c>
      <c r="E169" t="s">
        <v>25</v>
      </c>
      <c r="F169" t="b">
        <v>0</v>
      </c>
      <c r="G169">
        <v>7.42</v>
      </c>
      <c r="H169">
        <v>2.93</v>
      </c>
      <c r="I169">
        <v>16.62</v>
      </c>
      <c r="J169">
        <v>-1.48</v>
      </c>
      <c r="K169">
        <v>-16.63</v>
      </c>
      <c r="L169">
        <v>-0.79</v>
      </c>
      <c r="M169">
        <v>-3.31</v>
      </c>
      <c r="N169">
        <v>15.71</v>
      </c>
      <c r="O169">
        <v>2.09</v>
      </c>
      <c r="P169">
        <v>35.18</v>
      </c>
    </row>
    <row r="170" spans="1:16" x14ac:dyDescent="0.2">
      <c r="A170" t="s">
        <v>16</v>
      </c>
      <c r="C170" t="b">
        <v>1</v>
      </c>
      <c r="D170" t="s">
        <v>43</v>
      </c>
      <c r="E170" t="s">
        <v>26</v>
      </c>
      <c r="F170" t="b">
        <v>1</v>
      </c>
      <c r="G170">
        <v>253.63</v>
      </c>
      <c r="H170">
        <v>100</v>
      </c>
      <c r="I170">
        <v>568.04</v>
      </c>
      <c r="J170">
        <v>14.68</v>
      </c>
      <c r="K170">
        <v>6.14</v>
      </c>
      <c r="L170">
        <v>0</v>
      </c>
      <c r="M170">
        <v>32.880000000000003</v>
      </c>
      <c r="N170">
        <v>752.52</v>
      </c>
      <c r="O170">
        <v>100</v>
      </c>
      <c r="P170">
        <v>1685.36</v>
      </c>
    </row>
    <row r="171" spans="1:16" x14ac:dyDescent="0.2">
      <c r="A171" t="s">
        <v>16</v>
      </c>
      <c r="C171" t="b">
        <v>1</v>
      </c>
      <c r="D171" t="s">
        <v>43</v>
      </c>
      <c r="E171" t="s">
        <v>27</v>
      </c>
      <c r="F171" t="b">
        <v>0</v>
      </c>
      <c r="G171">
        <v>34.68</v>
      </c>
      <c r="H171">
        <v>13.67</v>
      </c>
      <c r="I171">
        <v>77.67</v>
      </c>
      <c r="J171">
        <v>5.21</v>
      </c>
      <c r="K171">
        <v>17.68</v>
      </c>
      <c r="L171">
        <v>1.34</v>
      </c>
      <c r="M171">
        <v>11.67</v>
      </c>
      <c r="N171">
        <v>98.71</v>
      </c>
      <c r="O171">
        <v>13.12</v>
      </c>
      <c r="P171">
        <v>221.07</v>
      </c>
    </row>
    <row r="172" spans="1:16" x14ac:dyDescent="0.2">
      <c r="A172" t="s">
        <v>16</v>
      </c>
      <c r="C172" t="b">
        <v>1</v>
      </c>
      <c r="D172" t="s">
        <v>44</v>
      </c>
      <c r="E172" t="s">
        <v>18</v>
      </c>
      <c r="F172" t="b">
        <v>0</v>
      </c>
      <c r="G172">
        <v>9.52</v>
      </c>
      <c r="H172">
        <v>4.5</v>
      </c>
      <c r="I172">
        <v>21.32</v>
      </c>
      <c r="J172">
        <v>-0.08</v>
      </c>
      <c r="K172">
        <v>-0.83</v>
      </c>
      <c r="L172">
        <v>0.01</v>
      </c>
      <c r="M172">
        <v>-0.18</v>
      </c>
      <c r="N172">
        <v>40.630000000000003</v>
      </c>
      <c r="O172">
        <v>4.21</v>
      </c>
      <c r="P172">
        <v>91</v>
      </c>
    </row>
    <row r="173" spans="1:16" x14ac:dyDescent="0.2">
      <c r="A173" t="s">
        <v>16</v>
      </c>
      <c r="C173" t="b">
        <v>1</v>
      </c>
      <c r="D173" t="s">
        <v>44</v>
      </c>
      <c r="E173" t="s">
        <v>19</v>
      </c>
      <c r="F173" t="b">
        <v>0</v>
      </c>
      <c r="G173">
        <v>37.76</v>
      </c>
      <c r="H173">
        <v>17.84</v>
      </c>
      <c r="I173">
        <v>84.57</v>
      </c>
      <c r="J173">
        <v>-6.34</v>
      </c>
      <c r="K173">
        <v>-14.38</v>
      </c>
      <c r="L173">
        <v>-2.79</v>
      </c>
      <c r="M173">
        <v>-14.2</v>
      </c>
      <c r="N173">
        <v>191.06</v>
      </c>
      <c r="O173">
        <v>19.82</v>
      </c>
      <c r="P173">
        <v>427.9</v>
      </c>
    </row>
    <row r="174" spans="1:16" x14ac:dyDescent="0.2">
      <c r="A174" t="s">
        <v>16</v>
      </c>
      <c r="C174" t="b">
        <v>1</v>
      </c>
      <c r="D174" t="s">
        <v>44</v>
      </c>
      <c r="E174" t="s">
        <v>20</v>
      </c>
      <c r="F174" t="b">
        <v>0</v>
      </c>
      <c r="G174">
        <v>26.6</v>
      </c>
      <c r="H174">
        <v>12.57</v>
      </c>
      <c r="I174">
        <v>59.57</v>
      </c>
      <c r="J174">
        <v>-8.51</v>
      </c>
      <c r="K174">
        <v>-24.24</v>
      </c>
      <c r="L174">
        <v>-3.85</v>
      </c>
      <c r="M174">
        <v>-19.059999999999999</v>
      </c>
      <c r="N174">
        <v>155.86000000000001</v>
      </c>
      <c r="O174">
        <v>16.170000000000002</v>
      </c>
      <c r="P174">
        <v>349.07</v>
      </c>
    </row>
    <row r="175" spans="1:16" x14ac:dyDescent="0.2">
      <c r="A175" t="s">
        <v>16</v>
      </c>
      <c r="C175" t="b">
        <v>1</v>
      </c>
      <c r="D175" t="s">
        <v>44</v>
      </c>
      <c r="E175" t="s">
        <v>21</v>
      </c>
      <c r="F175" t="b">
        <v>0</v>
      </c>
      <c r="G175">
        <v>35.42</v>
      </c>
      <c r="H175">
        <v>16.739999999999998</v>
      </c>
      <c r="I175">
        <v>79.33</v>
      </c>
      <c r="J175">
        <v>12.99</v>
      </c>
      <c r="K175">
        <v>57.91</v>
      </c>
      <c r="L175">
        <v>6.25</v>
      </c>
      <c r="M175">
        <v>29.09</v>
      </c>
      <c r="N175">
        <v>128.55000000000001</v>
      </c>
      <c r="O175">
        <v>13.33</v>
      </c>
      <c r="P175">
        <v>287.89999999999998</v>
      </c>
    </row>
    <row r="176" spans="1:16" x14ac:dyDescent="0.2">
      <c r="A176" t="s">
        <v>16</v>
      </c>
      <c r="C176" t="b">
        <v>1</v>
      </c>
      <c r="D176" t="s">
        <v>44</v>
      </c>
      <c r="E176" t="s">
        <v>22</v>
      </c>
      <c r="F176" t="b">
        <v>0</v>
      </c>
      <c r="G176">
        <v>56.95</v>
      </c>
      <c r="H176">
        <v>26.91</v>
      </c>
      <c r="I176">
        <v>127.55</v>
      </c>
      <c r="J176">
        <v>-2.3199999999999998</v>
      </c>
      <c r="K176">
        <v>-3.91</v>
      </c>
      <c r="L176">
        <v>-0.81</v>
      </c>
      <c r="M176">
        <v>-5.2</v>
      </c>
      <c r="N176">
        <v>262.31</v>
      </c>
      <c r="O176">
        <v>27.21</v>
      </c>
      <c r="P176">
        <v>587.48</v>
      </c>
    </row>
    <row r="177" spans="1:16" x14ac:dyDescent="0.2">
      <c r="A177" t="s">
        <v>16</v>
      </c>
      <c r="C177" t="b">
        <v>1</v>
      </c>
      <c r="D177" t="s">
        <v>44</v>
      </c>
      <c r="E177" t="s">
        <v>23</v>
      </c>
      <c r="F177" t="b">
        <v>0</v>
      </c>
      <c r="G177">
        <v>6.32</v>
      </c>
      <c r="H177">
        <v>2.99</v>
      </c>
      <c r="I177">
        <v>14.15</v>
      </c>
      <c r="J177">
        <v>-0.06</v>
      </c>
      <c r="K177">
        <v>-0.94</v>
      </c>
      <c r="L177">
        <v>0.01</v>
      </c>
      <c r="M177">
        <v>-0.13</v>
      </c>
      <c r="N177">
        <v>27.97</v>
      </c>
      <c r="O177">
        <v>2.9</v>
      </c>
      <c r="P177">
        <v>62.64</v>
      </c>
    </row>
    <row r="178" spans="1:16" x14ac:dyDescent="0.2">
      <c r="A178" t="s">
        <v>16</v>
      </c>
      <c r="C178" t="b">
        <v>1</v>
      </c>
      <c r="D178" t="s">
        <v>44</v>
      </c>
      <c r="E178" t="s">
        <v>24</v>
      </c>
      <c r="F178" t="b">
        <v>0</v>
      </c>
      <c r="G178">
        <v>1.39</v>
      </c>
      <c r="H178">
        <v>0.66</v>
      </c>
      <c r="I178">
        <v>3.11</v>
      </c>
      <c r="J178">
        <v>-0.46</v>
      </c>
      <c r="K178">
        <v>-24.86</v>
      </c>
      <c r="L178">
        <v>-0.21</v>
      </c>
      <c r="M178">
        <v>-1.03</v>
      </c>
      <c r="N178">
        <v>5.68</v>
      </c>
      <c r="O178">
        <v>0.59</v>
      </c>
      <c r="P178">
        <v>12.72</v>
      </c>
    </row>
    <row r="179" spans="1:16" x14ac:dyDescent="0.2">
      <c r="A179" t="s">
        <v>16</v>
      </c>
      <c r="C179" t="b">
        <v>1</v>
      </c>
      <c r="D179" t="s">
        <v>44</v>
      </c>
      <c r="E179" t="s">
        <v>25</v>
      </c>
      <c r="F179" t="b">
        <v>0</v>
      </c>
      <c r="G179">
        <v>11.7</v>
      </c>
      <c r="H179">
        <v>5.53</v>
      </c>
      <c r="I179">
        <v>26.2</v>
      </c>
      <c r="J179">
        <v>0.92</v>
      </c>
      <c r="K179">
        <v>8.5299999999999994</v>
      </c>
      <c r="L179">
        <v>0.49</v>
      </c>
      <c r="M179">
        <v>2.06</v>
      </c>
      <c r="N179">
        <v>27.41</v>
      </c>
      <c r="O179">
        <v>2.84</v>
      </c>
      <c r="P179">
        <v>61.39</v>
      </c>
    </row>
    <row r="180" spans="1:16" x14ac:dyDescent="0.2">
      <c r="A180" t="s">
        <v>16</v>
      </c>
      <c r="C180" t="b">
        <v>1</v>
      </c>
      <c r="D180" t="s">
        <v>44</v>
      </c>
      <c r="E180" t="s">
        <v>26</v>
      </c>
      <c r="F180" t="b">
        <v>1</v>
      </c>
      <c r="G180">
        <v>211.63</v>
      </c>
      <c r="H180">
        <v>100</v>
      </c>
      <c r="I180">
        <v>473.97</v>
      </c>
      <c r="J180">
        <v>-2.15</v>
      </c>
      <c r="K180">
        <v>-1.01</v>
      </c>
      <c r="L180">
        <v>0</v>
      </c>
      <c r="M180">
        <v>-4.82</v>
      </c>
      <c r="N180">
        <v>964.15</v>
      </c>
      <c r="O180">
        <v>100</v>
      </c>
      <c r="P180">
        <v>2159.33</v>
      </c>
    </row>
    <row r="181" spans="1:16" x14ac:dyDescent="0.2">
      <c r="A181" t="s">
        <v>16</v>
      </c>
      <c r="C181" t="b">
        <v>1</v>
      </c>
      <c r="D181" t="s">
        <v>44</v>
      </c>
      <c r="E181" t="s">
        <v>27</v>
      </c>
      <c r="F181" t="b">
        <v>0</v>
      </c>
      <c r="G181">
        <v>25.97</v>
      </c>
      <c r="H181">
        <v>12.27</v>
      </c>
      <c r="I181">
        <v>58.16</v>
      </c>
      <c r="J181">
        <v>1.71</v>
      </c>
      <c r="K181">
        <v>7.05</v>
      </c>
      <c r="L181">
        <v>0.92</v>
      </c>
      <c r="M181">
        <v>3.83</v>
      </c>
      <c r="N181">
        <v>124.68</v>
      </c>
      <c r="O181">
        <v>12.93</v>
      </c>
      <c r="P181">
        <v>279.24</v>
      </c>
    </row>
    <row r="182" spans="1:16" x14ac:dyDescent="0.2">
      <c r="A182" t="s">
        <v>16</v>
      </c>
      <c r="C182" t="b">
        <v>1</v>
      </c>
      <c r="D182" t="s">
        <v>45</v>
      </c>
      <c r="E182" t="s">
        <v>18</v>
      </c>
      <c r="F182" t="b">
        <v>0</v>
      </c>
      <c r="G182">
        <v>8.93</v>
      </c>
      <c r="H182">
        <v>4.28</v>
      </c>
      <c r="I182">
        <v>20</v>
      </c>
      <c r="J182">
        <v>-0.17</v>
      </c>
      <c r="K182">
        <v>-1.87</v>
      </c>
      <c r="L182">
        <v>0</v>
      </c>
      <c r="M182">
        <v>-0.38</v>
      </c>
      <c r="N182">
        <v>49.56</v>
      </c>
      <c r="O182">
        <v>4.2300000000000004</v>
      </c>
      <c r="P182">
        <v>111</v>
      </c>
    </row>
    <row r="183" spans="1:16" x14ac:dyDescent="0.2">
      <c r="A183" t="s">
        <v>16</v>
      </c>
      <c r="C183" t="b">
        <v>1</v>
      </c>
      <c r="D183" t="s">
        <v>45</v>
      </c>
      <c r="E183" t="s">
        <v>19</v>
      </c>
      <c r="F183" t="b">
        <v>0</v>
      </c>
      <c r="G183">
        <v>39.36</v>
      </c>
      <c r="H183">
        <v>18.86</v>
      </c>
      <c r="I183">
        <v>88.15</v>
      </c>
      <c r="J183">
        <v>-6.53</v>
      </c>
      <c r="K183">
        <v>-14.23</v>
      </c>
      <c r="L183">
        <v>-2.72</v>
      </c>
      <c r="M183">
        <v>-14.62</v>
      </c>
      <c r="N183">
        <v>230.42</v>
      </c>
      <c r="O183">
        <v>19.649999999999999</v>
      </c>
      <c r="P183">
        <v>516.04999999999995</v>
      </c>
    </row>
    <row r="184" spans="1:16" x14ac:dyDescent="0.2">
      <c r="A184" t="s">
        <v>16</v>
      </c>
      <c r="C184" t="b">
        <v>1</v>
      </c>
      <c r="D184" t="s">
        <v>45</v>
      </c>
      <c r="E184" t="s">
        <v>20</v>
      </c>
      <c r="F184" t="b">
        <v>0</v>
      </c>
      <c r="G184">
        <v>27.57</v>
      </c>
      <c r="H184">
        <v>13.21</v>
      </c>
      <c r="I184">
        <v>61.75</v>
      </c>
      <c r="J184">
        <v>-6.02</v>
      </c>
      <c r="K184">
        <v>-17.920000000000002</v>
      </c>
      <c r="L184">
        <v>-2.58</v>
      </c>
      <c r="M184">
        <v>-13.48</v>
      </c>
      <c r="N184">
        <v>183.43</v>
      </c>
      <c r="O184">
        <v>15.64</v>
      </c>
      <c r="P184">
        <v>410.81</v>
      </c>
    </row>
    <row r="185" spans="1:16" x14ac:dyDescent="0.2">
      <c r="A185" t="s">
        <v>16</v>
      </c>
      <c r="C185" t="b">
        <v>1</v>
      </c>
      <c r="D185" t="s">
        <v>45</v>
      </c>
      <c r="E185" t="s">
        <v>21</v>
      </c>
      <c r="F185" t="b">
        <v>0</v>
      </c>
      <c r="G185">
        <v>36.799999999999997</v>
      </c>
      <c r="H185">
        <v>17.63</v>
      </c>
      <c r="I185">
        <v>82.42</v>
      </c>
      <c r="J185">
        <v>9.23</v>
      </c>
      <c r="K185">
        <v>33.479999999999997</v>
      </c>
      <c r="L185">
        <v>4.67</v>
      </c>
      <c r="M185">
        <v>20.67</v>
      </c>
      <c r="N185">
        <v>165.35</v>
      </c>
      <c r="O185">
        <v>14.1</v>
      </c>
      <c r="P185">
        <v>370.32</v>
      </c>
    </row>
    <row r="186" spans="1:16" x14ac:dyDescent="0.2">
      <c r="A186" t="s">
        <v>16</v>
      </c>
      <c r="C186" t="b">
        <v>1</v>
      </c>
      <c r="D186" t="s">
        <v>45</v>
      </c>
      <c r="E186" t="s">
        <v>22</v>
      </c>
      <c r="F186" t="b">
        <v>0</v>
      </c>
      <c r="G186">
        <v>54.5</v>
      </c>
      <c r="H186">
        <v>26.12</v>
      </c>
      <c r="I186">
        <v>122.06</v>
      </c>
      <c r="J186">
        <v>-1.62</v>
      </c>
      <c r="K186">
        <v>-2.89</v>
      </c>
      <c r="L186">
        <v>-0.27</v>
      </c>
      <c r="M186">
        <v>-3.63</v>
      </c>
      <c r="N186">
        <v>316.81</v>
      </c>
      <c r="O186">
        <v>27.01</v>
      </c>
      <c r="P186">
        <v>709.54</v>
      </c>
    </row>
    <row r="187" spans="1:16" x14ac:dyDescent="0.2">
      <c r="A187" t="s">
        <v>16</v>
      </c>
      <c r="C187" t="b">
        <v>1</v>
      </c>
      <c r="D187" t="s">
        <v>45</v>
      </c>
      <c r="E187" t="s">
        <v>23</v>
      </c>
      <c r="F187" t="b">
        <v>0</v>
      </c>
      <c r="G187">
        <v>6.22</v>
      </c>
      <c r="H187">
        <v>2.98</v>
      </c>
      <c r="I187">
        <v>13.93</v>
      </c>
      <c r="J187">
        <v>-0.12</v>
      </c>
      <c r="K187">
        <v>-1.89</v>
      </c>
      <c r="L187">
        <v>0</v>
      </c>
      <c r="M187">
        <v>-0.27</v>
      </c>
      <c r="N187">
        <v>34.19</v>
      </c>
      <c r="O187">
        <v>2.92</v>
      </c>
      <c r="P187">
        <v>76.569999999999993</v>
      </c>
    </row>
    <row r="188" spans="1:16" x14ac:dyDescent="0.2">
      <c r="A188" t="s">
        <v>16</v>
      </c>
      <c r="C188" t="b">
        <v>1</v>
      </c>
      <c r="D188" t="s">
        <v>45</v>
      </c>
      <c r="E188" t="s">
        <v>24</v>
      </c>
      <c r="F188" t="b">
        <v>0</v>
      </c>
      <c r="G188">
        <v>1.43</v>
      </c>
      <c r="H188">
        <v>0.69</v>
      </c>
      <c r="I188">
        <v>3.2</v>
      </c>
      <c r="J188">
        <v>-0.45</v>
      </c>
      <c r="K188">
        <v>-23.94</v>
      </c>
      <c r="L188">
        <v>-0.19</v>
      </c>
      <c r="M188">
        <v>-1.01</v>
      </c>
      <c r="N188">
        <v>7.11</v>
      </c>
      <c r="O188">
        <v>0.61</v>
      </c>
      <c r="P188">
        <v>15.92</v>
      </c>
    </row>
    <row r="189" spans="1:16" x14ac:dyDescent="0.2">
      <c r="A189" t="s">
        <v>16</v>
      </c>
      <c r="C189" t="b">
        <v>1</v>
      </c>
      <c r="D189" t="s">
        <v>45</v>
      </c>
      <c r="E189" t="s">
        <v>25</v>
      </c>
      <c r="F189" t="b">
        <v>0</v>
      </c>
      <c r="G189">
        <v>13.88</v>
      </c>
      <c r="H189">
        <v>6.65</v>
      </c>
      <c r="I189">
        <v>31.09</v>
      </c>
      <c r="J189">
        <v>0.9</v>
      </c>
      <c r="K189">
        <v>6.93</v>
      </c>
      <c r="L189">
        <v>0.55000000000000004</v>
      </c>
      <c r="M189">
        <v>2.02</v>
      </c>
      <c r="N189">
        <v>41.29</v>
      </c>
      <c r="O189">
        <v>3.52</v>
      </c>
      <c r="P189">
        <v>92.47</v>
      </c>
    </row>
    <row r="190" spans="1:16" x14ac:dyDescent="0.2">
      <c r="A190" t="s">
        <v>16</v>
      </c>
      <c r="C190" t="b">
        <v>1</v>
      </c>
      <c r="D190" t="s">
        <v>45</v>
      </c>
      <c r="E190" t="s">
        <v>26</v>
      </c>
      <c r="F190" t="b">
        <v>1</v>
      </c>
      <c r="G190">
        <v>208.68</v>
      </c>
      <c r="H190">
        <v>100</v>
      </c>
      <c r="I190">
        <v>467.36</v>
      </c>
      <c r="J190">
        <v>-4</v>
      </c>
      <c r="K190">
        <v>-1.88</v>
      </c>
      <c r="L190">
        <v>0</v>
      </c>
      <c r="M190">
        <v>-8.9600000000000009</v>
      </c>
      <c r="N190">
        <v>1172.83</v>
      </c>
      <c r="O190">
        <v>100</v>
      </c>
      <c r="P190">
        <v>2626.7</v>
      </c>
    </row>
    <row r="191" spans="1:16" x14ac:dyDescent="0.2">
      <c r="A191" t="s">
        <v>16</v>
      </c>
      <c r="C191" t="b">
        <v>1</v>
      </c>
      <c r="D191" t="s">
        <v>45</v>
      </c>
      <c r="E191" t="s">
        <v>27</v>
      </c>
      <c r="F191" t="b">
        <v>0</v>
      </c>
      <c r="G191">
        <v>19.989999999999998</v>
      </c>
      <c r="H191">
        <v>9.58</v>
      </c>
      <c r="I191">
        <v>44.77</v>
      </c>
      <c r="J191">
        <v>0.78</v>
      </c>
      <c r="K191">
        <v>4.0599999999999996</v>
      </c>
      <c r="L191">
        <v>0.55000000000000004</v>
      </c>
      <c r="M191">
        <v>1.75</v>
      </c>
      <c r="N191">
        <v>144.66999999999999</v>
      </c>
      <c r="O191">
        <v>12.34</v>
      </c>
      <c r="P191">
        <v>324.01</v>
      </c>
    </row>
    <row r="192" spans="1:16" x14ac:dyDescent="0.2">
      <c r="A192" t="s">
        <v>16</v>
      </c>
      <c r="C192" t="b">
        <v>1</v>
      </c>
      <c r="D192" t="s">
        <v>46</v>
      </c>
      <c r="E192" t="s">
        <v>18</v>
      </c>
      <c r="F192" t="b">
        <v>0</v>
      </c>
      <c r="G192">
        <v>8.35</v>
      </c>
      <c r="H192">
        <v>4.0599999999999996</v>
      </c>
      <c r="I192">
        <v>18.7</v>
      </c>
      <c r="J192">
        <v>-0.11</v>
      </c>
      <c r="K192">
        <v>-1.3</v>
      </c>
      <c r="L192">
        <v>0.02</v>
      </c>
      <c r="M192">
        <v>-0.25</v>
      </c>
      <c r="N192">
        <v>57.91</v>
      </c>
      <c r="O192">
        <v>4.2</v>
      </c>
      <c r="P192">
        <v>129.69999999999999</v>
      </c>
    </row>
    <row r="193" spans="1:16" x14ac:dyDescent="0.2">
      <c r="A193" t="s">
        <v>16</v>
      </c>
      <c r="C193" t="b">
        <v>1</v>
      </c>
      <c r="D193" t="s">
        <v>46</v>
      </c>
      <c r="E193" t="s">
        <v>19</v>
      </c>
      <c r="F193" t="b">
        <v>0</v>
      </c>
      <c r="G193">
        <v>41.08</v>
      </c>
      <c r="H193">
        <v>19.98</v>
      </c>
      <c r="I193">
        <v>92</v>
      </c>
      <c r="J193">
        <v>-1.1599999999999999</v>
      </c>
      <c r="K193">
        <v>-2.75</v>
      </c>
      <c r="L193">
        <v>-0.22</v>
      </c>
      <c r="M193">
        <v>-2.6</v>
      </c>
      <c r="N193">
        <v>271.5</v>
      </c>
      <c r="O193">
        <v>19.7</v>
      </c>
      <c r="P193">
        <v>608.05999999999995</v>
      </c>
    </row>
    <row r="194" spans="1:16" x14ac:dyDescent="0.2">
      <c r="A194" t="s">
        <v>16</v>
      </c>
      <c r="C194" t="b">
        <v>1</v>
      </c>
      <c r="D194" t="s">
        <v>46</v>
      </c>
      <c r="E194" t="s">
        <v>20</v>
      </c>
      <c r="F194" t="b">
        <v>0</v>
      </c>
      <c r="G194">
        <v>31.2</v>
      </c>
      <c r="H194">
        <v>15.17</v>
      </c>
      <c r="I194">
        <v>69.88</v>
      </c>
      <c r="J194">
        <v>-5.91</v>
      </c>
      <c r="K194">
        <v>-15.93</v>
      </c>
      <c r="L194">
        <v>-2.57</v>
      </c>
      <c r="M194">
        <v>-13.24</v>
      </c>
      <c r="N194">
        <v>214.63</v>
      </c>
      <c r="O194">
        <v>15.57</v>
      </c>
      <c r="P194">
        <v>480.69</v>
      </c>
    </row>
    <row r="195" spans="1:16" x14ac:dyDescent="0.2">
      <c r="A195" t="s">
        <v>16</v>
      </c>
      <c r="C195" t="b">
        <v>1</v>
      </c>
      <c r="D195" t="s">
        <v>46</v>
      </c>
      <c r="E195" t="s">
        <v>21</v>
      </c>
      <c r="F195" t="b">
        <v>0</v>
      </c>
      <c r="G195">
        <v>31.72</v>
      </c>
      <c r="H195">
        <v>15.43</v>
      </c>
      <c r="I195">
        <v>71.040000000000006</v>
      </c>
      <c r="J195">
        <v>5.86</v>
      </c>
      <c r="K195">
        <v>22.66</v>
      </c>
      <c r="L195">
        <v>3.07</v>
      </c>
      <c r="M195">
        <v>13.12</v>
      </c>
      <c r="N195">
        <v>197.07</v>
      </c>
      <c r="O195">
        <v>14.3</v>
      </c>
      <c r="P195">
        <v>441.36</v>
      </c>
    </row>
    <row r="196" spans="1:16" x14ac:dyDescent="0.2">
      <c r="A196" t="s">
        <v>16</v>
      </c>
      <c r="C196" t="b">
        <v>1</v>
      </c>
      <c r="D196" t="s">
        <v>46</v>
      </c>
      <c r="E196" t="s">
        <v>22</v>
      </c>
      <c r="F196" t="b">
        <v>0</v>
      </c>
      <c r="G196">
        <v>54.39</v>
      </c>
      <c r="H196">
        <v>26.45</v>
      </c>
      <c r="I196">
        <v>121.81</v>
      </c>
      <c r="J196">
        <v>1</v>
      </c>
      <c r="K196">
        <v>1.87</v>
      </c>
      <c r="L196">
        <v>0.92</v>
      </c>
      <c r="M196">
        <v>2.2400000000000002</v>
      </c>
      <c r="N196">
        <v>371.2</v>
      </c>
      <c r="O196">
        <v>26.93</v>
      </c>
      <c r="P196">
        <v>831.35</v>
      </c>
    </row>
    <row r="197" spans="1:16" x14ac:dyDescent="0.2">
      <c r="A197" t="s">
        <v>16</v>
      </c>
      <c r="C197" t="b">
        <v>1</v>
      </c>
      <c r="D197" t="s">
        <v>46</v>
      </c>
      <c r="E197" t="s">
        <v>23</v>
      </c>
      <c r="F197" t="b">
        <v>0</v>
      </c>
      <c r="G197">
        <v>5.85</v>
      </c>
      <c r="H197">
        <v>2.84</v>
      </c>
      <c r="I197">
        <v>13.1</v>
      </c>
      <c r="J197">
        <v>-0.26</v>
      </c>
      <c r="K197">
        <v>-4.26</v>
      </c>
      <c r="L197">
        <v>-0.08</v>
      </c>
      <c r="M197">
        <v>-0.57999999999999996</v>
      </c>
      <c r="N197">
        <v>40.04</v>
      </c>
      <c r="O197">
        <v>2.9</v>
      </c>
      <c r="P197">
        <v>89.67</v>
      </c>
    </row>
    <row r="198" spans="1:16" x14ac:dyDescent="0.2">
      <c r="A198" t="s">
        <v>16</v>
      </c>
      <c r="C198" t="b">
        <v>1</v>
      </c>
      <c r="D198" t="s">
        <v>46</v>
      </c>
      <c r="E198" t="s">
        <v>24</v>
      </c>
      <c r="F198" t="b">
        <v>0</v>
      </c>
      <c r="G198">
        <v>1.28</v>
      </c>
      <c r="H198">
        <v>0.62</v>
      </c>
      <c r="I198">
        <v>2.87</v>
      </c>
      <c r="J198">
        <v>-0.46</v>
      </c>
      <c r="K198">
        <v>-26.44</v>
      </c>
      <c r="L198">
        <v>-0.21</v>
      </c>
      <c r="M198">
        <v>-1.03</v>
      </c>
      <c r="N198">
        <v>8.39</v>
      </c>
      <c r="O198">
        <v>0.61</v>
      </c>
      <c r="P198">
        <v>18.79</v>
      </c>
    </row>
    <row r="199" spans="1:16" x14ac:dyDescent="0.2">
      <c r="A199" t="s">
        <v>16</v>
      </c>
      <c r="C199" t="b">
        <v>1</v>
      </c>
      <c r="D199" t="s">
        <v>46</v>
      </c>
      <c r="E199" t="s">
        <v>25</v>
      </c>
      <c r="F199" t="b">
        <v>0</v>
      </c>
      <c r="G199">
        <v>13.44</v>
      </c>
      <c r="H199">
        <v>6.54</v>
      </c>
      <c r="I199">
        <v>30.1</v>
      </c>
      <c r="J199">
        <v>-0.11</v>
      </c>
      <c r="K199">
        <v>-0.81</v>
      </c>
      <c r="L199">
        <v>0.06</v>
      </c>
      <c r="M199">
        <v>-0.25</v>
      </c>
      <c r="N199">
        <v>54.73</v>
      </c>
      <c r="O199">
        <v>3.97</v>
      </c>
      <c r="P199">
        <v>122.57</v>
      </c>
    </row>
    <row r="200" spans="1:16" x14ac:dyDescent="0.2">
      <c r="A200" t="s">
        <v>16</v>
      </c>
      <c r="C200" t="b">
        <v>1</v>
      </c>
      <c r="D200" t="s">
        <v>46</v>
      </c>
      <c r="E200" t="s">
        <v>26</v>
      </c>
      <c r="F200" t="b">
        <v>1</v>
      </c>
      <c r="G200">
        <v>205.63</v>
      </c>
      <c r="H200">
        <v>100</v>
      </c>
      <c r="I200">
        <v>460.53</v>
      </c>
      <c r="J200">
        <v>-3.53</v>
      </c>
      <c r="K200">
        <v>-1.69</v>
      </c>
      <c r="L200">
        <v>0</v>
      </c>
      <c r="M200">
        <v>-7.91</v>
      </c>
      <c r="N200">
        <v>1378.46</v>
      </c>
      <c r="O200">
        <v>100</v>
      </c>
      <c r="P200">
        <v>3087.23</v>
      </c>
    </row>
    <row r="201" spans="1:16" x14ac:dyDescent="0.2">
      <c r="A201" t="s">
        <v>16</v>
      </c>
      <c r="C201" t="b">
        <v>1</v>
      </c>
      <c r="D201" t="s">
        <v>46</v>
      </c>
      <c r="E201" t="s">
        <v>27</v>
      </c>
      <c r="F201" t="b">
        <v>0</v>
      </c>
      <c r="G201">
        <v>18.32</v>
      </c>
      <c r="H201">
        <v>8.91</v>
      </c>
      <c r="I201">
        <v>41.03</v>
      </c>
      <c r="J201">
        <v>-2.38</v>
      </c>
      <c r="K201">
        <v>-11.5</v>
      </c>
      <c r="L201">
        <v>-0.99</v>
      </c>
      <c r="M201">
        <v>-5.33</v>
      </c>
      <c r="N201">
        <v>162.99</v>
      </c>
      <c r="O201">
        <v>11.82</v>
      </c>
      <c r="P201">
        <v>365.04</v>
      </c>
    </row>
    <row r="202" spans="1:16" x14ac:dyDescent="0.2">
      <c r="A202" t="s">
        <v>16</v>
      </c>
      <c r="C202" t="b">
        <v>1</v>
      </c>
      <c r="D202" t="s">
        <v>47</v>
      </c>
      <c r="E202" t="s">
        <v>18</v>
      </c>
      <c r="F202" t="b">
        <v>0</v>
      </c>
      <c r="G202">
        <v>8.65</v>
      </c>
      <c r="H202">
        <v>3.96</v>
      </c>
      <c r="I202">
        <v>19.37</v>
      </c>
      <c r="J202">
        <v>0.24</v>
      </c>
      <c r="K202">
        <v>2.85</v>
      </c>
      <c r="L202">
        <v>7.0000000000000007E-2</v>
      </c>
      <c r="M202">
        <v>0.54</v>
      </c>
      <c r="N202">
        <v>66.56</v>
      </c>
      <c r="O202">
        <v>4.17</v>
      </c>
      <c r="P202">
        <v>149.07</v>
      </c>
    </row>
    <row r="203" spans="1:16" x14ac:dyDescent="0.2">
      <c r="A203" t="s">
        <v>16</v>
      </c>
      <c r="C203" t="b">
        <v>1</v>
      </c>
      <c r="D203" t="s">
        <v>47</v>
      </c>
      <c r="E203" t="s">
        <v>19</v>
      </c>
      <c r="F203" t="b">
        <v>0</v>
      </c>
      <c r="G203">
        <v>48.49</v>
      </c>
      <c r="H203">
        <v>22.19</v>
      </c>
      <c r="I203">
        <v>108.6</v>
      </c>
      <c r="J203">
        <v>2.46</v>
      </c>
      <c r="K203">
        <v>5.34</v>
      </c>
      <c r="L203">
        <v>0.9</v>
      </c>
      <c r="M203">
        <v>5.51</v>
      </c>
      <c r="N203">
        <v>319.99</v>
      </c>
      <c r="O203">
        <v>20.04</v>
      </c>
      <c r="P203">
        <v>716.66</v>
      </c>
    </row>
    <row r="204" spans="1:16" x14ac:dyDescent="0.2">
      <c r="A204" t="s">
        <v>16</v>
      </c>
      <c r="C204" t="b">
        <v>1</v>
      </c>
      <c r="D204" t="s">
        <v>47</v>
      </c>
      <c r="E204" t="s">
        <v>20</v>
      </c>
      <c r="F204" t="b">
        <v>0</v>
      </c>
      <c r="G204">
        <v>38.82</v>
      </c>
      <c r="H204">
        <v>17.77</v>
      </c>
      <c r="I204">
        <v>86.94</v>
      </c>
      <c r="J204">
        <v>-2.86</v>
      </c>
      <c r="K204">
        <v>-6.86</v>
      </c>
      <c r="L204">
        <v>-1.51</v>
      </c>
      <c r="M204">
        <v>-6.41</v>
      </c>
      <c r="N204">
        <v>253.45</v>
      </c>
      <c r="O204">
        <v>15.87</v>
      </c>
      <c r="P204">
        <v>567.63</v>
      </c>
    </row>
    <row r="205" spans="1:16" x14ac:dyDescent="0.2">
      <c r="A205" t="s">
        <v>16</v>
      </c>
      <c r="C205" t="b">
        <v>1</v>
      </c>
      <c r="D205" t="s">
        <v>47</v>
      </c>
      <c r="E205" t="s">
        <v>21</v>
      </c>
      <c r="F205" t="b">
        <v>0</v>
      </c>
      <c r="G205">
        <v>26.62</v>
      </c>
      <c r="H205">
        <v>12.18</v>
      </c>
      <c r="I205">
        <v>59.62</v>
      </c>
      <c r="J205">
        <v>1.9</v>
      </c>
      <c r="K205">
        <v>7.69</v>
      </c>
      <c r="L205">
        <v>0.75</v>
      </c>
      <c r="M205">
        <v>4.26</v>
      </c>
      <c r="N205">
        <v>223.69</v>
      </c>
      <c r="O205">
        <v>14.01</v>
      </c>
      <c r="P205">
        <v>500.98</v>
      </c>
    </row>
    <row r="206" spans="1:16" x14ac:dyDescent="0.2">
      <c r="A206" t="s">
        <v>16</v>
      </c>
      <c r="C206" t="b">
        <v>1</v>
      </c>
      <c r="D206" t="s">
        <v>47</v>
      </c>
      <c r="E206" t="s">
        <v>22</v>
      </c>
      <c r="F206" t="b">
        <v>0</v>
      </c>
      <c r="G206">
        <v>58.06</v>
      </c>
      <c r="H206">
        <v>26.57</v>
      </c>
      <c r="I206">
        <v>130.03</v>
      </c>
      <c r="J206">
        <v>2.91</v>
      </c>
      <c r="K206">
        <v>5.28</v>
      </c>
      <c r="L206">
        <v>1.06</v>
      </c>
      <c r="M206">
        <v>6.52</v>
      </c>
      <c r="N206">
        <v>429.26</v>
      </c>
      <c r="O206">
        <v>26.88</v>
      </c>
      <c r="P206">
        <v>961.38</v>
      </c>
    </row>
    <row r="207" spans="1:16" x14ac:dyDescent="0.2">
      <c r="A207" t="s">
        <v>16</v>
      </c>
      <c r="C207" t="b">
        <v>1</v>
      </c>
      <c r="D207" t="s">
        <v>47</v>
      </c>
      <c r="E207" t="s">
        <v>23</v>
      </c>
      <c r="F207" t="b">
        <v>0</v>
      </c>
      <c r="G207">
        <v>6.38</v>
      </c>
      <c r="H207">
        <v>2.92</v>
      </c>
      <c r="I207">
        <v>14.29</v>
      </c>
      <c r="J207">
        <v>-0.01</v>
      </c>
      <c r="K207">
        <v>-0.16</v>
      </c>
      <c r="L207">
        <v>-0.04</v>
      </c>
      <c r="M207">
        <v>-0.02</v>
      </c>
      <c r="N207">
        <v>46.42</v>
      </c>
      <c r="O207">
        <v>2.91</v>
      </c>
      <c r="P207">
        <v>103.96</v>
      </c>
    </row>
    <row r="208" spans="1:16" x14ac:dyDescent="0.2">
      <c r="A208" t="s">
        <v>16</v>
      </c>
      <c r="C208" t="b">
        <v>1</v>
      </c>
      <c r="D208" t="s">
        <v>47</v>
      </c>
      <c r="E208" t="s">
        <v>24</v>
      </c>
      <c r="F208" t="b">
        <v>0</v>
      </c>
      <c r="G208">
        <v>1.38</v>
      </c>
      <c r="H208">
        <v>0.63</v>
      </c>
      <c r="I208">
        <v>3.09</v>
      </c>
      <c r="J208">
        <v>-0.44</v>
      </c>
      <c r="K208">
        <v>-24.18</v>
      </c>
      <c r="L208">
        <v>-0.21</v>
      </c>
      <c r="M208">
        <v>-0.99</v>
      </c>
      <c r="N208">
        <v>9.77</v>
      </c>
      <c r="O208">
        <v>0.61</v>
      </c>
      <c r="P208">
        <v>21.88</v>
      </c>
    </row>
    <row r="209" spans="1:16" x14ac:dyDescent="0.2">
      <c r="A209" t="s">
        <v>16</v>
      </c>
      <c r="C209" t="b">
        <v>1</v>
      </c>
      <c r="D209" t="s">
        <v>47</v>
      </c>
      <c r="E209" t="s">
        <v>25</v>
      </c>
      <c r="F209" t="b">
        <v>0</v>
      </c>
      <c r="G209">
        <v>15.56</v>
      </c>
      <c r="H209">
        <v>7.12</v>
      </c>
      <c r="I209">
        <v>34.85</v>
      </c>
      <c r="J209">
        <v>2.33</v>
      </c>
      <c r="K209">
        <v>17.61</v>
      </c>
      <c r="L209">
        <v>1</v>
      </c>
      <c r="M209">
        <v>5.22</v>
      </c>
      <c r="N209">
        <v>70.290000000000006</v>
      </c>
      <c r="O209">
        <v>4.4000000000000004</v>
      </c>
      <c r="P209">
        <v>157.41999999999999</v>
      </c>
    </row>
    <row r="210" spans="1:16" x14ac:dyDescent="0.2">
      <c r="A210" t="s">
        <v>16</v>
      </c>
      <c r="C210" t="b">
        <v>1</v>
      </c>
      <c r="D210" t="s">
        <v>47</v>
      </c>
      <c r="E210" t="s">
        <v>26</v>
      </c>
      <c r="F210" t="b">
        <v>1</v>
      </c>
      <c r="G210">
        <v>218.49</v>
      </c>
      <c r="H210">
        <v>100</v>
      </c>
      <c r="I210">
        <v>489.34</v>
      </c>
      <c r="J210">
        <v>2.2999999999999998</v>
      </c>
      <c r="K210">
        <v>1.06</v>
      </c>
      <c r="L210">
        <v>0</v>
      </c>
      <c r="M210">
        <v>5.15</v>
      </c>
      <c r="N210">
        <v>1596.95</v>
      </c>
      <c r="O210">
        <v>100</v>
      </c>
      <c r="P210">
        <v>3576.57</v>
      </c>
    </row>
    <row r="211" spans="1:16" x14ac:dyDescent="0.2">
      <c r="A211" t="s">
        <v>16</v>
      </c>
      <c r="C211" t="b">
        <v>1</v>
      </c>
      <c r="D211" t="s">
        <v>47</v>
      </c>
      <c r="E211" t="s">
        <v>27</v>
      </c>
      <c r="F211" t="b">
        <v>0</v>
      </c>
      <c r="G211">
        <v>14.53</v>
      </c>
      <c r="H211">
        <v>6.65</v>
      </c>
      <c r="I211">
        <v>32.54</v>
      </c>
      <c r="J211">
        <v>-4.2300000000000004</v>
      </c>
      <c r="K211">
        <v>-22.55</v>
      </c>
      <c r="L211">
        <v>-2.0299999999999998</v>
      </c>
      <c r="M211">
        <v>-9.4700000000000006</v>
      </c>
      <c r="N211">
        <v>177.52</v>
      </c>
      <c r="O211">
        <v>11.12</v>
      </c>
      <c r="P211">
        <v>397.58</v>
      </c>
    </row>
    <row r="212" spans="1:16" x14ac:dyDescent="0.2">
      <c r="A212" t="s">
        <v>16</v>
      </c>
      <c r="C212" t="b">
        <v>1</v>
      </c>
      <c r="D212" t="s">
        <v>48</v>
      </c>
      <c r="E212" t="s">
        <v>18</v>
      </c>
      <c r="F212" t="b">
        <v>0</v>
      </c>
      <c r="G212">
        <v>8.84</v>
      </c>
      <c r="H212">
        <v>4.17</v>
      </c>
      <c r="I212">
        <v>19.8</v>
      </c>
      <c r="J212">
        <v>0.35</v>
      </c>
      <c r="K212">
        <v>4.12</v>
      </c>
      <c r="L212">
        <v>0.13</v>
      </c>
      <c r="M212">
        <v>0.78</v>
      </c>
      <c r="N212">
        <v>75.400000000000006</v>
      </c>
      <c r="O212">
        <v>4.17</v>
      </c>
      <c r="P212">
        <v>168.87</v>
      </c>
    </row>
    <row r="213" spans="1:16" x14ac:dyDescent="0.2">
      <c r="A213" t="s">
        <v>16</v>
      </c>
      <c r="C213" t="b">
        <v>1</v>
      </c>
      <c r="D213" t="s">
        <v>48</v>
      </c>
      <c r="E213" t="s">
        <v>19</v>
      </c>
      <c r="F213" t="b">
        <v>0</v>
      </c>
      <c r="G213">
        <v>46.55</v>
      </c>
      <c r="H213">
        <v>21.98</v>
      </c>
      <c r="I213">
        <v>104.25</v>
      </c>
      <c r="J213">
        <v>2.16</v>
      </c>
      <c r="K213">
        <v>4.87</v>
      </c>
      <c r="L213">
        <v>0.84</v>
      </c>
      <c r="M213">
        <v>4.84</v>
      </c>
      <c r="N213">
        <v>366.54</v>
      </c>
      <c r="O213">
        <v>20.260000000000002</v>
      </c>
      <c r="P213">
        <v>820.91</v>
      </c>
    </row>
    <row r="214" spans="1:16" x14ac:dyDescent="0.2">
      <c r="A214" t="s">
        <v>16</v>
      </c>
      <c r="C214" t="b">
        <v>1</v>
      </c>
      <c r="D214" t="s">
        <v>48</v>
      </c>
      <c r="E214" t="s">
        <v>20</v>
      </c>
      <c r="F214" t="b">
        <v>0</v>
      </c>
      <c r="G214">
        <v>39.04</v>
      </c>
      <c r="H214">
        <v>18.43</v>
      </c>
      <c r="I214">
        <v>87.43</v>
      </c>
      <c r="J214">
        <v>3.1</v>
      </c>
      <c r="K214">
        <v>8.6300000000000008</v>
      </c>
      <c r="L214">
        <v>1.32</v>
      </c>
      <c r="M214">
        <v>6.94</v>
      </c>
      <c r="N214">
        <v>292.49</v>
      </c>
      <c r="O214">
        <v>16.170000000000002</v>
      </c>
      <c r="P214">
        <v>655.07000000000005</v>
      </c>
    </row>
    <row r="215" spans="1:16" x14ac:dyDescent="0.2">
      <c r="A215" t="s">
        <v>16</v>
      </c>
      <c r="C215" t="b">
        <v>1</v>
      </c>
      <c r="D215" t="s">
        <v>48</v>
      </c>
      <c r="E215" t="s">
        <v>21</v>
      </c>
      <c r="F215" t="b">
        <v>0</v>
      </c>
      <c r="G215">
        <v>22.2</v>
      </c>
      <c r="H215">
        <v>10.48</v>
      </c>
      <c r="I215">
        <v>49.72</v>
      </c>
      <c r="J215">
        <v>-2.0499999999999998</v>
      </c>
      <c r="K215">
        <v>-8.4499999999999993</v>
      </c>
      <c r="L215">
        <v>-1.07</v>
      </c>
      <c r="M215">
        <v>-4.59</v>
      </c>
      <c r="N215">
        <v>245.89</v>
      </c>
      <c r="O215">
        <v>13.59</v>
      </c>
      <c r="P215">
        <v>550.70000000000005</v>
      </c>
    </row>
    <row r="216" spans="1:16" x14ac:dyDescent="0.2">
      <c r="A216" t="s">
        <v>16</v>
      </c>
      <c r="C216" t="b">
        <v>1</v>
      </c>
      <c r="D216" t="s">
        <v>48</v>
      </c>
      <c r="E216" t="s">
        <v>22</v>
      </c>
      <c r="F216" t="b">
        <v>0</v>
      </c>
      <c r="G216">
        <v>54.97</v>
      </c>
      <c r="H216">
        <v>25.95</v>
      </c>
      <c r="I216">
        <v>123.11</v>
      </c>
      <c r="J216">
        <v>-3.05</v>
      </c>
      <c r="K216">
        <v>-5.26</v>
      </c>
      <c r="L216">
        <v>-1.68</v>
      </c>
      <c r="M216">
        <v>-6.83</v>
      </c>
      <c r="N216">
        <v>484.23</v>
      </c>
      <c r="O216">
        <v>26.77</v>
      </c>
      <c r="P216">
        <v>1084.49</v>
      </c>
    </row>
    <row r="217" spans="1:16" x14ac:dyDescent="0.2">
      <c r="A217" t="s">
        <v>16</v>
      </c>
      <c r="C217" t="b">
        <v>1</v>
      </c>
      <c r="D217" t="s">
        <v>48</v>
      </c>
      <c r="E217" t="s">
        <v>23</v>
      </c>
      <c r="F217" t="b">
        <v>0</v>
      </c>
      <c r="G217">
        <v>6.49</v>
      </c>
      <c r="H217">
        <v>3.06</v>
      </c>
      <c r="I217">
        <v>14.54</v>
      </c>
      <c r="J217">
        <v>0.11</v>
      </c>
      <c r="K217">
        <v>1.72</v>
      </c>
      <c r="L217">
        <v>0.02</v>
      </c>
      <c r="M217">
        <v>0.25</v>
      </c>
      <c r="N217">
        <v>52.91</v>
      </c>
      <c r="O217">
        <v>2.93</v>
      </c>
      <c r="P217">
        <v>118.5</v>
      </c>
    </row>
    <row r="218" spans="1:16" x14ac:dyDescent="0.2">
      <c r="A218" t="s">
        <v>16</v>
      </c>
      <c r="C218" t="b">
        <v>1</v>
      </c>
      <c r="D218" t="s">
        <v>48</v>
      </c>
      <c r="E218" t="s">
        <v>24</v>
      </c>
      <c r="F218" t="b">
        <v>0</v>
      </c>
      <c r="G218">
        <v>1.39</v>
      </c>
      <c r="H218">
        <v>0.66</v>
      </c>
      <c r="I218">
        <v>3.11</v>
      </c>
      <c r="J218">
        <v>-0.35</v>
      </c>
      <c r="K218">
        <v>-20.11</v>
      </c>
      <c r="L218">
        <v>-0.17</v>
      </c>
      <c r="M218">
        <v>-0.78</v>
      </c>
      <c r="N218">
        <v>11.16</v>
      </c>
      <c r="O218">
        <v>0.62</v>
      </c>
      <c r="P218">
        <v>24.99</v>
      </c>
    </row>
    <row r="219" spans="1:16" x14ac:dyDescent="0.2">
      <c r="A219" t="s">
        <v>16</v>
      </c>
      <c r="C219" t="b">
        <v>1</v>
      </c>
      <c r="D219" t="s">
        <v>48</v>
      </c>
      <c r="E219" t="s">
        <v>25</v>
      </c>
      <c r="F219" t="b">
        <v>0</v>
      </c>
      <c r="G219">
        <v>13.4</v>
      </c>
      <c r="H219">
        <v>6.33</v>
      </c>
      <c r="I219">
        <v>30.01</v>
      </c>
      <c r="J219">
        <v>1</v>
      </c>
      <c r="K219">
        <v>8.06</v>
      </c>
      <c r="L219">
        <v>0.43</v>
      </c>
      <c r="M219">
        <v>2.2400000000000002</v>
      </c>
      <c r="N219">
        <v>83.69</v>
      </c>
      <c r="O219">
        <v>4.63</v>
      </c>
      <c r="P219">
        <v>187.43</v>
      </c>
    </row>
    <row r="220" spans="1:16" x14ac:dyDescent="0.2">
      <c r="A220" t="s">
        <v>16</v>
      </c>
      <c r="C220" t="b">
        <v>1</v>
      </c>
      <c r="D220" t="s">
        <v>48</v>
      </c>
      <c r="E220" t="s">
        <v>26</v>
      </c>
      <c r="F220" t="b">
        <v>1</v>
      </c>
      <c r="G220">
        <v>211.79</v>
      </c>
      <c r="H220">
        <v>100</v>
      </c>
      <c r="I220">
        <v>474.33</v>
      </c>
      <c r="J220">
        <v>1.79</v>
      </c>
      <c r="K220">
        <v>0.85</v>
      </c>
      <c r="L220">
        <v>0</v>
      </c>
      <c r="M220">
        <v>4.01</v>
      </c>
      <c r="N220">
        <v>1808.74</v>
      </c>
      <c r="O220">
        <v>100</v>
      </c>
      <c r="P220">
        <v>4050.9</v>
      </c>
    </row>
    <row r="221" spans="1:16" x14ac:dyDescent="0.2">
      <c r="A221" t="s">
        <v>16</v>
      </c>
      <c r="C221" t="b">
        <v>1</v>
      </c>
      <c r="D221" t="s">
        <v>48</v>
      </c>
      <c r="E221" t="s">
        <v>27</v>
      </c>
      <c r="F221" t="b">
        <v>0</v>
      </c>
      <c r="G221">
        <v>18.91</v>
      </c>
      <c r="H221">
        <v>8.93</v>
      </c>
      <c r="I221">
        <v>42.35</v>
      </c>
      <c r="J221">
        <v>0.52</v>
      </c>
      <c r="K221">
        <v>2.83</v>
      </c>
      <c r="L221">
        <v>0.17</v>
      </c>
      <c r="M221">
        <v>1.1599999999999999</v>
      </c>
      <c r="N221">
        <v>196.43</v>
      </c>
      <c r="O221">
        <v>10.86</v>
      </c>
      <c r="P221">
        <v>439.93</v>
      </c>
    </row>
    <row r="222" spans="1:16" x14ac:dyDescent="0.2">
      <c r="A222" t="s">
        <v>16</v>
      </c>
      <c r="C222" t="b">
        <v>1</v>
      </c>
      <c r="D222" t="s">
        <v>49</v>
      </c>
      <c r="E222" t="s">
        <v>18</v>
      </c>
      <c r="F222" t="b">
        <v>0</v>
      </c>
      <c r="G222">
        <v>8.89</v>
      </c>
      <c r="H222">
        <v>4.25</v>
      </c>
      <c r="I222">
        <v>19.91</v>
      </c>
      <c r="J222">
        <v>0.33</v>
      </c>
      <c r="K222">
        <v>3.86</v>
      </c>
      <c r="L222">
        <v>0.15</v>
      </c>
      <c r="M222">
        <v>0.74</v>
      </c>
      <c r="N222">
        <v>84.29</v>
      </c>
      <c r="O222">
        <v>4.18</v>
      </c>
      <c r="P222">
        <v>188.78</v>
      </c>
    </row>
    <row r="223" spans="1:16" x14ac:dyDescent="0.2">
      <c r="A223" t="s">
        <v>16</v>
      </c>
      <c r="C223" t="b">
        <v>1</v>
      </c>
      <c r="D223" t="s">
        <v>49</v>
      </c>
      <c r="E223" t="s">
        <v>19</v>
      </c>
      <c r="F223" t="b">
        <v>0</v>
      </c>
      <c r="G223">
        <v>46.54</v>
      </c>
      <c r="H223">
        <v>22.23</v>
      </c>
      <c r="I223">
        <v>104.23</v>
      </c>
      <c r="J223">
        <v>0.42</v>
      </c>
      <c r="K223">
        <v>0.91</v>
      </c>
      <c r="L223">
        <v>0.14000000000000001</v>
      </c>
      <c r="M223">
        <v>0.94</v>
      </c>
      <c r="N223">
        <v>413.08</v>
      </c>
      <c r="O223">
        <v>20.47</v>
      </c>
      <c r="P223">
        <v>925.14</v>
      </c>
    </row>
    <row r="224" spans="1:16" x14ac:dyDescent="0.2">
      <c r="A224" t="s">
        <v>16</v>
      </c>
      <c r="C224" t="b">
        <v>1</v>
      </c>
      <c r="D224" t="s">
        <v>49</v>
      </c>
      <c r="E224" t="s">
        <v>20</v>
      </c>
      <c r="F224" t="b">
        <v>0</v>
      </c>
      <c r="G224">
        <v>37.64</v>
      </c>
      <c r="H224">
        <v>17.98</v>
      </c>
      <c r="I224">
        <v>84.3</v>
      </c>
      <c r="J224">
        <v>1.29</v>
      </c>
      <c r="K224">
        <v>3.55</v>
      </c>
      <c r="L224">
        <v>0.56999999999999995</v>
      </c>
      <c r="M224">
        <v>2.89</v>
      </c>
      <c r="N224">
        <v>330.13</v>
      </c>
      <c r="O224">
        <v>16.36</v>
      </c>
      <c r="P224">
        <v>739.37</v>
      </c>
    </row>
    <row r="225" spans="1:16" x14ac:dyDescent="0.2">
      <c r="A225" t="s">
        <v>16</v>
      </c>
      <c r="C225" t="b">
        <v>1</v>
      </c>
      <c r="D225" t="s">
        <v>49</v>
      </c>
      <c r="E225" t="s">
        <v>21</v>
      </c>
      <c r="F225" t="b">
        <v>0</v>
      </c>
      <c r="G225">
        <v>20.25</v>
      </c>
      <c r="H225">
        <v>9.67</v>
      </c>
      <c r="I225">
        <v>45.35</v>
      </c>
      <c r="J225">
        <v>-4.26</v>
      </c>
      <c r="K225">
        <v>-17.38</v>
      </c>
      <c r="L225">
        <v>-2.0699999999999998</v>
      </c>
      <c r="M225">
        <v>-9.5399999999999991</v>
      </c>
      <c r="N225">
        <v>266.14</v>
      </c>
      <c r="O225">
        <v>13.19</v>
      </c>
      <c r="P225">
        <v>596.04999999999995</v>
      </c>
    </row>
    <row r="226" spans="1:16" x14ac:dyDescent="0.2">
      <c r="A226" t="s">
        <v>16</v>
      </c>
      <c r="C226" t="b">
        <v>1</v>
      </c>
      <c r="D226" t="s">
        <v>49</v>
      </c>
      <c r="E226" t="s">
        <v>22</v>
      </c>
      <c r="F226" t="b">
        <v>0</v>
      </c>
      <c r="G226">
        <v>55.14</v>
      </c>
      <c r="H226">
        <v>26.34</v>
      </c>
      <c r="I226">
        <v>123.49</v>
      </c>
      <c r="J226">
        <v>-1.49</v>
      </c>
      <c r="K226">
        <v>-2.63</v>
      </c>
      <c r="L226">
        <v>-0.79</v>
      </c>
      <c r="M226">
        <v>-3.34</v>
      </c>
      <c r="N226">
        <v>539.37</v>
      </c>
      <c r="O226">
        <v>26.73</v>
      </c>
      <c r="P226">
        <v>1207.99</v>
      </c>
    </row>
    <row r="227" spans="1:16" x14ac:dyDescent="0.2">
      <c r="A227" t="s">
        <v>16</v>
      </c>
      <c r="C227" t="b">
        <v>1</v>
      </c>
      <c r="D227" t="s">
        <v>49</v>
      </c>
      <c r="E227" t="s">
        <v>23</v>
      </c>
      <c r="F227" t="b">
        <v>0</v>
      </c>
      <c r="G227">
        <v>6.29</v>
      </c>
      <c r="H227">
        <v>3</v>
      </c>
      <c r="I227">
        <v>14.09</v>
      </c>
      <c r="J227">
        <v>0.43</v>
      </c>
      <c r="K227">
        <v>7.34</v>
      </c>
      <c r="L227">
        <v>0.19</v>
      </c>
      <c r="M227">
        <v>0.96</v>
      </c>
      <c r="N227">
        <v>59.2</v>
      </c>
      <c r="O227">
        <v>2.93</v>
      </c>
      <c r="P227">
        <v>132.59</v>
      </c>
    </row>
    <row r="228" spans="1:16" x14ac:dyDescent="0.2">
      <c r="A228" t="s">
        <v>16</v>
      </c>
      <c r="C228" t="b">
        <v>1</v>
      </c>
      <c r="D228" t="s">
        <v>49</v>
      </c>
      <c r="E228" t="s">
        <v>24</v>
      </c>
      <c r="F228" t="b">
        <v>0</v>
      </c>
      <c r="G228">
        <v>1.32</v>
      </c>
      <c r="H228">
        <v>0.63</v>
      </c>
      <c r="I228">
        <v>2.96</v>
      </c>
      <c r="J228">
        <v>-0.39</v>
      </c>
      <c r="K228">
        <v>-22.81</v>
      </c>
      <c r="L228">
        <v>-0.19</v>
      </c>
      <c r="M228">
        <v>-0.87</v>
      </c>
      <c r="N228">
        <v>12.48</v>
      </c>
      <c r="O228">
        <v>0.62</v>
      </c>
      <c r="P228">
        <v>27.95</v>
      </c>
    </row>
    <row r="229" spans="1:16" x14ac:dyDescent="0.2">
      <c r="A229" t="s">
        <v>16</v>
      </c>
      <c r="C229" t="b">
        <v>1</v>
      </c>
      <c r="D229" t="s">
        <v>49</v>
      </c>
      <c r="E229" t="s">
        <v>25</v>
      </c>
      <c r="F229" t="b">
        <v>0</v>
      </c>
      <c r="G229">
        <v>10.9</v>
      </c>
      <c r="H229">
        <v>5.21</v>
      </c>
      <c r="I229">
        <v>24.41</v>
      </c>
      <c r="J229">
        <v>1.8</v>
      </c>
      <c r="K229">
        <v>19.78</v>
      </c>
      <c r="L229">
        <v>0.85</v>
      </c>
      <c r="M229">
        <v>4.03</v>
      </c>
      <c r="N229">
        <v>94.59</v>
      </c>
      <c r="O229">
        <v>4.6900000000000004</v>
      </c>
      <c r="P229">
        <v>211.85</v>
      </c>
    </row>
    <row r="230" spans="1:16" x14ac:dyDescent="0.2">
      <c r="A230" t="s">
        <v>16</v>
      </c>
      <c r="C230" t="b">
        <v>1</v>
      </c>
      <c r="D230" t="s">
        <v>49</v>
      </c>
      <c r="E230" t="s">
        <v>26</v>
      </c>
      <c r="F230" t="b">
        <v>1</v>
      </c>
      <c r="G230">
        <v>209.33</v>
      </c>
      <c r="H230">
        <v>100</v>
      </c>
      <c r="I230">
        <v>468.82</v>
      </c>
      <c r="J230">
        <v>0.59</v>
      </c>
      <c r="K230">
        <v>0.28000000000000003</v>
      </c>
      <c r="L230">
        <v>0</v>
      </c>
      <c r="M230">
        <v>1.32</v>
      </c>
      <c r="N230">
        <v>2018.07</v>
      </c>
      <c r="O230">
        <v>100</v>
      </c>
      <c r="P230">
        <v>4519.72</v>
      </c>
    </row>
    <row r="231" spans="1:16" x14ac:dyDescent="0.2">
      <c r="A231" t="s">
        <v>16</v>
      </c>
      <c r="C231" t="b">
        <v>1</v>
      </c>
      <c r="D231" t="s">
        <v>49</v>
      </c>
      <c r="E231" t="s">
        <v>27</v>
      </c>
      <c r="F231" t="b">
        <v>0</v>
      </c>
      <c r="G231">
        <v>22.36</v>
      </c>
      <c r="H231">
        <v>10.68</v>
      </c>
      <c r="I231">
        <v>50.08</v>
      </c>
      <c r="J231">
        <v>2.46</v>
      </c>
      <c r="K231">
        <v>12.36</v>
      </c>
      <c r="L231">
        <v>1.1499999999999999</v>
      </c>
      <c r="M231">
        <v>5.51</v>
      </c>
      <c r="N231">
        <v>218.79</v>
      </c>
      <c r="O231">
        <v>10.84</v>
      </c>
      <c r="P231">
        <v>490.01</v>
      </c>
    </row>
    <row r="232" spans="1:16" x14ac:dyDescent="0.2">
      <c r="A232" t="s">
        <v>16</v>
      </c>
      <c r="C232" t="b">
        <v>1</v>
      </c>
      <c r="D232" t="s">
        <v>50</v>
      </c>
      <c r="E232" t="s">
        <v>18</v>
      </c>
      <c r="F232" t="b">
        <v>0</v>
      </c>
      <c r="G232">
        <v>9.7799999999999994</v>
      </c>
      <c r="H232">
        <v>4.3600000000000003</v>
      </c>
      <c r="I232">
        <v>21.9</v>
      </c>
      <c r="J232">
        <v>0.36</v>
      </c>
      <c r="K232">
        <v>3.82</v>
      </c>
      <c r="L232">
        <v>0.14000000000000001</v>
      </c>
      <c r="M232">
        <v>0.81</v>
      </c>
      <c r="N232">
        <v>94.07</v>
      </c>
      <c r="O232">
        <v>4.2</v>
      </c>
      <c r="P232">
        <v>210.68</v>
      </c>
    </row>
    <row r="233" spans="1:16" x14ac:dyDescent="0.2">
      <c r="A233" t="s">
        <v>16</v>
      </c>
      <c r="C233" t="b">
        <v>1</v>
      </c>
      <c r="D233" t="s">
        <v>50</v>
      </c>
      <c r="E233" t="s">
        <v>19</v>
      </c>
      <c r="F233" t="b">
        <v>0</v>
      </c>
      <c r="G233">
        <v>48.95</v>
      </c>
      <c r="H233">
        <v>21.83</v>
      </c>
      <c r="I233">
        <v>109.63</v>
      </c>
      <c r="J233">
        <v>0.27</v>
      </c>
      <c r="K233">
        <v>0.55000000000000004</v>
      </c>
      <c r="L233">
        <v>0.03</v>
      </c>
      <c r="M233">
        <v>0.6</v>
      </c>
      <c r="N233">
        <v>462.03</v>
      </c>
      <c r="O233">
        <v>20.6</v>
      </c>
      <c r="P233">
        <v>1034.77</v>
      </c>
    </row>
    <row r="234" spans="1:16" x14ac:dyDescent="0.2">
      <c r="A234" t="s">
        <v>16</v>
      </c>
      <c r="C234" t="b">
        <v>1</v>
      </c>
      <c r="D234" t="s">
        <v>50</v>
      </c>
      <c r="E234" t="s">
        <v>20</v>
      </c>
      <c r="F234" t="b">
        <v>0</v>
      </c>
      <c r="G234">
        <v>42.45</v>
      </c>
      <c r="H234">
        <v>18.93</v>
      </c>
      <c r="I234">
        <v>95.07</v>
      </c>
      <c r="J234">
        <v>0.23</v>
      </c>
      <c r="K234">
        <v>0.54</v>
      </c>
      <c r="L234">
        <v>0.02</v>
      </c>
      <c r="M234">
        <v>0.52</v>
      </c>
      <c r="N234">
        <v>372.58</v>
      </c>
      <c r="O234">
        <v>16.62</v>
      </c>
      <c r="P234">
        <v>834.44</v>
      </c>
    </row>
    <row r="235" spans="1:16" x14ac:dyDescent="0.2">
      <c r="A235" t="s">
        <v>16</v>
      </c>
      <c r="C235" t="b">
        <v>1</v>
      </c>
      <c r="D235" t="s">
        <v>50</v>
      </c>
      <c r="E235" t="s">
        <v>21</v>
      </c>
      <c r="F235" t="b">
        <v>0</v>
      </c>
      <c r="G235">
        <v>18.29</v>
      </c>
      <c r="H235">
        <v>8.16</v>
      </c>
      <c r="I235">
        <v>40.96</v>
      </c>
      <c r="J235">
        <v>-2.2799999999999998</v>
      </c>
      <c r="K235">
        <v>-11.08</v>
      </c>
      <c r="L235">
        <v>-1.05</v>
      </c>
      <c r="M235">
        <v>-5.1100000000000003</v>
      </c>
      <c r="N235">
        <v>284.43</v>
      </c>
      <c r="O235">
        <v>12.68</v>
      </c>
      <c r="P235">
        <v>637.02</v>
      </c>
    </row>
    <row r="236" spans="1:16" x14ac:dyDescent="0.2">
      <c r="A236" t="s">
        <v>16</v>
      </c>
      <c r="C236" t="b">
        <v>1</v>
      </c>
      <c r="D236" t="s">
        <v>50</v>
      </c>
      <c r="E236" t="s">
        <v>22</v>
      </c>
      <c r="F236" t="b">
        <v>0</v>
      </c>
      <c r="G236">
        <v>58.8</v>
      </c>
      <c r="H236">
        <v>26.22</v>
      </c>
      <c r="I236">
        <v>131.69</v>
      </c>
      <c r="J236">
        <v>2.25</v>
      </c>
      <c r="K236">
        <v>3.98</v>
      </c>
      <c r="L236">
        <v>0.89</v>
      </c>
      <c r="M236">
        <v>5.04</v>
      </c>
      <c r="N236">
        <v>598.16999999999996</v>
      </c>
      <c r="O236">
        <v>26.68</v>
      </c>
      <c r="P236">
        <v>1339.68</v>
      </c>
    </row>
    <row r="237" spans="1:16" x14ac:dyDescent="0.2">
      <c r="A237" t="s">
        <v>16</v>
      </c>
      <c r="C237" t="b">
        <v>1</v>
      </c>
      <c r="D237" t="s">
        <v>50</v>
      </c>
      <c r="E237" t="s">
        <v>23</v>
      </c>
      <c r="F237" t="b">
        <v>0</v>
      </c>
      <c r="G237">
        <v>6.55</v>
      </c>
      <c r="H237">
        <v>2.92</v>
      </c>
      <c r="I237">
        <v>14.67</v>
      </c>
      <c r="J237">
        <v>0.31</v>
      </c>
      <c r="K237">
        <v>4.97</v>
      </c>
      <c r="L237">
        <v>0.13</v>
      </c>
      <c r="M237">
        <v>0.69</v>
      </c>
      <c r="N237">
        <v>65.75</v>
      </c>
      <c r="O237">
        <v>2.93</v>
      </c>
      <c r="P237">
        <v>147.26</v>
      </c>
    </row>
    <row r="238" spans="1:16" x14ac:dyDescent="0.2">
      <c r="A238" t="s">
        <v>16</v>
      </c>
      <c r="C238" t="b">
        <v>1</v>
      </c>
      <c r="D238" t="s">
        <v>50</v>
      </c>
      <c r="E238" t="s">
        <v>24</v>
      </c>
      <c r="F238" t="b">
        <v>0</v>
      </c>
      <c r="G238">
        <v>1.4</v>
      </c>
      <c r="H238">
        <v>0.62</v>
      </c>
      <c r="I238">
        <v>3.14</v>
      </c>
      <c r="J238">
        <v>-0.28000000000000003</v>
      </c>
      <c r="K238">
        <v>-16.670000000000002</v>
      </c>
      <c r="L238">
        <v>-0.13</v>
      </c>
      <c r="M238">
        <v>-0.63</v>
      </c>
      <c r="N238">
        <v>13.88</v>
      </c>
      <c r="O238">
        <v>0.62</v>
      </c>
      <c r="P238">
        <v>31.09</v>
      </c>
    </row>
    <row r="239" spans="1:16" x14ac:dyDescent="0.2">
      <c r="A239" t="s">
        <v>16</v>
      </c>
      <c r="C239" t="b">
        <v>1</v>
      </c>
      <c r="D239" t="s">
        <v>50</v>
      </c>
      <c r="E239" t="s">
        <v>25</v>
      </c>
      <c r="F239" t="b">
        <v>0</v>
      </c>
      <c r="G239">
        <v>7.53</v>
      </c>
      <c r="H239">
        <v>3.36</v>
      </c>
      <c r="I239">
        <v>16.86</v>
      </c>
      <c r="J239">
        <v>0.5</v>
      </c>
      <c r="K239">
        <v>7.11</v>
      </c>
      <c r="L239">
        <v>0.21</v>
      </c>
      <c r="M239">
        <v>1.1200000000000001</v>
      </c>
      <c r="N239">
        <v>102.12</v>
      </c>
      <c r="O239">
        <v>4.55</v>
      </c>
      <c r="P239">
        <v>228.71</v>
      </c>
    </row>
    <row r="240" spans="1:16" x14ac:dyDescent="0.2">
      <c r="A240" t="s">
        <v>16</v>
      </c>
      <c r="C240" t="b">
        <v>1</v>
      </c>
      <c r="D240" t="s">
        <v>50</v>
      </c>
      <c r="E240" t="s">
        <v>26</v>
      </c>
      <c r="F240" t="b">
        <v>1</v>
      </c>
      <c r="G240">
        <v>224.25</v>
      </c>
      <c r="H240">
        <v>100</v>
      </c>
      <c r="I240">
        <v>502.24</v>
      </c>
      <c r="J240">
        <v>0.99</v>
      </c>
      <c r="K240">
        <v>0.44</v>
      </c>
      <c r="L240">
        <v>0</v>
      </c>
      <c r="M240">
        <v>2.2200000000000002</v>
      </c>
      <c r="N240">
        <v>2242.3200000000002</v>
      </c>
      <c r="O240">
        <v>100</v>
      </c>
      <c r="P240">
        <v>5021.95</v>
      </c>
    </row>
    <row r="241" spans="1:16" x14ac:dyDescent="0.2">
      <c r="A241" t="s">
        <v>16</v>
      </c>
      <c r="C241" t="b">
        <v>1</v>
      </c>
      <c r="D241" t="s">
        <v>50</v>
      </c>
      <c r="E241" t="s">
        <v>27</v>
      </c>
      <c r="F241" t="b">
        <v>0</v>
      </c>
      <c r="G241">
        <v>30.5</v>
      </c>
      <c r="H241">
        <v>13.6</v>
      </c>
      <c r="I241">
        <v>68.31</v>
      </c>
      <c r="J241">
        <v>-0.37</v>
      </c>
      <c r="K241">
        <v>-1.2</v>
      </c>
      <c r="L241">
        <v>-0.23</v>
      </c>
      <c r="M241">
        <v>-0.83</v>
      </c>
      <c r="N241">
        <v>249.29</v>
      </c>
      <c r="O241">
        <v>11.12</v>
      </c>
      <c r="P241">
        <v>558.32000000000005</v>
      </c>
    </row>
    <row r="242" spans="1:16" x14ac:dyDescent="0.2">
      <c r="A242" t="s">
        <v>16</v>
      </c>
      <c r="C242" t="b">
        <v>1</v>
      </c>
      <c r="D242" t="s">
        <v>51</v>
      </c>
      <c r="E242" t="s">
        <v>18</v>
      </c>
      <c r="F242" t="b">
        <v>0</v>
      </c>
      <c r="G242">
        <v>10.119999999999999</v>
      </c>
      <c r="H242">
        <v>4.3</v>
      </c>
      <c r="I242">
        <v>22.66</v>
      </c>
      <c r="J242">
        <v>0.18</v>
      </c>
      <c r="K242">
        <v>1.81</v>
      </c>
      <c r="L242">
        <v>0.15</v>
      </c>
      <c r="M242">
        <v>0.4</v>
      </c>
      <c r="N242">
        <v>104.19</v>
      </c>
      <c r="O242">
        <v>4.2</v>
      </c>
      <c r="P242">
        <v>233.35</v>
      </c>
    </row>
    <row r="243" spans="1:16" x14ac:dyDescent="0.2">
      <c r="A243" t="s">
        <v>16</v>
      </c>
      <c r="C243" t="b">
        <v>1</v>
      </c>
      <c r="D243" t="s">
        <v>51</v>
      </c>
      <c r="E243" t="s">
        <v>19</v>
      </c>
      <c r="F243" t="b">
        <v>0</v>
      </c>
      <c r="G243">
        <v>50.93</v>
      </c>
      <c r="H243">
        <v>21.62</v>
      </c>
      <c r="I243">
        <v>114.06</v>
      </c>
      <c r="J243">
        <v>-3.91</v>
      </c>
      <c r="K243">
        <v>-7.13</v>
      </c>
      <c r="L243">
        <v>-1.3</v>
      </c>
      <c r="M243">
        <v>-8.76</v>
      </c>
      <c r="N243">
        <v>512.96</v>
      </c>
      <c r="O243">
        <v>20.7</v>
      </c>
      <c r="P243">
        <v>1148.8399999999999</v>
      </c>
    </row>
    <row r="244" spans="1:16" x14ac:dyDescent="0.2">
      <c r="A244" t="s">
        <v>16</v>
      </c>
      <c r="C244" t="b">
        <v>1</v>
      </c>
      <c r="D244" t="s">
        <v>51</v>
      </c>
      <c r="E244" t="s">
        <v>20</v>
      </c>
      <c r="F244" t="b">
        <v>0</v>
      </c>
      <c r="G244">
        <v>49.4</v>
      </c>
      <c r="H244">
        <v>20.97</v>
      </c>
      <c r="I244">
        <v>110.64</v>
      </c>
      <c r="J244">
        <v>-2.62</v>
      </c>
      <c r="K244">
        <v>-5.04</v>
      </c>
      <c r="L244">
        <v>-0.77</v>
      </c>
      <c r="M244">
        <v>-5.87</v>
      </c>
      <c r="N244">
        <v>421.98</v>
      </c>
      <c r="O244">
        <v>17.03</v>
      </c>
      <c r="P244">
        <v>945.08</v>
      </c>
    </row>
    <row r="245" spans="1:16" x14ac:dyDescent="0.2">
      <c r="A245" t="s">
        <v>16</v>
      </c>
      <c r="C245" t="b">
        <v>1</v>
      </c>
      <c r="D245" t="s">
        <v>51</v>
      </c>
      <c r="E245" t="s">
        <v>21</v>
      </c>
      <c r="F245" t="b">
        <v>0</v>
      </c>
      <c r="G245">
        <v>23.93</v>
      </c>
      <c r="H245">
        <v>10.16</v>
      </c>
      <c r="I245">
        <v>53.59</v>
      </c>
      <c r="J245">
        <v>1.53</v>
      </c>
      <c r="K245">
        <v>6.83</v>
      </c>
      <c r="L245">
        <v>0.8</v>
      </c>
      <c r="M245">
        <v>3.43</v>
      </c>
      <c r="N245">
        <v>308.36</v>
      </c>
      <c r="O245">
        <v>12.44</v>
      </c>
      <c r="P245">
        <v>690.61</v>
      </c>
    </row>
    <row r="246" spans="1:16" x14ac:dyDescent="0.2">
      <c r="A246" t="s">
        <v>16</v>
      </c>
      <c r="C246" t="b">
        <v>1</v>
      </c>
      <c r="D246" t="s">
        <v>51</v>
      </c>
      <c r="E246" t="s">
        <v>22</v>
      </c>
      <c r="F246" t="b">
        <v>0</v>
      </c>
      <c r="G246">
        <v>59.81</v>
      </c>
      <c r="H246">
        <v>25.39</v>
      </c>
      <c r="I246">
        <v>133.94999999999999</v>
      </c>
      <c r="J246">
        <v>-0.08</v>
      </c>
      <c r="K246">
        <v>-0.13</v>
      </c>
      <c r="L246">
        <v>0.36</v>
      </c>
      <c r="M246">
        <v>-0.18</v>
      </c>
      <c r="N246">
        <v>657.98</v>
      </c>
      <c r="O246">
        <v>26.55</v>
      </c>
      <c r="P246">
        <v>1473.63</v>
      </c>
    </row>
    <row r="247" spans="1:16" x14ac:dyDescent="0.2">
      <c r="A247" t="s">
        <v>16</v>
      </c>
      <c r="C247" t="b">
        <v>1</v>
      </c>
      <c r="D247" t="s">
        <v>51</v>
      </c>
      <c r="E247" t="s">
        <v>23</v>
      </c>
      <c r="F247" t="b">
        <v>0</v>
      </c>
      <c r="G247">
        <v>6.58</v>
      </c>
      <c r="H247">
        <v>2.79</v>
      </c>
      <c r="I247">
        <v>14.74</v>
      </c>
      <c r="J247">
        <v>-0.03</v>
      </c>
      <c r="K247">
        <v>-0.45</v>
      </c>
      <c r="L247">
        <v>0.03</v>
      </c>
      <c r="M247">
        <v>-7.0000000000000007E-2</v>
      </c>
      <c r="N247">
        <v>72.33</v>
      </c>
      <c r="O247">
        <v>2.92</v>
      </c>
      <c r="P247">
        <v>161.99</v>
      </c>
    </row>
    <row r="248" spans="1:16" x14ac:dyDescent="0.2">
      <c r="A248" t="s">
        <v>16</v>
      </c>
      <c r="C248" t="b">
        <v>1</v>
      </c>
      <c r="D248" t="s">
        <v>51</v>
      </c>
      <c r="E248" t="s">
        <v>24</v>
      </c>
      <c r="F248" t="b">
        <v>0</v>
      </c>
      <c r="G248">
        <v>1.38</v>
      </c>
      <c r="H248">
        <v>0.59</v>
      </c>
      <c r="I248">
        <v>3.09</v>
      </c>
      <c r="J248">
        <v>-0.39</v>
      </c>
      <c r="K248">
        <v>-22.03</v>
      </c>
      <c r="L248">
        <v>-0.15</v>
      </c>
      <c r="M248">
        <v>-0.87</v>
      </c>
      <c r="N248">
        <v>15.26</v>
      </c>
      <c r="O248">
        <v>0.62</v>
      </c>
      <c r="P248">
        <v>34.18</v>
      </c>
    </row>
    <row r="249" spans="1:16" x14ac:dyDescent="0.2">
      <c r="A249" t="s">
        <v>16</v>
      </c>
      <c r="C249" t="b">
        <v>1</v>
      </c>
      <c r="D249" t="s">
        <v>51</v>
      </c>
      <c r="E249" t="s">
        <v>25</v>
      </c>
      <c r="F249" t="b">
        <v>0</v>
      </c>
      <c r="G249">
        <v>3.76</v>
      </c>
      <c r="H249">
        <v>1.6</v>
      </c>
      <c r="I249">
        <v>8.42</v>
      </c>
      <c r="J249">
        <v>7.0000000000000007E-2</v>
      </c>
      <c r="K249">
        <v>1.9</v>
      </c>
      <c r="L249">
        <v>0.06</v>
      </c>
      <c r="M249">
        <v>0.16</v>
      </c>
      <c r="N249">
        <v>105.88</v>
      </c>
      <c r="O249">
        <v>4.2699999999999996</v>
      </c>
      <c r="P249">
        <v>237.13</v>
      </c>
    </row>
    <row r="250" spans="1:16" x14ac:dyDescent="0.2">
      <c r="A250" t="s">
        <v>16</v>
      </c>
      <c r="C250" t="b">
        <v>1</v>
      </c>
      <c r="D250" t="s">
        <v>51</v>
      </c>
      <c r="E250" t="s">
        <v>26</v>
      </c>
      <c r="F250" t="b">
        <v>1</v>
      </c>
      <c r="G250">
        <v>235.55</v>
      </c>
      <c r="H250">
        <v>100</v>
      </c>
      <c r="I250">
        <v>527.54</v>
      </c>
      <c r="J250">
        <v>-3.75</v>
      </c>
      <c r="K250">
        <v>-1.57</v>
      </c>
      <c r="L250">
        <v>0</v>
      </c>
      <c r="M250">
        <v>-8.4</v>
      </c>
      <c r="N250">
        <v>2477.87</v>
      </c>
      <c r="O250">
        <v>100</v>
      </c>
      <c r="P250">
        <v>5549.5</v>
      </c>
    </row>
    <row r="251" spans="1:16" x14ac:dyDescent="0.2">
      <c r="A251" t="s">
        <v>16</v>
      </c>
      <c r="C251" t="b">
        <v>1</v>
      </c>
      <c r="D251" t="s">
        <v>51</v>
      </c>
      <c r="E251" t="s">
        <v>27</v>
      </c>
      <c r="F251" t="b">
        <v>0</v>
      </c>
      <c r="G251">
        <v>29.64</v>
      </c>
      <c r="H251">
        <v>12.58</v>
      </c>
      <c r="I251">
        <v>66.38</v>
      </c>
      <c r="J251">
        <v>1.5</v>
      </c>
      <c r="K251">
        <v>5.33</v>
      </c>
      <c r="L251">
        <v>0.82</v>
      </c>
      <c r="M251">
        <v>3.36</v>
      </c>
      <c r="N251">
        <v>278.93</v>
      </c>
      <c r="O251">
        <v>11.26</v>
      </c>
      <c r="P251">
        <v>624.70000000000005</v>
      </c>
    </row>
    <row r="252" spans="1:16" x14ac:dyDescent="0.2">
      <c r="A252" t="s">
        <v>16</v>
      </c>
      <c r="C252" t="b">
        <v>1</v>
      </c>
      <c r="D252" t="s">
        <v>52</v>
      </c>
      <c r="E252" t="s">
        <v>18</v>
      </c>
      <c r="F252" t="b">
        <v>0</v>
      </c>
      <c r="G252">
        <v>11.05</v>
      </c>
      <c r="H252">
        <v>4.4400000000000004</v>
      </c>
      <c r="I252">
        <v>24.75</v>
      </c>
      <c r="J252">
        <v>0.75</v>
      </c>
      <c r="K252">
        <v>7.28</v>
      </c>
      <c r="L252">
        <v>0.38</v>
      </c>
      <c r="M252">
        <v>1.68</v>
      </c>
      <c r="N252">
        <v>115.24</v>
      </c>
      <c r="O252">
        <v>4.2300000000000004</v>
      </c>
      <c r="P252">
        <v>258.08999999999997</v>
      </c>
    </row>
    <row r="253" spans="1:16" x14ac:dyDescent="0.2">
      <c r="A253" t="s">
        <v>16</v>
      </c>
      <c r="C253" t="b">
        <v>1</v>
      </c>
      <c r="D253" t="s">
        <v>52</v>
      </c>
      <c r="E253" t="s">
        <v>19</v>
      </c>
      <c r="F253" t="b">
        <v>0</v>
      </c>
      <c r="G253">
        <v>47.35</v>
      </c>
      <c r="H253">
        <v>19.010000000000002</v>
      </c>
      <c r="I253">
        <v>106.05</v>
      </c>
      <c r="J253">
        <v>-3.23</v>
      </c>
      <c r="K253">
        <v>-6.39</v>
      </c>
      <c r="L253">
        <v>-0.91</v>
      </c>
      <c r="M253">
        <v>-7.23</v>
      </c>
      <c r="N253">
        <v>560.30999999999995</v>
      </c>
      <c r="O253">
        <v>20.55</v>
      </c>
      <c r="P253">
        <v>1254.8800000000001</v>
      </c>
    </row>
    <row r="254" spans="1:16" x14ac:dyDescent="0.2">
      <c r="A254" t="s">
        <v>16</v>
      </c>
      <c r="C254" t="b">
        <v>1</v>
      </c>
      <c r="D254" t="s">
        <v>52</v>
      </c>
      <c r="E254" t="s">
        <v>20</v>
      </c>
      <c r="F254" t="b">
        <v>0</v>
      </c>
      <c r="G254">
        <v>48</v>
      </c>
      <c r="H254">
        <v>19.27</v>
      </c>
      <c r="I254">
        <v>107.5</v>
      </c>
      <c r="J254">
        <v>0.97</v>
      </c>
      <c r="K254">
        <v>2.06</v>
      </c>
      <c r="L254">
        <v>0.75</v>
      </c>
      <c r="M254">
        <v>2.17</v>
      </c>
      <c r="N254">
        <v>469.98</v>
      </c>
      <c r="O254">
        <v>17.23</v>
      </c>
      <c r="P254">
        <v>1052.58</v>
      </c>
    </row>
    <row r="255" spans="1:16" x14ac:dyDescent="0.2">
      <c r="A255" t="s">
        <v>16</v>
      </c>
      <c r="C255" t="b">
        <v>1</v>
      </c>
      <c r="D255" t="s">
        <v>52</v>
      </c>
      <c r="E255" t="s">
        <v>21</v>
      </c>
      <c r="F255" t="b">
        <v>0</v>
      </c>
      <c r="G255">
        <v>26.36</v>
      </c>
      <c r="H255">
        <v>10.58</v>
      </c>
      <c r="I255">
        <v>59.04</v>
      </c>
      <c r="J255">
        <v>1.44</v>
      </c>
      <c r="K255">
        <v>5.78</v>
      </c>
      <c r="L255">
        <v>0.77</v>
      </c>
      <c r="M255">
        <v>3.23</v>
      </c>
      <c r="N255">
        <v>334.72</v>
      </c>
      <c r="O255">
        <v>12.27</v>
      </c>
      <c r="P255">
        <v>749.65</v>
      </c>
    </row>
    <row r="256" spans="1:16" x14ac:dyDescent="0.2">
      <c r="A256" t="s">
        <v>16</v>
      </c>
      <c r="C256" t="b">
        <v>1</v>
      </c>
      <c r="D256" t="s">
        <v>52</v>
      </c>
      <c r="E256" t="s">
        <v>22</v>
      </c>
      <c r="F256" t="b">
        <v>0</v>
      </c>
      <c r="G256">
        <v>68.69</v>
      </c>
      <c r="H256">
        <v>27.58</v>
      </c>
      <c r="I256">
        <v>153.84</v>
      </c>
      <c r="J256">
        <v>-1.58</v>
      </c>
      <c r="K256">
        <v>-2.25</v>
      </c>
      <c r="L256">
        <v>-0.09</v>
      </c>
      <c r="M256">
        <v>-3.54</v>
      </c>
      <c r="N256">
        <v>726.67</v>
      </c>
      <c r="O256">
        <v>26.65</v>
      </c>
      <c r="P256">
        <v>1627.47</v>
      </c>
    </row>
    <row r="257" spans="1:16" x14ac:dyDescent="0.2">
      <c r="A257" t="s">
        <v>16</v>
      </c>
      <c r="C257" t="b">
        <v>1</v>
      </c>
      <c r="D257" t="s">
        <v>52</v>
      </c>
      <c r="E257" t="s">
        <v>23</v>
      </c>
      <c r="F257" t="b">
        <v>0</v>
      </c>
      <c r="G257">
        <v>6.79</v>
      </c>
      <c r="H257">
        <v>2.73</v>
      </c>
      <c r="I257">
        <v>15.21</v>
      </c>
      <c r="J257">
        <v>-0.01</v>
      </c>
      <c r="K257">
        <v>-0.15</v>
      </c>
      <c r="L257">
        <v>0.05</v>
      </c>
      <c r="M257">
        <v>-0.02</v>
      </c>
      <c r="N257">
        <v>79.12</v>
      </c>
      <c r="O257">
        <v>2.9</v>
      </c>
      <c r="P257">
        <v>177.2</v>
      </c>
    </row>
    <row r="258" spans="1:16" x14ac:dyDescent="0.2">
      <c r="A258" t="s">
        <v>16</v>
      </c>
      <c r="C258" t="b">
        <v>1</v>
      </c>
      <c r="D258" t="s">
        <v>52</v>
      </c>
      <c r="E258" t="s">
        <v>24</v>
      </c>
      <c r="F258" t="b">
        <v>0</v>
      </c>
      <c r="G258">
        <v>1.41</v>
      </c>
      <c r="H258">
        <v>0.56999999999999995</v>
      </c>
      <c r="I258">
        <v>3.16</v>
      </c>
      <c r="J258">
        <v>-0.28000000000000003</v>
      </c>
      <c r="K258">
        <v>-16.57</v>
      </c>
      <c r="L258">
        <v>-0.1</v>
      </c>
      <c r="M258">
        <v>-0.63</v>
      </c>
      <c r="N258">
        <v>16.670000000000002</v>
      </c>
      <c r="O258">
        <v>0.61</v>
      </c>
      <c r="P258">
        <v>37.33</v>
      </c>
    </row>
    <row r="259" spans="1:16" x14ac:dyDescent="0.2">
      <c r="A259" t="s">
        <v>16</v>
      </c>
      <c r="C259" t="b">
        <v>1</v>
      </c>
      <c r="D259" t="s">
        <v>52</v>
      </c>
      <c r="E259" t="s">
        <v>25</v>
      </c>
      <c r="F259" t="b">
        <v>0</v>
      </c>
      <c r="G259">
        <v>2.88</v>
      </c>
      <c r="H259">
        <v>1.1599999999999999</v>
      </c>
      <c r="I259">
        <v>6.45</v>
      </c>
      <c r="J259">
        <v>0.15</v>
      </c>
      <c r="K259">
        <v>5.49</v>
      </c>
      <c r="L259">
        <v>0.08</v>
      </c>
      <c r="M259">
        <v>0.34</v>
      </c>
      <c r="N259">
        <v>108.76</v>
      </c>
      <c r="O259">
        <v>3.99</v>
      </c>
      <c r="P259">
        <v>243.58</v>
      </c>
    </row>
    <row r="260" spans="1:16" x14ac:dyDescent="0.2">
      <c r="A260" t="s">
        <v>16</v>
      </c>
      <c r="C260" t="b">
        <v>1</v>
      </c>
      <c r="D260" t="s">
        <v>52</v>
      </c>
      <c r="E260" t="s">
        <v>26</v>
      </c>
      <c r="F260" t="b">
        <v>1</v>
      </c>
      <c r="G260">
        <v>249.04</v>
      </c>
      <c r="H260">
        <v>100</v>
      </c>
      <c r="I260">
        <v>557.76</v>
      </c>
      <c r="J260">
        <v>-4.9000000000000004</v>
      </c>
      <c r="K260">
        <v>-1.93</v>
      </c>
      <c r="L260">
        <v>0</v>
      </c>
      <c r="M260">
        <v>-10.97</v>
      </c>
      <c r="N260">
        <v>2726.91</v>
      </c>
      <c r="O260">
        <v>100</v>
      </c>
      <c r="P260">
        <v>6107.25</v>
      </c>
    </row>
    <row r="261" spans="1:16" x14ac:dyDescent="0.2">
      <c r="A261" t="s">
        <v>16</v>
      </c>
      <c r="C261" t="b">
        <v>1</v>
      </c>
      <c r="D261" t="s">
        <v>52</v>
      </c>
      <c r="E261" t="s">
        <v>27</v>
      </c>
      <c r="F261" t="b">
        <v>0</v>
      </c>
      <c r="G261">
        <v>36.51</v>
      </c>
      <c r="H261">
        <v>14.66</v>
      </c>
      <c r="I261">
        <v>81.77</v>
      </c>
      <c r="J261">
        <v>-3.11</v>
      </c>
      <c r="K261">
        <v>-7.85</v>
      </c>
      <c r="L261">
        <v>-0.94</v>
      </c>
      <c r="M261">
        <v>-6.97</v>
      </c>
      <c r="N261">
        <v>315.44</v>
      </c>
      <c r="O261">
        <v>11.57</v>
      </c>
      <c r="P261">
        <v>706.47</v>
      </c>
    </row>
    <row r="262" spans="1:16" x14ac:dyDescent="0.2">
      <c r="A262" t="s">
        <v>16</v>
      </c>
      <c r="C262" t="b">
        <v>1</v>
      </c>
      <c r="D262" t="s">
        <v>53</v>
      </c>
      <c r="E262" t="s">
        <v>18</v>
      </c>
      <c r="F262" t="b">
        <v>0</v>
      </c>
      <c r="G262">
        <v>11.03</v>
      </c>
      <c r="H262">
        <v>4.12</v>
      </c>
      <c r="I262">
        <v>24.66</v>
      </c>
      <c r="J262">
        <v>0.63</v>
      </c>
      <c r="K262">
        <v>6.06</v>
      </c>
      <c r="L262">
        <v>0.06</v>
      </c>
      <c r="M262">
        <v>1.41</v>
      </c>
      <c r="N262">
        <v>11.03</v>
      </c>
      <c r="O262">
        <v>4.12</v>
      </c>
      <c r="P262">
        <v>24.66</v>
      </c>
    </row>
    <row r="263" spans="1:16" x14ac:dyDescent="0.2">
      <c r="A263" t="s">
        <v>16</v>
      </c>
      <c r="C263" t="b">
        <v>1</v>
      </c>
      <c r="D263" t="s">
        <v>53</v>
      </c>
      <c r="E263" t="s">
        <v>19</v>
      </c>
      <c r="F263" t="b">
        <v>0</v>
      </c>
      <c r="G263">
        <v>51.13</v>
      </c>
      <c r="H263">
        <v>19.12</v>
      </c>
      <c r="I263">
        <v>114.29</v>
      </c>
      <c r="J263">
        <v>1.91</v>
      </c>
      <c r="K263">
        <v>3.88</v>
      </c>
      <c r="L263">
        <v>-0.11</v>
      </c>
      <c r="M263">
        <v>4.2699999999999996</v>
      </c>
      <c r="N263">
        <v>51.13</v>
      </c>
      <c r="O263">
        <v>19.12</v>
      </c>
      <c r="P263">
        <v>114.29</v>
      </c>
    </row>
    <row r="264" spans="1:16" x14ac:dyDescent="0.2">
      <c r="A264" t="s">
        <v>16</v>
      </c>
      <c r="C264" t="b">
        <v>1</v>
      </c>
      <c r="D264" t="s">
        <v>53</v>
      </c>
      <c r="E264" t="s">
        <v>20</v>
      </c>
      <c r="F264" t="b">
        <v>0</v>
      </c>
      <c r="G264">
        <v>56.05</v>
      </c>
      <c r="H264">
        <v>20.96</v>
      </c>
      <c r="I264">
        <v>125.29</v>
      </c>
      <c r="J264">
        <v>12.85</v>
      </c>
      <c r="K264">
        <v>29.75</v>
      </c>
      <c r="L264">
        <v>4.08</v>
      </c>
      <c r="M264">
        <v>28.72</v>
      </c>
      <c r="N264">
        <v>56.05</v>
      </c>
      <c r="O264">
        <v>20.96</v>
      </c>
      <c r="P264">
        <v>125.29</v>
      </c>
    </row>
    <row r="265" spans="1:16" x14ac:dyDescent="0.2">
      <c r="A265" t="s">
        <v>16</v>
      </c>
      <c r="C265" t="b">
        <v>1</v>
      </c>
      <c r="D265" t="s">
        <v>53</v>
      </c>
      <c r="E265" t="s">
        <v>21</v>
      </c>
      <c r="F265" t="b">
        <v>0</v>
      </c>
      <c r="G265">
        <v>25.43</v>
      </c>
      <c r="H265">
        <v>9.51</v>
      </c>
      <c r="I265">
        <v>56.84</v>
      </c>
      <c r="J265">
        <v>-4.92</v>
      </c>
      <c r="K265">
        <v>-16.21</v>
      </c>
      <c r="L265">
        <v>-2.35</v>
      </c>
      <c r="M265">
        <v>-11</v>
      </c>
      <c r="N265">
        <v>25.43</v>
      </c>
      <c r="O265">
        <v>9.51</v>
      </c>
      <c r="P265">
        <v>56.84</v>
      </c>
    </row>
    <row r="266" spans="1:16" x14ac:dyDescent="0.2">
      <c r="A266" t="s">
        <v>16</v>
      </c>
      <c r="C266" t="b">
        <v>1</v>
      </c>
      <c r="D266" t="s">
        <v>53</v>
      </c>
      <c r="E266" t="s">
        <v>22</v>
      </c>
      <c r="F266" t="b">
        <v>0</v>
      </c>
      <c r="G266">
        <v>71.84</v>
      </c>
      <c r="H266">
        <v>26.87</v>
      </c>
      <c r="I266">
        <v>160.58000000000001</v>
      </c>
      <c r="J266">
        <v>-0.9</v>
      </c>
      <c r="K266">
        <v>-1.24</v>
      </c>
      <c r="L266">
        <v>-1.56</v>
      </c>
      <c r="M266">
        <v>-2.0099999999999998</v>
      </c>
      <c r="N266">
        <v>71.84</v>
      </c>
      <c r="O266">
        <v>26.87</v>
      </c>
      <c r="P266">
        <v>160.58000000000001</v>
      </c>
    </row>
    <row r="267" spans="1:16" x14ac:dyDescent="0.2">
      <c r="A267" t="s">
        <v>16</v>
      </c>
      <c r="C267" t="b">
        <v>1</v>
      </c>
      <c r="D267" t="s">
        <v>53</v>
      </c>
      <c r="E267" t="s">
        <v>23</v>
      </c>
      <c r="F267" t="b">
        <v>0</v>
      </c>
      <c r="G267">
        <v>8.31</v>
      </c>
      <c r="H267">
        <v>3.11</v>
      </c>
      <c r="I267">
        <v>18.579999999999998</v>
      </c>
      <c r="J267">
        <v>0.97</v>
      </c>
      <c r="K267">
        <v>13.22</v>
      </c>
      <c r="L267">
        <v>0.24</v>
      </c>
      <c r="M267">
        <v>2.17</v>
      </c>
      <c r="N267">
        <v>8.31</v>
      </c>
      <c r="O267">
        <v>3.11</v>
      </c>
      <c r="P267">
        <v>18.579999999999998</v>
      </c>
    </row>
    <row r="268" spans="1:16" x14ac:dyDescent="0.2">
      <c r="A268" t="s">
        <v>16</v>
      </c>
      <c r="C268" t="b">
        <v>1</v>
      </c>
      <c r="D268" t="s">
        <v>53</v>
      </c>
      <c r="E268" t="s">
        <v>24</v>
      </c>
      <c r="F268" t="b">
        <v>0</v>
      </c>
      <c r="G268">
        <v>1.64</v>
      </c>
      <c r="H268">
        <v>0.61</v>
      </c>
      <c r="I268">
        <v>3.67</v>
      </c>
      <c r="J268">
        <v>0.16</v>
      </c>
      <c r="K268">
        <v>10.81</v>
      </c>
      <c r="L268">
        <v>0.03</v>
      </c>
      <c r="M268">
        <v>0.36</v>
      </c>
      <c r="N268">
        <v>1.64</v>
      </c>
      <c r="O268">
        <v>0.61</v>
      </c>
      <c r="P268">
        <v>3.67</v>
      </c>
    </row>
    <row r="269" spans="1:16" x14ac:dyDescent="0.2">
      <c r="A269" t="s">
        <v>16</v>
      </c>
      <c r="C269" t="b">
        <v>1</v>
      </c>
      <c r="D269" t="s">
        <v>53</v>
      </c>
      <c r="E269" t="s">
        <v>25</v>
      </c>
      <c r="F269" t="b">
        <v>0</v>
      </c>
      <c r="G269">
        <v>3.53</v>
      </c>
      <c r="H269">
        <v>1.32</v>
      </c>
      <c r="I269">
        <v>7.89</v>
      </c>
      <c r="J269">
        <v>0.34</v>
      </c>
      <c r="K269">
        <v>10.66</v>
      </c>
      <c r="L269">
        <v>7.0000000000000007E-2</v>
      </c>
      <c r="M269">
        <v>0.76</v>
      </c>
      <c r="N269">
        <v>3.53</v>
      </c>
      <c r="O269">
        <v>1.32</v>
      </c>
      <c r="P269">
        <v>7.89</v>
      </c>
    </row>
    <row r="270" spans="1:16" x14ac:dyDescent="0.2">
      <c r="A270" t="s">
        <v>16</v>
      </c>
      <c r="C270" t="b">
        <v>1</v>
      </c>
      <c r="D270" t="s">
        <v>53</v>
      </c>
      <c r="E270" t="s">
        <v>26</v>
      </c>
      <c r="F270" t="b">
        <v>1</v>
      </c>
      <c r="G270">
        <v>267.41000000000003</v>
      </c>
      <c r="H270">
        <v>100</v>
      </c>
      <c r="I270">
        <v>597.74</v>
      </c>
      <c r="J270">
        <v>11.52</v>
      </c>
      <c r="K270">
        <v>4.5</v>
      </c>
      <c r="L270">
        <v>0</v>
      </c>
      <c r="M270">
        <v>25.75</v>
      </c>
      <c r="N270">
        <v>267.41000000000003</v>
      </c>
      <c r="O270">
        <v>100</v>
      </c>
      <c r="P270">
        <v>597.74</v>
      </c>
    </row>
    <row r="271" spans="1:16" x14ac:dyDescent="0.2">
      <c r="A271" t="s">
        <v>16</v>
      </c>
      <c r="C271" t="b">
        <v>1</v>
      </c>
      <c r="D271" t="s">
        <v>53</v>
      </c>
      <c r="E271" t="s">
        <v>27</v>
      </c>
      <c r="F271" t="b">
        <v>0</v>
      </c>
      <c r="G271">
        <v>38.450000000000003</v>
      </c>
      <c r="H271">
        <v>14.38</v>
      </c>
      <c r="I271">
        <v>85.95</v>
      </c>
      <c r="J271">
        <v>0.48</v>
      </c>
      <c r="K271">
        <v>1.26</v>
      </c>
      <c r="L271">
        <v>-0.46</v>
      </c>
      <c r="M271">
        <v>1.07</v>
      </c>
      <c r="N271">
        <v>38.450000000000003</v>
      </c>
      <c r="O271">
        <v>14.38</v>
      </c>
      <c r="P271">
        <v>85.95</v>
      </c>
    </row>
    <row r="272" spans="1:16" x14ac:dyDescent="0.2">
      <c r="A272" t="s">
        <v>16</v>
      </c>
      <c r="C272" t="b">
        <v>1</v>
      </c>
      <c r="D272" t="s">
        <v>54</v>
      </c>
      <c r="E272" t="s">
        <v>18</v>
      </c>
      <c r="F272" t="b">
        <v>0</v>
      </c>
      <c r="G272">
        <v>9.57</v>
      </c>
      <c r="H272">
        <v>4.1399999999999997</v>
      </c>
      <c r="I272">
        <v>21.39</v>
      </c>
      <c r="J272">
        <v>-0.59</v>
      </c>
      <c r="K272">
        <v>-5.81</v>
      </c>
      <c r="L272">
        <v>-0.04</v>
      </c>
      <c r="M272">
        <v>-1.32</v>
      </c>
      <c r="N272">
        <v>20.6</v>
      </c>
      <c r="O272">
        <v>4.13</v>
      </c>
      <c r="P272">
        <v>46.05</v>
      </c>
    </row>
    <row r="273" spans="1:16" x14ac:dyDescent="0.2">
      <c r="A273" t="s">
        <v>16</v>
      </c>
      <c r="C273" t="b">
        <v>1</v>
      </c>
      <c r="D273" t="s">
        <v>54</v>
      </c>
      <c r="E273" t="s">
        <v>19</v>
      </c>
      <c r="F273" t="b">
        <v>0</v>
      </c>
      <c r="G273">
        <v>42.22</v>
      </c>
      <c r="H273">
        <v>18.25</v>
      </c>
      <c r="I273">
        <v>94.37</v>
      </c>
      <c r="J273">
        <v>-10.89</v>
      </c>
      <c r="K273">
        <v>-20.5</v>
      </c>
      <c r="L273">
        <v>-3.61</v>
      </c>
      <c r="M273">
        <v>-24.34</v>
      </c>
      <c r="N273">
        <v>93.35</v>
      </c>
      <c r="O273">
        <v>18.72</v>
      </c>
      <c r="P273">
        <v>208.66</v>
      </c>
    </row>
    <row r="274" spans="1:16" x14ac:dyDescent="0.2">
      <c r="A274" t="s">
        <v>16</v>
      </c>
      <c r="C274" t="b">
        <v>1</v>
      </c>
      <c r="D274" t="s">
        <v>54</v>
      </c>
      <c r="E274" t="s">
        <v>20</v>
      </c>
      <c r="F274" t="b">
        <v>0</v>
      </c>
      <c r="G274">
        <v>43.95</v>
      </c>
      <c r="H274">
        <v>19</v>
      </c>
      <c r="I274">
        <v>98.24</v>
      </c>
      <c r="J274">
        <v>-1.99</v>
      </c>
      <c r="K274">
        <v>-4.33</v>
      </c>
      <c r="L274">
        <v>0.09</v>
      </c>
      <c r="M274">
        <v>-4.45</v>
      </c>
      <c r="N274">
        <v>100</v>
      </c>
      <c r="O274">
        <v>20.05</v>
      </c>
      <c r="P274">
        <v>223.53</v>
      </c>
    </row>
    <row r="275" spans="1:16" x14ac:dyDescent="0.2">
      <c r="A275" t="s">
        <v>16</v>
      </c>
      <c r="C275" t="b">
        <v>1</v>
      </c>
      <c r="D275" t="s">
        <v>54</v>
      </c>
      <c r="E275" t="s">
        <v>21</v>
      </c>
      <c r="F275" t="b">
        <v>0</v>
      </c>
      <c r="G275">
        <v>24.29</v>
      </c>
      <c r="H275">
        <v>10.5</v>
      </c>
      <c r="I275">
        <v>54.3</v>
      </c>
      <c r="J275">
        <v>-4.45</v>
      </c>
      <c r="K275">
        <v>-15.48</v>
      </c>
      <c r="L275">
        <v>-1.33</v>
      </c>
      <c r="M275">
        <v>-9.9499999999999993</v>
      </c>
      <c r="N275">
        <v>49.72</v>
      </c>
      <c r="O275">
        <v>9.9700000000000006</v>
      </c>
      <c r="P275">
        <v>111.14</v>
      </c>
    </row>
    <row r="276" spans="1:16" x14ac:dyDescent="0.2">
      <c r="A276" t="s">
        <v>16</v>
      </c>
      <c r="C276" t="b">
        <v>1</v>
      </c>
      <c r="D276" t="s">
        <v>54</v>
      </c>
      <c r="E276" t="s">
        <v>22</v>
      </c>
      <c r="F276" t="b">
        <v>0</v>
      </c>
      <c r="G276">
        <v>64.92</v>
      </c>
      <c r="H276">
        <v>28.07</v>
      </c>
      <c r="I276">
        <v>145.12</v>
      </c>
      <c r="J276">
        <v>-0.69</v>
      </c>
      <c r="K276">
        <v>-1.05</v>
      </c>
      <c r="L276">
        <v>1.07</v>
      </c>
      <c r="M276">
        <v>-1.54</v>
      </c>
      <c r="N276">
        <v>136.76</v>
      </c>
      <c r="O276">
        <v>27.42</v>
      </c>
      <c r="P276">
        <v>305.7</v>
      </c>
    </row>
    <row r="277" spans="1:16" x14ac:dyDescent="0.2">
      <c r="A277" t="s">
        <v>16</v>
      </c>
      <c r="C277" t="b">
        <v>1</v>
      </c>
      <c r="D277" t="s">
        <v>54</v>
      </c>
      <c r="E277" t="s">
        <v>23</v>
      </c>
      <c r="F277" t="b">
        <v>0</v>
      </c>
      <c r="G277">
        <v>6.9</v>
      </c>
      <c r="H277">
        <v>2.98</v>
      </c>
      <c r="I277">
        <v>15.42</v>
      </c>
      <c r="J277">
        <v>-0.03</v>
      </c>
      <c r="K277">
        <v>-0.43</v>
      </c>
      <c r="L277">
        <v>0.13</v>
      </c>
      <c r="M277">
        <v>-7.0000000000000007E-2</v>
      </c>
      <c r="N277">
        <v>15.21</v>
      </c>
      <c r="O277">
        <v>3.05</v>
      </c>
      <c r="P277">
        <v>34</v>
      </c>
    </row>
    <row r="278" spans="1:16" x14ac:dyDescent="0.2">
      <c r="A278" t="s">
        <v>16</v>
      </c>
      <c r="C278" t="b">
        <v>1</v>
      </c>
      <c r="D278" t="s">
        <v>54</v>
      </c>
      <c r="E278" t="s">
        <v>24</v>
      </c>
      <c r="F278" t="b">
        <v>0</v>
      </c>
      <c r="G278">
        <v>1.51</v>
      </c>
      <c r="H278">
        <v>0.65</v>
      </c>
      <c r="I278">
        <v>3.38</v>
      </c>
      <c r="J278">
        <v>0.16</v>
      </c>
      <c r="K278">
        <v>11.85</v>
      </c>
      <c r="L278">
        <v>0.09</v>
      </c>
      <c r="M278">
        <v>0.36</v>
      </c>
      <c r="N278">
        <v>3.15</v>
      </c>
      <c r="O278">
        <v>0.63</v>
      </c>
      <c r="P278">
        <v>7.04</v>
      </c>
    </row>
    <row r="279" spans="1:16" x14ac:dyDescent="0.2">
      <c r="A279" t="s">
        <v>16</v>
      </c>
      <c r="C279" t="b">
        <v>1</v>
      </c>
      <c r="D279" t="s">
        <v>54</v>
      </c>
      <c r="E279" t="s">
        <v>25</v>
      </c>
      <c r="F279" t="b">
        <v>0</v>
      </c>
      <c r="G279">
        <v>6.78</v>
      </c>
      <c r="H279">
        <v>2.93</v>
      </c>
      <c r="I279">
        <v>15.16</v>
      </c>
      <c r="J279">
        <v>1.68</v>
      </c>
      <c r="K279">
        <v>32.94</v>
      </c>
      <c r="L279">
        <v>0.83</v>
      </c>
      <c r="M279">
        <v>3.76</v>
      </c>
      <c r="N279">
        <v>10.31</v>
      </c>
      <c r="O279">
        <v>2.0699999999999998</v>
      </c>
      <c r="P279">
        <v>23.05</v>
      </c>
    </row>
    <row r="280" spans="1:16" x14ac:dyDescent="0.2">
      <c r="A280" t="s">
        <v>16</v>
      </c>
      <c r="C280" t="b">
        <v>1</v>
      </c>
      <c r="D280" t="s">
        <v>54</v>
      </c>
      <c r="E280" t="s">
        <v>26</v>
      </c>
      <c r="F280" t="b">
        <v>1</v>
      </c>
      <c r="G280">
        <v>231.29</v>
      </c>
      <c r="H280">
        <v>100</v>
      </c>
      <c r="I280">
        <v>517</v>
      </c>
      <c r="J280">
        <v>-11.71</v>
      </c>
      <c r="K280">
        <v>-4.82</v>
      </c>
      <c r="L280">
        <v>0</v>
      </c>
      <c r="M280">
        <v>-26.18</v>
      </c>
      <c r="N280">
        <v>498.7</v>
      </c>
      <c r="O280">
        <v>100</v>
      </c>
      <c r="P280">
        <v>1114.74</v>
      </c>
    </row>
    <row r="281" spans="1:16" x14ac:dyDescent="0.2">
      <c r="A281" t="s">
        <v>16</v>
      </c>
      <c r="C281" t="b">
        <v>1</v>
      </c>
      <c r="D281" t="s">
        <v>54</v>
      </c>
      <c r="E281" t="s">
        <v>27</v>
      </c>
      <c r="F281" t="b">
        <v>0</v>
      </c>
      <c r="G281">
        <v>31.15</v>
      </c>
      <c r="H281">
        <v>13.47</v>
      </c>
      <c r="I281">
        <v>69.63</v>
      </c>
      <c r="J281">
        <v>5.09</v>
      </c>
      <c r="K281">
        <v>19.53</v>
      </c>
      <c r="L281">
        <v>2.75</v>
      </c>
      <c r="M281">
        <v>11.38</v>
      </c>
      <c r="N281">
        <v>69.599999999999994</v>
      </c>
      <c r="O281">
        <v>13.96</v>
      </c>
      <c r="P281">
        <v>155.58000000000001</v>
      </c>
    </row>
    <row r="282" spans="1:16" x14ac:dyDescent="0.2">
      <c r="A282" t="s">
        <v>16</v>
      </c>
      <c r="C282" t="b">
        <v>1</v>
      </c>
      <c r="D282" t="s">
        <v>55</v>
      </c>
      <c r="E282" t="s">
        <v>18</v>
      </c>
      <c r="F282" t="b">
        <v>0</v>
      </c>
      <c r="G282">
        <v>10.27</v>
      </c>
      <c r="H282">
        <v>4.3</v>
      </c>
      <c r="I282">
        <v>22.96</v>
      </c>
      <c r="J282">
        <v>-0.28000000000000003</v>
      </c>
      <c r="K282">
        <v>-2.65</v>
      </c>
      <c r="L282">
        <v>0.14000000000000001</v>
      </c>
      <c r="M282">
        <v>-0.63</v>
      </c>
      <c r="N282">
        <v>30.87</v>
      </c>
      <c r="O282">
        <v>4.1900000000000004</v>
      </c>
      <c r="P282">
        <v>69</v>
      </c>
    </row>
    <row r="283" spans="1:16" x14ac:dyDescent="0.2">
      <c r="A283" t="s">
        <v>16</v>
      </c>
      <c r="C283" t="b">
        <v>1</v>
      </c>
      <c r="D283" t="s">
        <v>55</v>
      </c>
      <c r="E283" t="s">
        <v>19</v>
      </c>
      <c r="F283" t="b">
        <v>0</v>
      </c>
      <c r="G283">
        <v>35.549999999999997</v>
      </c>
      <c r="H283">
        <v>14.9</v>
      </c>
      <c r="I283">
        <v>79.459999999999994</v>
      </c>
      <c r="J283">
        <v>-15.42</v>
      </c>
      <c r="K283">
        <v>-30.25</v>
      </c>
      <c r="L283">
        <v>-5.2</v>
      </c>
      <c r="M283">
        <v>-34.47</v>
      </c>
      <c r="N283">
        <v>128.9</v>
      </c>
      <c r="O283">
        <v>17.48</v>
      </c>
      <c r="P283">
        <v>288.13</v>
      </c>
    </row>
    <row r="284" spans="1:16" x14ac:dyDescent="0.2">
      <c r="A284" t="s">
        <v>16</v>
      </c>
      <c r="C284" t="b">
        <v>1</v>
      </c>
      <c r="D284" t="s">
        <v>55</v>
      </c>
      <c r="E284" t="s">
        <v>20</v>
      </c>
      <c r="F284" t="b">
        <v>0</v>
      </c>
      <c r="G284">
        <v>39.880000000000003</v>
      </c>
      <c r="H284">
        <v>16.71</v>
      </c>
      <c r="I284">
        <v>89.14</v>
      </c>
      <c r="J284">
        <v>-0.24</v>
      </c>
      <c r="K284">
        <v>-0.6</v>
      </c>
      <c r="L284">
        <v>0.89</v>
      </c>
      <c r="M284">
        <v>-0.54</v>
      </c>
      <c r="N284">
        <v>139.88</v>
      </c>
      <c r="O284">
        <v>18.97</v>
      </c>
      <c r="P284">
        <v>312.67</v>
      </c>
    </row>
    <row r="285" spans="1:16" x14ac:dyDescent="0.2">
      <c r="A285" t="s">
        <v>16</v>
      </c>
      <c r="C285" t="b">
        <v>1</v>
      </c>
      <c r="D285" t="s">
        <v>55</v>
      </c>
      <c r="E285" t="s">
        <v>21</v>
      </c>
      <c r="F285" t="b">
        <v>0</v>
      </c>
      <c r="G285">
        <v>26.1</v>
      </c>
      <c r="H285">
        <v>10.94</v>
      </c>
      <c r="I285">
        <v>58.34</v>
      </c>
      <c r="J285">
        <v>-7.94</v>
      </c>
      <c r="K285">
        <v>-23.33</v>
      </c>
      <c r="L285">
        <v>-2.48</v>
      </c>
      <c r="M285">
        <v>-17.75</v>
      </c>
      <c r="N285">
        <v>75.819999999999993</v>
      </c>
      <c r="O285">
        <v>10.28</v>
      </c>
      <c r="P285">
        <v>169.48</v>
      </c>
    </row>
    <row r="286" spans="1:16" x14ac:dyDescent="0.2">
      <c r="A286" t="s">
        <v>16</v>
      </c>
      <c r="C286" t="b">
        <v>1</v>
      </c>
      <c r="D286" t="s">
        <v>55</v>
      </c>
      <c r="E286" t="s">
        <v>22</v>
      </c>
      <c r="F286" t="b">
        <v>0</v>
      </c>
      <c r="G286">
        <v>66.84</v>
      </c>
      <c r="H286">
        <v>28.01</v>
      </c>
      <c r="I286">
        <v>149.41</v>
      </c>
      <c r="J286">
        <v>-0.17</v>
      </c>
      <c r="K286">
        <v>-0.25</v>
      </c>
      <c r="L286">
        <v>1.59</v>
      </c>
      <c r="M286">
        <v>-0.38</v>
      </c>
      <c r="N286">
        <v>203.6</v>
      </c>
      <c r="O286">
        <v>27.61</v>
      </c>
      <c r="P286">
        <v>455.11</v>
      </c>
    </row>
    <row r="287" spans="1:16" x14ac:dyDescent="0.2">
      <c r="A287" t="s">
        <v>16</v>
      </c>
      <c r="C287" t="b">
        <v>1</v>
      </c>
      <c r="D287" t="s">
        <v>55</v>
      </c>
      <c r="E287" t="s">
        <v>23</v>
      </c>
      <c r="F287" t="b">
        <v>0</v>
      </c>
      <c r="G287">
        <v>7.02</v>
      </c>
      <c r="H287">
        <v>2.94</v>
      </c>
      <c r="I287">
        <v>15.69</v>
      </c>
      <c r="J287">
        <v>-0.36</v>
      </c>
      <c r="K287">
        <v>-4.88</v>
      </c>
      <c r="L287">
        <v>0.03</v>
      </c>
      <c r="M287">
        <v>-0.8</v>
      </c>
      <c r="N287">
        <v>22.23</v>
      </c>
      <c r="O287">
        <v>3.01</v>
      </c>
      <c r="P287">
        <v>49.69</v>
      </c>
    </row>
    <row r="288" spans="1:16" x14ac:dyDescent="0.2">
      <c r="A288" t="s">
        <v>16</v>
      </c>
      <c r="C288" t="b">
        <v>1</v>
      </c>
      <c r="D288" t="s">
        <v>55</v>
      </c>
      <c r="E288" t="s">
        <v>24</v>
      </c>
      <c r="F288" t="b">
        <v>0</v>
      </c>
      <c r="G288">
        <v>1.64</v>
      </c>
      <c r="H288">
        <v>0.69</v>
      </c>
      <c r="I288">
        <v>3.67</v>
      </c>
      <c r="J288">
        <v>0.18</v>
      </c>
      <c r="K288">
        <v>12.33</v>
      </c>
      <c r="L288">
        <v>0.11</v>
      </c>
      <c r="M288">
        <v>0.4</v>
      </c>
      <c r="N288">
        <v>4.79</v>
      </c>
      <c r="O288">
        <v>0.65</v>
      </c>
      <c r="P288">
        <v>10.71</v>
      </c>
    </row>
    <row r="289" spans="1:16" x14ac:dyDescent="0.2">
      <c r="A289" t="s">
        <v>16</v>
      </c>
      <c r="C289" t="b">
        <v>1</v>
      </c>
      <c r="D289" t="s">
        <v>55</v>
      </c>
      <c r="E289" t="s">
        <v>25</v>
      </c>
      <c r="F289" t="b">
        <v>0</v>
      </c>
      <c r="G289">
        <v>9.7799999999999994</v>
      </c>
      <c r="H289">
        <v>4.0999999999999996</v>
      </c>
      <c r="I289">
        <v>21.86</v>
      </c>
      <c r="J289">
        <v>2.36</v>
      </c>
      <c r="K289">
        <v>31.81</v>
      </c>
      <c r="L289">
        <v>1.17</v>
      </c>
      <c r="M289">
        <v>5.28</v>
      </c>
      <c r="N289">
        <v>20.09</v>
      </c>
      <c r="O289">
        <v>2.72</v>
      </c>
      <c r="P289">
        <v>44.91</v>
      </c>
    </row>
    <row r="290" spans="1:16" x14ac:dyDescent="0.2">
      <c r="A290" t="s">
        <v>16</v>
      </c>
      <c r="C290" t="b">
        <v>1</v>
      </c>
      <c r="D290" t="s">
        <v>55</v>
      </c>
      <c r="E290" t="s">
        <v>26</v>
      </c>
      <c r="F290" t="b">
        <v>1</v>
      </c>
      <c r="G290">
        <v>238.64</v>
      </c>
      <c r="H290">
        <v>100</v>
      </c>
      <c r="I290">
        <v>533.42999999999995</v>
      </c>
      <c r="J290">
        <v>-14.99</v>
      </c>
      <c r="K290">
        <v>-5.91</v>
      </c>
      <c r="L290">
        <v>0</v>
      </c>
      <c r="M290">
        <v>-33.51</v>
      </c>
      <c r="N290">
        <v>737.34</v>
      </c>
      <c r="O290">
        <v>100</v>
      </c>
      <c r="P290">
        <v>1648.17</v>
      </c>
    </row>
    <row r="291" spans="1:16" x14ac:dyDescent="0.2">
      <c r="A291" t="s">
        <v>16</v>
      </c>
      <c r="C291" t="b">
        <v>1</v>
      </c>
      <c r="D291" t="s">
        <v>55</v>
      </c>
      <c r="E291" t="s">
        <v>27</v>
      </c>
      <c r="F291" t="b">
        <v>0</v>
      </c>
      <c r="G291">
        <v>41.56</v>
      </c>
      <c r="H291">
        <v>17.420000000000002</v>
      </c>
      <c r="I291">
        <v>92.9</v>
      </c>
      <c r="J291">
        <v>6.88</v>
      </c>
      <c r="K291">
        <v>19.84</v>
      </c>
      <c r="L291">
        <v>3.75</v>
      </c>
      <c r="M291">
        <v>15.38</v>
      </c>
      <c r="N291">
        <v>111.16</v>
      </c>
      <c r="O291">
        <v>15.08</v>
      </c>
      <c r="P291">
        <v>248.47</v>
      </c>
    </row>
    <row r="292" spans="1:16" x14ac:dyDescent="0.2">
      <c r="A292" t="s">
        <v>16</v>
      </c>
      <c r="C292" t="b">
        <v>1</v>
      </c>
      <c r="D292" t="s">
        <v>56</v>
      </c>
      <c r="E292" t="s">
        <v>18</v>
      </c>
      <c r="F292" t="b">
        <v>0</v>
      </c>
      <c r="G292">
        <v>9.11</v>
      </c>
      <c r="H292">
        <v>4.26</v>
      </c>
      <c r="I292">
        <v>20.36</v>
      </c>
      <c r="J292">
        <v>-0.41</v>
      </c>
      <c r="K292">
        <v>-4.3099999999999996</v>
      </c>
      <c r="L292">
        <v>-0.24</v>
      </c>
      <c r="M292">
        <v>-0.92</v>
      </c>
      <c r="N292">
        <v>39.979999999999997</v>
      </c>
      <c r="O292">
        <v>4.2</v>
      </c>
      <c r="P292">
        <v>89.37</v>
      </c>
    </row>
    <row r="293" spans="1:16" x14ac:dyDescent="0.2">
      <c r="A293" t="s">
        <v>16</v>
      </c>
      <c r="C293" t="b">
        <v>1</v>
      </c>
      <c r="D293" t="s">
        <v>56</v>
      </c>
      <c r="E293" t="s">
        <v>19</v>
      </c>
      <c r="F293" t="b">
        <v>0</v>
      </c>
      <c r="G293">
        <v>34.21</v>
      </c>
      <c r="H293">
        <v>15.99</v>
      </c>
      <c r="I293">
        <v>76.47</v>
      </c>
      <c r="J293">
        <v>-3.55</v>
      </c>
      <c r="K293">
        <v>-9.4</v>
      </c>
      <c r="L293">
        <v>-1.85</v>
      </c>
      <c r="M293">
        <v>-7.94</v>
      </c>
      <c r="N293">
        <v>163.11000000000001</v>
      </c>
      <c r="O293">
        <v>17.149999999999999</v>
      </c>
      <c r="P293">
        <v>364.6</v>
      </c>
    </row>
    <row r="294" spans="1:16" x14ac:dyDescent="0.2">
      <c r="A294" t="s">
        <v>16</v>
      </c>
      <c r="C294" t="b">
        <v>1</v>
      </c>
      <c r="D294" t="s">
        <v>56</v>
      </c>
      <c r="E294" t="s">
        <v>20</v>
      </c>
      <c r="F294" t="b">
        <v>0</v>
      </c>
      <c r="G294">
        <v>36.950000000000003</v>
      </c>
      <c r="H294">
        <v>17.27</v>
      </c>
      <c r="I294">
        <v>82.59</v>
      </c>
      <c r="J294">
        <v>10.35</v>
      </c>
      <c r="K294">
        <v>38.909999999999997</v>
      </c>
      <c r="L294">
        <v>4.7</v>
      </c>
      <c r="M294">
        <v>23.14</v>
      </c>
      <c r="N294">
        <v>176.83</v>
      </c>
      <c r="O294">
        <v>18.59</v>
      </c>
      <c r="P294">
        <v>395.27</v>
      </c>
    </row>
    <row r="295" spans="1:16" x14ac:dyDescent="0.2">
      <c r="A295" t="s">
        <v>16</v>
      </c>
      <c r="C295" t="b">
        <v>1</v>
      </c>
      <c r="D295" t="s">
        <v>56</v>
      </c>
      <c r="E295" t="s">
        <v>21</v>
      </c>
      <c r="F295" t="b">
        <v>0</v>
      </c>
      <c r="G295">
        <v>25.94</v>
      </c>
      <c r="H295">
        <v>12.12</v>
      </c>
      <c r="I295">
        <v>57.98</v>
      </c>
      <c r="J295">
        <v>-9.48</v>
      </c>
      <c r="K295">
        <v>-26.76</v>
      </c>
      <c r="L295">
        <v>-4.62</v>
      </c>
      <c r="M295">
        <v>-21.19</v>
      </c>
      <c r="N295">
        <v>101.76</v>
      </c>
      <c r="O295">
        <v>10.7</v>
      </c>
      <c r="P295">
        <v>227.46</v>
      </c>
    </row>
    <row r="296" spans="1:16" x14ac:dyDescent="0.2">
      <c r="A296" t="s">
        <v>16</v>
      </c>
      <c r="C296" t="b">
        <v>1</v>
      </c>
      <c r="D296" t="s">
        <v>56</v>
      </c>
      <c r="E296" t="s">
        <v>22</v>
      </c>
      <c r="F296" t="b">
        <v>0</v>
      </c>
      <c r="G296">
        <v>60.58</v>
      </c>
      <c r="H296">
        <v>28.31</v>
      </c>
      <c r="I296">
        <v>135.41</v>
      </c>
      <c r="J296">
        <v>3.63</v>
      </c>
      <c r="K296">
        <v>6.37</v>
      </c>
      <c r="L296">
        <v>1.4</v>
      </c>
      <c r="M296">
        <v>8.11</v>
      </c>
      <c r="N296">
        <v>264.18</v>
      </c>
      <c r="O296">
        <v>27.77</v>
      </c>
      <c r="P296">
        <v>590.52</v>
      </c>
    </row>
    <row r="297" spans="1:16" x14ac:dyDescent="0.2">
      <c r="A297" t="s">
        <v>16</v>
      </c>
      <c r="C297" t="b">
        <v>1</v>
      </c>
      <c r="D297" t="s">
        <v>56</v>
      </c>
      <c r="E297" t="s">
        <v>23</v>
      </c>
      <c r="F297" t="b">
        <v>0</v>
      </c>
      <c r="G297">
        <v>6.44</v>
      </c>
      <c r="H297">
        <v>3.01</v>
      </c>
      <c r="I297">
        <v>14.4</v>
      </c>
      <c r="J297">
        <v>0.12</v>
      </c>
      <c r="K297">
        <v>1.9</v>
      </c>
      <c r="L297">
        <v>0.02</v>
      </c>
      <c r="M297">
        <v>0.27</v>
      </c>
      <c r="N297">
        <v>28.67</v>
      </c>
      <c r="O297">
        <v>3.01</v>
      </c>
      <c r="P297">
        <v>64.09</v>
      </c>
    </row>
    <row r="298" spans="1:16" x14ac:dyDescent="0.2">
      <c r="A298" t="s">
        <v>16</v>
      </c>
      <c r="C298" t="b">
        <v>1</v>
      </c>
      <c r="D298" t="s">
        <v>56</v>
      </c>
      <c r="E298" t="s">
        <v>24</v>
      </c>
      <c r="F298" t="b">
        <v>0</v>
      </c>
      <c r="G298">
        <v>1.57</v>
      </c>
      <c r="H298">
        <v>0.73</v>
      </c>
      <c r="I298">
        <v>3.51</v>
      </c>
      <c r="J298">
        <v>0.18</v>
      </c>
      <c r="K298">
        <v>12.95</v>
      </c>
      <c r="L298">
        <v>7.0000000000000007E-2</v>
      </c>
      <c r="M298">
        <v>0.4</v>
      </c>
      <c r="N298">
        <v>6.36</v>
      </c>
      <c r="O298">
        <v>0.67</v>
      </c>
      <c r="P298">
        <v>14.22</v>
      </c>
    </row>
    <row r="299" spans="1:16" x14ac:dyDescent="0.2">
      <c r="A299" t="s">
        <v>16</v>
      </c>
      <c r="C299" t="b">
        <v>1</v>
      </c>
      <c r="D299" t="s">
        <v>56</v>
      </c>
      <c r="E299" t="s">
        <v>25</v>
      </c>
      <c r="F299" t="b">
        <v>0</v>
      </c>
      <c r="G299">
        <v>12.19</v>
      </c>
      <c r="H299">
        <v>5.7</v>
      </c>
      <c r="I299">
        <v>27.25</v>
      </c>
      <c r="J299">
        <v>0.49</v>
      </c>
      <c r="K299">
        <v>4.1900000000000004</v>
      </c>
      <c r="L299">
        <v>0.17</v>
      </c>
      <c r="M299">
        <v>1.1000000000000001</v>
      </c>
      <c r="N299">
        <v>32.28</v>
      </c>
      <c r="O299">
        <v>3.39</v>
      </c>
      <c r="P299">
        <v>72.16</v>
      </c>
    </row>
    <row r="300" spans="1:16" x14ac:dyDescent="0.2">
      <c r="A300" t="s">
        <v>16</v>
      </c>
      <c r="C300" t="b">
        <v>1</v>
      </c>
      <c r="D300" t="s">
        <v>56</v>
      </c>
      <c r="E300" t="s">
        <v>26</v>
      </c>
      <c r="F300" t="b">
        <v>1</v>
      </c>
      <c r="G300">
        <v>214</v>
      </c>
      <c r="H300">
        <v>100</v>
      </c>
      <c r="I300">
        <v>478.35</v>
      </c>
      <c r="J300">
        <v>2.37</v>
      </c>
      <c r="K300">
        <v>1.1200000000000001</v>
      </c>
      <c r="L300">
        <v>0</v>
      </c>
      <c r="M300">
        <v>5.3</v>
      </c>
      <c r="N300">
        <v>951.34</v>
      </c>
      <c r="O300">
        <v>100</v>
      </c>
      <c r="P300">
        <v>2126.52</v>
      </c>
    </row>
    <row r="301" spans="1:16" x14ac:dyDescent="0.2">
      <c r="A301" t="s">
        <v>16</v>
      </c>
      <c r="C301" t="b">
        <v>1</v>
      </c>
      <c r="D301" t="s">
        <v>56</v>
      </c>
      <c r="E301" t="s">
        <v>27</v>
      </c>
      <c r="F301" t="b">
        <v>0</v>
      </c>
      <c r="G301">
        <v>27.01</v>
      </c>
      <c r="H301">
        <v>12.62</v>
      </c>
      <c r="I301">
        <v>60.38</v>
      </c>
      <c r="J301">
        <v>1.04</v>
      </c>
      <c r="K301">
        <v>4</v>
      </c>
      <c r="L301">
        <v>0.35</v>
      </c>
      <c r="M301">
        <v>2.3199999999999998</v>
      </c>
      <c r="N301">
        <v>138.16999999999999</v>
      </c>
      <c r="O301">
        <v>14.52</v>
      </c>
      <c r="P301">
        <v>308.85000000000002</v>
      </c>
    </row>
    <row r="302" spans="1:16" x14ac:dyDescent="0.2">
      <c r="A302" t="s">
        <v>16</v>
      </c>
      <c r="C302" t="b">
        <v>1</v>
      </c>
      <c r="D302" t="s">
        <v>57</v>
      </c>
      <c r="E302" t="s">
        <v>18</v>
      </c>
      <c r="F302" t="b">
        <v>0</v>
      </c>
      <c r="G302">
        <v>8.7200000000000006</v>
      </c>
      <c r="H302">
        <v>4.08</v>
      </c>
      <c r="I302">
        <v>19.489999999999998</v>
      </c>
      <c r="J302">
        <v>-0.21</v>
      </c>
      <c r="K302">
        <v>-2.35</v>
      </c>
      <c r="L302">
        <v>-0.2</v>
      </c>
      <c r="M302">
        <v>-0.47</v>
      </c>
      <c r="N302">
        <v>48.7</v>
      </c>
      <c r="O302">
        <v>4.18</v>
      </c>
      <c r="P302">
        <v>108.86</v>
      </c>
    </row>
    <row r="303" spans="1:16" x14ac:dyDescent="0.2">
      <c r="A303" t="s">
        <v>16</v>
      </c>
      <c r="C303" t="b">
        <v>1</v>
      </c>
      <c r="D303" t="s">
        <v>57</v>
      </c>
      <c r="E303" t="s">
        <v>19</v>
      </c>
      <c r="F303" t="b">
        <v>0</v>
      </c>
      <c r="G303">
        <v>32.33</v>
      </c>
      <c r="H303">
        <v>15.13</v>
      </c>
      <c r="I303">
        <v>72.27</v>
      </c>
      <c r="J303">
        <v>-7.03</v>
      </c>
      <c r="K303">
        <v>-17.86</v>
      </c>
      <c r="L303">
        <v>-3.73</v>
      </c>
      <c r="M303">
        <v>-15.71</v>
      </c>
      <c r="N303">
        <v>195.44</v>
      </c>
      <c r="O303">
        <v>16.78</v>
      </c>
      <c r="P303">
        <v>436.87</v>
      </c>
    </row>
    <row r="304" spans="1:16" x14ac:dyDescent="0.2">
      <c r="A304" t="s">
        <v>16</v>
      </c>
      <c r="C304" t="b">
        <v>1</v>
      </c>
      <c r="D304" t="s">
        <v>57</v>
      </c>
      <c r="E304" t="s">
        <v>20</v>
      </c>
      <c r="F304" t="b">
        <v>0</v>
      </c>
      <c r="G304">
        <v>37.29</v>
      </c>
      <c r="H304">
        <v>17.45</v>
      </c>
      <c r="I304">
        <v>83.35</v>
      </c>
      <c r="J304">
        <v>9.7200000000000006</v>
      </c>
      <c r="K304">
        <v>35.26</v>
      </c>
      <c r="L304">
        <v>4.24</v>
      </c>
      <c r="M304">
        <v>21.73</v>
      </c>
      <c r="N304">
        <v>214.12</v>
      </c>
      <c r="O304">
        <v>18.38</v>
      </c>
      <c r="P304">
        <v>478.62</v>
      </c>
    </row>
    <row r="305" spans="1:16" x14ac:dyDescent="0.2">
      <c r="A305" t="s">
        <v>16</v>
      </c>
      <c r="C305" t="b">
        <v>1</v>
      </c>
      <c r="D305" t="s">
        <v>57</v>
      </c>
      <c r="E305" t="s">
        <v>21</v>
      </c>
      <c r="F305" t="b">
        <v>0</v>
      </c>
      <c r="G305">
        <v>30.34</v>
      </c>
      <c r="H305">
        <v>14.2</v>
      </c>
      <c r="I305">
        <v>67.819999999999993</v>
      </c>
      <c r="J305">
        <v>-6.46</v>
      </c>
      <c r="K305">
        <v>-17.55</v>
      </c>
      <c r="L305">
        <v>-3.43</v>
      </c>
      <c r="M305">
        <v>-14.44</v>
      </c>
      <c r="N305">
        <v>132.1</v>
      </c>
      <c r="O305">
        <v>11.34</v>
      </c>
      <c r="P305">
        <v>295.27999999999997</v>
      </c>
    </row>
    <row r="306" spans="1:16" x14ac:dyDescent="0.2">
      <c r="A306" t="s">
        <v>16</v>
      </c>
      <c r="C306" t="b">
        <v>1</v>
      </c>
      <c r="D306" t="s">
        <v>57</v>
      </c>
      <c r="E306" t="s">
        <v>22</v>
      </c>
      <c r="F306" t="b">
        <v>0</v>
      </c>
      <c r="G306">
        <v>57.71</v>
      </c>
      <c r="H306">
        <v>27.01</v>
      </c>
      <c r="I306">
        <v>129</v>
      </c>
      <c r="J306">
        <v>3.21</v>
      </c>
      <c r="K306">
        <v>5.89</v>
      </c>
      <c r="L306">
        <v>0.89</v>
      </c>
      <c r="M306">
        <v>7.18</v>
      </c>
      <c r="N306">
        <v>321.89</v>
      </c>
      <c r="O306">
        <v>27.63</v>
      </c>
      <c r="P306">
        <v>719.52</v>
      </c>
    </row>
    <row r="307" spans="1:16" x14ac:dyDescent="0.2">
      <c r="A307" t="s">
        <v>16</v>
      </c>
      <c r="C307" t="b">
        <v>1</v>
      </c>
      <c r="D307" t="s">
        <v>57</v>
      </c>
      <c r="E307" t="s">
        <v>23</v>
      </c>
      <c r="F307" t="b">
        <v>0</v>
      </c>
      <c r="G307">
        <v>6.29</v>
      </c>
      <c r="H307">
        <v>2.94</v>
      </c>
      <c r="I307">
        <v>14.06</v>
      </c>
      <c r="J307">
        <v>7.0000000000000007E-2</v>
      </c>
      <c r="K307">
        <v>1.1299999999999999</v>
      </c>
      <c r="L307">
        <v>-0.04</v>
      </c>
      <c r="M307">
        <v>0.16</v>
      </c>
      <c r="N307">
        <v>34.96</v>
      </c>
      <c r="O307">
        <v>3</v>
      </c>
      <c r="P307">
        <v>78.150000000000006</v>
      </c>
    </row>
    <row r="308" spans="1:16" x14ac:dyDescent="0.2">
      <c r="A308" t="s">
        <v>16</v>
      </c>
      <c r="C308" t="b">
        <v>1</v>
      </c>
      <c r="D308" t="s">
        <v>57</v>
      </c>
      <c r="E308" t="s">
        <v>24</v>
      </c>
      <c r="F308" t="b">
        <v>0</v>
      </c>
      <c r="G308">
        <v>1.55</v>
      </c>
      <c r="H308">
        <v>0.73</v>
      </c>
      <c r="I308">
        <v>3.46</v>
      </c>
      <c r="J308">
        <v>0.12</v>
      </c>
      <c r="K308">
        <v>8.39</v>
      </c>
      <c r="L308">
        <v>0.04</v>
      </c>
      <c r="M308">
        <v>0.27</v>
      </c>
      <c r="N308">
        <v>7.91</v>
      </c>
      <c r="O308">
        <v>0.68</v>
      </c>
      <c r="P308">
        <v>17.68</v>
      </c>
    </row>
    <row r="309" spans="1:16" x14ac:dyDescent="0.2">
      <c r="A309" t="s">
        <v>16</v>
      </c>
      <c r="C309" t="b">
        <v>1</v>
      </c>
      <c r="D309" t="s">
        <v>57</v>
      </c>
      <c r="E309" t="s">
        <v>25</v>
      </c>
      <c r="F309" t="b">
        <v>0</v>
      </c>
      <c r="G309">
        <v>13.39</v>
      </c>
      <c r="H309">
        <v>6.27</v>
      </c>
      <c r="I309">
        <v>29.93</v>
      </c>
      <c r="J309">
        <v>-0.49</v>
      </c>
      <c r="K309">
        <v>-3.53</v>
      </c>
      <c r="L309">
        <v>-0.38</v>
      </c>
      <c r="M309">
        <v>-1.1000000000000001</v>
      </c>
      <c r="N309">
        <v>45.67</v>
      </c>
      <c r="O309">
        <v>3.92</v>
      </c>
      <c r="P309">
        <v>102.09</v>
      </c>
    </row>
    <row r="310" spans="1:16" x14ac:dyDescent="0.2">
      <c r="A310" t="s">
        <v>16</v>
      </c>
      <c r="C310" t="b">
        <v>1</v>
      </c>
      <c r="D310" t="s">
        <v>57</v>
      </c>
      <c r="E310" t="s">
        <v>26</v>
      </c>
      <c r="F310" t="b">
        <v>1</v>
      </c>
      <c r="G310">
        <v>213.67</v>
      </c>
      <c r="H310">
        <v>100</v>
      </c>
      <c r="I310">
        <v>477.61</v>
      </c>
      <c r="J310">
        <v>4.99</v>
      </c>
      <c r="K310">
        <v>2.39</v>
      </c>
      <c r="L310">
        <v>0</v>
      </c>
      <c r="M310">
        <v>11.15</v>
      </c>
      <c r="N310">
        <v>1165.01</v>
      </c>
      <c r="O310">
        <v>100</v>
      </c>
      <c r="P310">
        <v>2604.14</v>
      </c>
    </row>
    <row r="311" spans="1:16" x14ac:dyDescent="0.2">
      <c r="A311" t="s">
        <v>16</v>
      </c>
      <c r="C311" t="b">
        <v>1</v>
      </c>
      <c r="D311" t="s">
        <v>57</v>
      </c>
      <c r="E311" t="s">
        <v>27</v>
      </c>
      <c r="F311" t="b">
        <v>0</v>
      </c>
      <c r="G311">
        <v>26.05</v>
      </c>
      <c r="H311">
        <v>12.19</v>
      </c>
      <c r="I311">
        <v>58.23</v>
      </c>
      <c r="J311">
        <v>6.06</v>
      </c>
      <c r="K311">
        <v>30.32</v>
      </c>
      <c r="L311">
        <v>2.61</v>
      </c>
      <c r="M311">
        <v>13.55</v>
      </c>
      <c r="N311">
        <v>164.22</v>
      </c>
      <c r="O311">
        <v>14.1</v>
      </c>
      <c r="P311">
        <v>367.08</v>
      </c>
    </row>
    <row r="312" spans="1:16" x14ac:dyDescent="0.2">
      <c r="A312" t="s">
        <v>16</v>
      </c>
      <c r="C312" t="b">
        <v>1</v>
      </c>
      <c r="D312" t="s">
        <v>58</v>
      </c>
      <c r="E312" t="s">
        <v>18</v>
      </c>
      <c r="F312" t="b">
        <v>0</v>
      </c>
      <c r="G312">
        <v>8.11</v>
      </c>
      <c r="H312">
        <v>3.93</v>
      </c>
      <c r="I312">
        <v>18.13</v>
      </c>
      <c r="J312">
        <v>-0.24</v>
      </c>
      <c r="K312">
        <v>-2.87</v>
      </c>
      <c r="L312">
        <v>-0.13</v>
      </c>
      <c r="M312">
        <v>-0.54</v>
      </c>
      <c r="N312">
        <v>56.81</v>
      </c>
      <c r="O312">
        <v>4.1399999999999997</v>
      </c>
      <c r="P312">
        <v>126.99</v>
      </c>
    </row>
    <row r="313" spans="1:16" x14ac:dyDescent="0.2">
      <c r="A313" t="s">
        <v>16</v>
      </c>
      <c r="C313" t="b">
        <v>1</v>
      </c>
      <c r="D313" t="s">
        <v>58</v>
      </c>
      <c r="E313" t="s">
        <v>19</v>
      </c>
      <c r="F313" t="b">
        <v>0</v>
      </c>
      <c r="G313">
        <v>28.61</v>
      </c>
      <c r="H313">
        <v>13.87</v>
      </c>
      <c r="I313">
        <v>63.95</v>
      </c>
      <c r="J313">
        <v>-12.47</v>
      </c>
      <c r="K313">
        <v>-30.36</v>
      </c>
      <c r="L313">
        <v>-6.11</v>
      </c>
      <c r="M313">
        <v>-27.87</v>
      </c>
      <c r="N313">
        <v>224.05</v>
      </c>
      <c r="O313">
        <v>16.34</v>
      </c>
      <c r="P313">
        <v>500.82</v>
      </c>
    </row>
    <row r="314" spans="1:16" x14ac:dyDescent="0.2">
      <c r="A314" t="s">
        <v>16</v>
      </c>
      <c r="C314" t="b">
        <v>1</v>
      </c>
      <c r="D314" t="s">
        <v>58</v>
      </c>
      <c r="E314" t="s">
        <v>20</v>
      </c>
      <c r="F314" t="b">
        <v>0</v>
      </c>
      <c r="G314">
        <v>39.86</v>
      </c>
      <c r="H314">
        <v>19.32</v>
      </c>
      <c r="I314">
        <v>89.1</v>
      </c>
      <c r="J314">
        <v>8.66</v>
      </c>
      <c r="K314">
        <v>27.76</v>
      </c>
      <c r="L314">
        <v>4.1500000000000004</v>
      </c>
      <c r="M314">
        <v>19.36</v>
      </c>
      <c r="N314">
        <v>253.98</v>
      </c>
      <c r="O314">
        <v>18.52</v>
      </c>
      <c r="P314">
        <v>567.72</v>
      </c>
    </row>
    <row r="315" spans="1:16" x14ac:dyDescent="0.2">
      <c r="A315" t="s">
        <v>16</v>
      </c>
      <c r="C315" t="b">
        <v>1</v>
      </c>
      <c r="D315" t="s">
        <v>58</v>
      </c>
      <c r="E315" t="s">
        <v>21</v>
      </c>
      <c r="F315" t="b">
        <v>0</v>
      </c>
      <c r="G315">
        <v>31.08</v>
      </c>
      <c r="H315">
        <v>15.07</v>
      </c>
      <c r="I315">
        <v>69.47</v>
      </c>
      <c r="J315">
        <v>-0.64</v>
      </c>
      <c r="K315">
        <v>-2.02</v>
      </c>
      <c r="L315">
        <v>-0.36</v>
      </c>
      <c r="M315">
        <v>-1.43</v>
      </c>
      <c r="N315">
        <v>163.18</v>
      </c>
      <c r="O315">
        <v>11.9</v>
      </c>
      <c r="P315">
        <v>364.75</v>
      </c>
    </row>
    <row r="316" spans="1:16" x14ac:dyDescent="0.2">
      <c r="A316" t="s">
        <v>16</v>
      </c>
      <c r="C316" t="b">
        <v>1</v>
      </c>
      <c r="D316" t="s">
        <v>58</v>
      </c>
      <c r="E316" t="s">
        <v>22</v>
      </c>
      <c r="F316" t="b">
        <v>0</v>
      </c>
      <c r="G316">
        <v>55.24</v>
      </c>
      <c r="H316">
        <v>26.78</v>
      </c>
      <c r="I316">
        <v>123.48</v>
      </c>
      <c r="J316">
        <v>0.85</v>
      </c>
      <c r="K316">
        <v>1.56</v>
      </c>
      <c r="L316">
        <v>0.33</v>
      </c>
      <c r="M316">
        <v>1.9</v>
      </c>
      <c r="N316">
        <v>377.13</v>
      </c>
      <c r="O316">
        <v>27.5</v>
      </c>
      <c r="P316">
        <v>843</v>
      </c>
    </row>
    <row r="317" spans="1:16" x14ac:dyDescent="0.2">
      <c r="A317" t="s">
        <v>16</v>
      </c>
      <c r="C317" t="b">
        <v>1</v>
      </c>
      <c r="D317" t="s">
        <v>58</v>
      </c>
      <c r="E317" t="s">
        <v>23</v>
      </c>
      <c r="F317" t="b">
        <v>0</v>
      </c>
      <c r="G317">
        <v>5.61</v>
      </c>
      <c r="H317">
        <v>2.72</v>
      </c>
      <c r="I317">
        <v>12.54</v>
      </c>
      <c r="J317">
        <v>-0.24</v>
      </c>
      <c r="K317">
        <v>-4.0999999999999996</v>
      </c>
      <c r="L317">
        <v>-0.12</v>
      </c>
      <c r="M317">
        <v>-0.54</v>
      </c>
      <c r="N317">
        <v>40.57</v>
      </c>
      <c r="O317">
        <v>2.96</v>
      </c>
      <c r="P317">
        <v>90.69</v>
      </c>
    </row>
    <row r="318" spans="1:16" x14ac:dyDescent="0.2">
      <c r="A318" t="s">
        <v>16</v>
      </c>
      <c r="C318" t="b">
        <v>1</v>
      </c>
      <c r="D318" t="s">
        <v>58</v>
      </c>
      <c r="E318" t="s">
        <v>24</v>
      </c>
      <c r="F318" t="b">
        <v>0</v>
      </c>
      <c r="G318">
        <v>1.25</v>
      </c>
      <c r="H318">
        <v>0.61</v>
      </c>
      <c r="I318">
        <v>2.79</v>
      </c>
      <c r="J318">
        <v>-0.03</v>
      </c>
      <c r="K318">
        <v>-2.34</v>
      </c>
      <c r="L318">
        <v>-0.01</v>
      </c>
      <c r="M318">
        <v>-7.0000000000000007E-2</v>
      </c>
      <c r="N318">
        <v>9.16</v>
      </c>
      <c r="O318">
        <v>0.67</v>
      </c>
      <c r="P318">
        <v>20.48</v>
      </c>
    </row>
    <row r="319" spans="1:16" x14ac:dyDescent="0.2">
      <c r="A319" t="s">
        <v>16</v>
      </c>
      <c r="C319" t="b">
        <v>1</v>
      </c>
      <c r="D319" t="s">
        <v>58</v>
      </c>
      <c r="E319" t="s">
        <v>25</v>
      </c>
      <c r="F319" t="b">
        <v>0</v>
      </c>
      <c r="G319">
        <v>16.260000000000002</v>
      </c>
      <c r="H319">
        <v>7.88</v>
      </c>
      <c r="I319">
        <v>36.35</v>
      </c>
      <c r="J319">
        <v>2.82</v>
      </c>
      <c r="K319">
        <v>20.98</v>
      </c>
      <c r="L319">
        <v>1.34</v>
      </c>
      <c r="M319">
        <v>6.3</v>
      </c>
      <c r="N319">
        <v>61.93</v>
      </c>
      <c r="O319">
        <v>4.5199999999999996</v>
      </c>
      <c r="P319">
        <v>138.43</v>
      </c>
    </row>
    <row r="320" spans="1:16" x14ac:dyDescent="0.2">
      <c r="A320" t="s">
        <v>16</v>
      </c>
      <c r="C320" t="b">
        <v>1</v>
      </c>
      <c r="D320" t="s">
        <v>58</v>
      </c>
      <c r="E320" t="s">
        <v>26</v>
      </c>
      <c r="F320" t="b">
        <v>1</v>
      </c>
      <c r="G320">
        <v>206.3</v>
      </c>
      <c r="H320">
        <v>100</v>
      </c>
      <c r="I320">
        <v>461.14</v>
      </c>
      <c r="J320">
        <v>0.67</v>
      </c>
      <c r="K320">
        <v>0.33</v>
      </c>
      <c r="L320">
        <v>0</v>
      </c>
      <c r="M320">
        <v>1.5</v>
      </c>
      <c r="N320">
        <v>1371.31</v>
      </c>
      <c r="O320">
        <v>100</v>
      </c>
      <c r="P320">
        <v>3065.28</v>
      </c>
    </row>
    <row r="321" spans="1:16" x14ac:dyDescent="0.2">
      <c r="A321" t="s">
        <v>16</v>
      </c>
      <c r="C321" t="b">
        <v>1</v>
      </c>
      <c r="D321" t="s">
        <v>58</v>
      </c>
      <c r="E321" t="s">
        <v>27</v>
      </c>
      <c r="F321" t="b">
        <v>0</v>
      </c>
      <c r="G321">
        <v>20.28</v>
      </c>
      <c r="H321">
        <v>9.83</v>
      </c>
      <c r="I321">
        <v>45.33</v>
      </c>
      <c r="J321">
        <v>1.96</v>
      </c>
      <c r="K321">
        <v>10.7</v>
      </c>
      <c r="L321">
        <v>0.92</v>
      </c>
      <c r="M321">
        <v>4.38</v>
      </c>
      <c r="N321">
        <v>184.5</v>
      </c>
      <c r="O321">
        <v>13.45</v>
      </c>
      <c r="P321">
        <v>412.41</v>
      </c>
    </row>
    <row r="322" spans="1:16" x14ac:dyDescent="0.2">
      <c r="A322" t="s">
        <v>16</v>
      </c>
      <c r="C322" t="b">
        <v>1</v>
      </c>
      <c r="D322" t="s">
        <v>59</v>
      </c>
      <c r="E322" t="s">
        <v>18</v>
      </c>
      <c r="F322" t="b">
        <v>0</v>
      </c>
      <c r="G322">
        <v>8.5500000000000007</v>
      </c>
      <c r="H322">
        <v>3.92</v>
      </c>
      <c r="I322">
        <v>19.11</v>
      </c>
      <c r="J322">
        <v>-0.1</v>
      </c>
      <c r="K322">
        <v>-1.1599999999999999</v>
      </c>
      <c r="L322">
        <v>-0.04</v>
      </c>
      <c r="M322">
        <v>-0.22</v>
      </c>
      <c r="N322">
        <v>65.36</v>
      </c>
      <c r="O322">
        <v>4.1100000000000003</v>
      </c>
      <c r="P322">
        <v>146.1</v>
      </c>
    </row>
    <row r="323" spans="1:16" x14ac:dyDescent="0.2">
      <c r="A323" t="s">
        <v>16</v>
      </c>
      <c r="C323" t="b">
        <v>1</v>
      </c>
      <c r="D323" t="s">
        <v>59</v>
      </c>
      <c r="E323" t="s">
        <v>19</v>
      </c>
      <c r="F323" t="b">
        <v>0</v>
      </c>
      <c r="G323">
        <v>32.08</v>
      </c>
      <c r="H323">
        <v>14.72</v>
      </c>
      <c r="I323">
        <v>71.709999999999994</v>
      </c>
      <c r="J323">
        <v>-16.41</v>
      </c>
      <c r="K323">
        <v>-33.840000000000003</v>
      </c>
      <c r="L323">
        <v>-7.47</v>
      </c>
      <c r="M323">
        <v>-36.68</v>
      </c>
      <c r="N323">
        <v>256.13</v>
      </c>
      <c r="O323">
        <v>16.12</v>
      </c>
      <c r="P323">
        <v>572.52</v>
      </c>
    </row>
    <row r="324" spans="1:16" x14ac:dyDescent="0.2">
      <c r="A324" t="s">
        <v>16</v>
      </c>
      <c r="C324" t="b">
        <v>1</v>
      </c>
      <c r="D324" t="s">
        <v>59</v>
      </c>
      <c r="E324" t="s">
        <v>20</v>
      </c>
      <c r="F324" t="b">
        <v>0</v>
      </c>
      <c r="G324">
        <v>50.6</v>
      </c>
      <c r="H324">
        <v>23.22</v>
      </c>
      <c r="I324">
        <v>113.11</v>
      </c>
      <c r="J324">
        <v>11.78</v>
      </c>
      <c r="K324">
        <v>30.35</v>
      </c>
      <c r="L324">
        <v>5.45</v>
      </c>
      <c r="M324">
        <v>26.33</v>
      </c>
      <c r="N324">
        <v>304.58</v>
      </c>
      <c r="O324">
        <v>19.170000000000002</v>
      </c>
      <c r="P324">
        <v>680.82</v>
      </c>
    </row>
    <row r="325" spans="1:16" x14ac:dyDescent="0.2">
      <c r="A325" t="s">
        <v>16</v>
      </c>
      <c r="C325" t="b">
        <v>1</v>
      </c>
      <c r="D325" t="s">
        <v>59</v>
      </c>
      <c r="E325" t="s">
        <v>21</v>
      </c>
      <c r="F325" t="b">
        <v>0</v>
      </c>
      <c r="G325">
        <v>26.09</v>
      </c>
      <c r="H325">
        <v>11.98</v>
      </c>
      <c r="I325">
        <v>58.32</v>
      </c>
      <c r="J325">
        <v>-0.53</v>
      </c>
      <c r="K325">
        <v>-1.99</v>
      </c>
      <c r="L325">
        <v>-0.2</v>
      </c>
      <c r="M325">
        <v>-1.18</v>
      </c>
      <c r="N325">
        <v>189.27</v>
      </c>
      <c r="O325">
        <v>11.91</v>
      </c>
      <c r="P325">
        <v>423.07</v>
      </c>
    </row>
    <row r="326" spans="1:16" x14ac:dyDescent="0.2">
      <c r="A326" t="s">
        <v>16</v>
      </c>
      <c r="C326" t="b">
        <v>1</v>
      </c>
      <c r="D326" t="s">
        <v>59</v>
      </c>
      <c r="E326" t="s">
        <v>22</v>
      </c>
      <c r="F326" t="b">
        <v>0</v>
      </c>
      <c r="G326">
        <v>57.99</v>
      </c>
      <c r="H326">
        <v>26.62</v>
      </c>
      <c r="I326">
        <v>129.62</v>
      </c>
      <c r="J326">
        <v>-7.0000000000000007E-2</v>
      </c>
      <c r="K326">
        <v>-0.12</v>
      </c>
      <c r="L326">
        <v>0.05</v>
      </c>
      <c r="M326">
        <v>-0.16</v>
      </c>
      <c r="N326">
        <v>435.12</v>
      </c>
      <c r="O326">
        <v>27.38</v>
      </c>
      <c r="P326">
        <v>972.62</v>
      </c>
    </row>
    <row r="327" spans="1:16" x14ac:dyDescent="0.2">
      <c r="A327" t="s">
        <v>16</v>
      </c>
      <c r="C327" t="b">
        <v>1</v>
      </c>
      <c r="D327" t="s">
        <v>59</v>
      </c>
      <c r="E327" t="s">
        <v>23</v>
      </c>
      <c r="F327" t="b">
        <v>0</v>
      </c>
      <c r="G327">
        <v>5.88</v>
      </c>
      <c r="H327">
        <v>2.7</v>
      </c>
      <c r="I327">
        <v>13.14</v>
      </c>
      <c r="J327">
        <v>-0.5</v>
      </c>
      <c r="K327">
        <v>-7.84</v>
      </c>
      <c r="L327">
        <v>-0.22</v>
      </c>
      <c r="M327">
        <v>-1.1200000000000001</v>
      </c>
      <c r="N327">
        <v>46.45</v>
      </c>
      <c r="O327">
        <v>2.92</v>
      </c>
      <c r="P327">
        <v>103.83</v>
      </c>
    </row>
    <row r="328" spans="1:16" x14ac:dyDescent="0.2">
      <c r="A328" t="s">
        <v>16</v>
      </c>
      <c r="C328" t="b">
        <v>1</v>
      </c>
      <c r="D328" t="s">
        <v>59</v>
      </c>
      <c r="E328" t="s">
        <v>24</v>
      </c>
      <c r="F328" t="b">
        <v>0</v>
      </c>
      <c r="G328">
        <v>1.45</v>
      </c>
      <c r="H328">
        <v>0.67</v>
      </c>
      <c r="I328">
        <v>3.24</v>
      </c>
      <c r="J328">
        <v>7.0000000000000007E-2</v>
      </c>
      <c r="K328">
        <v>5.07</v>
      </c>
      <c r="L328">
        <v>0.04</v>
      </c>
      <c r="M328">
        <v>0.16</v>
      </c>
      <c r="N328">
        <v>10.61</v>
      </c>
      <c r="O328">
        <v>0.67</v>
      </c>
      <c r="P328">
        <v>23.72</v>
      </c>
    </row>
    <row r="329" spans="1:16" x14ac:dyDescent="0.2">
      <c r="A329" t="s">
        <v>16</v>
      </c>
      <c r="C329" t="b">
        <v>1</v>
      </c>
      <c r="D329" t="s">
        <v>59</v>
      </c>
      <c r="E329" t="s">
        <v>25</v>
      </c>
      <c r="F329" t="b">
        <v>0</v>
      </c>
      <c r="G329">
        <v>15.55</v>
      </c>
      <c r="H329">
        <v>7.14</v>
      </c>
      <c r="I329">
        <v>34.76</v>
      </c>
      <c r="J329">
        <v>-0.01</v>
      </c>
      <c r="K329">
        <v>-0.06</v>
      </c>
      <c r="L329">
        <v>0.02</v>
      </c>
      <c r="M329">
        <v>-0.02</v>
      </c>
      <c r="N329">
        <v>77.48</v>
      </c>
      <c r="O329">
        <v>4.88</v>
      </c>
      <c r="P329">
        <v>173.19</v>
      </c>
    </row>
    <row r="330" spans="1:16" x14ac:dyDescent="0.2">
      <c r="A330" t="s">
        <v>16</v>
      </c>
      <c r="C330" t="b">
        <v>1</v>
      </c>
      <c r="D330" t="s">
        <v>59</v>
      </c>
      <c r="E330" t="s">
        <v>26</v>
      </c>
      <c r="F330" t="b">
        <v>1</v>
      </c>
      <c r="G330">
        <v>217.87</v>
      </c>
      <c r="H330">
        <v>100</v>
      </c>
      <c r="I330">
        <v>487</v>
      </c>
      <c r="J330">
        <v>-0.62</v>
      </c>
      <c r="K330">
        <v>-0.28000000000000003</v>
      </c>
      <c r="L330">
        <v>0</v>
      </c>
      <c r="M330">
        <v>-1.39</v>
      </c>
      <c r="N330">
        <v>1589.18</v>
      </c>
      <c r="O330">
        <v>100</v>
      </c>
      <c r="P330">
        <v>3552.28</v>
      </c>
    </row>
    <row r="331" spans="1:16" x14ac:dyDescent="0.2">
      <c r="A331" t="s">
        <v>16</v>
      </c>
      <c r="C331" t="b">
        <v>1</v>
      </c>
      <c r="D331" t="s">
        <v>59</v>
      </c>
      <c r="E331" t="s">
        <v>27</v>
      </c>
      <c r="F331" t="b">
        <v>0</v>
      </c>
      <c r="G331">
        <v>19.68</v>
      </c>
      <c r="H331">
        <v>9.0299999999999994</v>
      </c>
      <c r="I331">
        <v>43.99</v>
      </c>
      <c r="J331">
        <v>5.15</v>
      </c>
      <c r="K331">
        <v>35.44</v>
      </c>
      <c r="L331">
        <v>2.38</v>
      </c>
      <c r="M331">
        <v>11.51</v>
      </c>
      <c r="N331">
        <v>204.18</v>
      </c>
      <c r="O331">
        <v>12.85</v>
      </c>
      <c r="P331">
        <v>456.4</v>
      </c>
    </row>
    <row r="332" spans="1:16" x14ac:dyDescent="0.2">
      <c r="A332" t="s">
        <v>16</v>
      </c>
      <c r="C332" t="b">
        <v>1</v>
      </c>
      <c r="D332" t="s">
        <v>60</v>
      </c>
      <c r="E332" t="s">
        <v>18</v>
      </c>
      <c r="F332" t="b">
        <v>0</v>
      </c>
      <c r="G332">
        <v>8.61</v>
      </c>
      <c r="H332">
        <v>4.16</v>
      </c>
      <c r="I332">
        <v>19.25</v>
      </c>
      <c r="J332">
        <v>-0.23</v>
      </c>
      <c r="K332">
        <v>-2.6</v>
      </c>
      <c r="L332">
        <v>-0.01</v>
      </c>
      <c r="M332">
        <v>-0.51</v>
      </c>
      <c r="N332">
        <v>73.97</v>
      </c>
      <c r="O332">
        <v>4.12</v>
      </c>
      <c r="P332">
        <v>165.34</v>
      </c>
    </row>
    <row r="333" spans="1:16" x14ac:dyDescent="0.2">
      <c r="A333" t="s">
        <v>16</v>
      </c>
      <c r="C333" t="b">
        <v>1</v>
      </c>
      <c r="D333" t="s">
        <v>60</v>
      </c>
      <c r="E333" t="s">
        <v>19</v>
      </c>
      <c r="F333" t="b">
        <v>0</v>
      </c>
      <c r="G333">
        <v>29.86</v>
      </c>
      <c r="H333">
        <v>14.41</v>
      </c>
      <c r="I333">
        <v>66.75</v>
      </c>
      <c r="J333">
        <v>-16.690000000000001</v>
      </c>
      <c r="K333">
        <v>-35.85</v>
      </c>
      <c r="L333">
        <v>-7.57</v>
      </c>
      <c r="M333">
        <v>-37.31</v>
      </c>
      <c r="N333">
        <v>285.99</v>
      </c>
      <c r="O333">
        <v>15.92</v>
      </c>
      <c r="P333">
        <v>639.27</v>
      </c>
    </row>
    <row r="334" spans="1:16" x14ac:dyDescent="0.2">
      <c r="A334" t="s">
        <v>16</v>
      </c>
      <c r="C334" t="b">
        <v>1</v>
      </c>
      <c r="D334" t="s">
        <v>60</v>
      </c>
      <c r="E334" t="s">
        <v>20</v>
      </c>
      <c r="F334" t="b">
        <v>0</v>
      </c>
      <c r="G334">
        <v>48.15</v>
      </c>
      <c r="H334">
        <v>23.24</v>
      </c>
      <c r="I334">
        <v>107.63</v>
      </c>
      <c r="J334">
        <v>9.11</v>
      </c>
      <c r="K334">
        <v>23.34</v>
      </c>
      <c r="L334">
        <v>4.8099999999999996</v>
      </c>
      <c r="M334">
        <v>20.36</v>
      </c>
      <c r="N334">
        <v>352.73</v>
      </c>
      <c r="O334">
        <v>19.64</v>
      </c>
      <c r="P334">
        <v>788.45</v>
      </c>
    </row>
    <row r="335" spans="1:16" x14ac:dyDescent="0.2">
      <c r="A335" t="s">
        <v>16</v>
      </c>
      <c r="C335" t="b">
        <v>1</v>
      </c>
      <c r="D335" t="s">
        <v>60</v>
      </c>
      <c r="E335" t="s">
        <v>21</v>
      </c>
      <c r="F335" t="b">
        <v>0</v>
      </c>
      <c r="G335">
        <v>22.19</v>
      </c>
      <c r="H335">
        <v>10.71</v>
      </c>
      <c r="I335">
        <v>49.6</v>
      </c>
      <c r="J335">
        <v>-0.01</v>
      </c>
      <c r="K335">
        <v>-0.05</v>
      </c>
      <c r="L335">
        <v>0.23</v>
      </c>
      <c r="M335">
        <v>-0.02</v>
      </c>
      <c r="N335">
        <v>211.46</v>
      </c>
      <c r="O335">
        <v>11.77</v>
      </c>
      <c r="P335">
        <v>472.67</v>
      </c>
    </row>
    <row r="336" spans="1:16" x14ac:dyDescent="0.2">
      <c r="A336" t="s">
        <v>16</v>
      </c>
      <c r="C336" t="b">
        <v>1</v>
      </c>
      <c r="D336" t="s">
        <v>60</v>
      </c>
      <c r="E336" t="s">
        <v>22</v>
      </c>
      <c r="F336" t="b">
        <v>0</v>
      </c>
      <c r="G336">
        <v>57.29</v>
      </c>
      <c r="H336">
        <v>27.65</v>
      </c>
      <c r="I336">
        <v>128.06</v>
      </c>
      <c r="J336">
        <v>2.3199999999999998</v>
      </c>
      <c r="K336">
        <v>4.22</v>
      </c>
      <c r="L336">
        <v>1.7</v>
      </c>
      <c r="M336">
        <v>5.19</v>
      </c>
      <c r="N336">
        <v>492.41</v>
      </c>
      <c r="O336">
        <v>27.41</v>
      </c>
      <c r="P336">
        <v>1100.68</v>
      </c>
    </row>
    <row r="337" spans="1:16" x14ac:dyDescent="0.2">
      <c r="A337" t="s">
        <v>16</v>
      </c>
      <c r="C337" t="b">
        <v>1</v>
      </c>
      <c r="D337" t="s">
        <v>60</v>
      </c>
      <c r="E337" t="s">
        <v>23</v>
      </c>
      <c r="F337" t="b">
        <v>0</v>
      </c>
      <c r="G337">
        <v>6.26</v>
      </c>
      <c r="H337">
        <v>3.02</v>
      </c>
      <c r="I337">
        <v>13.99</v>
      </c>
      <c r="J337">
        <v>-0.23</v>
      </c>
      <c r="K337">
        <v>-3.54</v>
      </c>
      <c r="L337">
        <v>-0.04</v>
      </c>
      <c r="M337">
        <v>-0.51</v>
      </c>
      <c r="N337">
        <v>52.71</v>
      </c>
      <c r="O337">
        <v>2.93</v>
      </c>
      <c r="P337">
        <v>117.82</v>
      </c>
    </row>
    <row r="338" spans="1:16" x14ac:dyDescent="0.2">
      <c r="A338" t="s">
        <v>16</v>
      </c>
      <c r="C338" t="b">
        <v>1</v>
      </c>
      <c r="D338" t="s">
        <v>60</v>
      </c>
      <c r="E338" t="s">
        <v>24</v>
      </c>
      <c r="F338" t="b">
        <v>0</v>
      </c>
      <c r="G338">
        <v>1.44</v>
      </c>
      <c r="H338">
        <v>0.7</v>
      </c>
      <c r="I338">
        <v>3.22</v>
      </c>
      <c r="J338">
        <v>0.05</v>
      </c>
      <c r="K338">
        <v>3.6</v>
      </c>
      <c r="L338">
        <v>0.04</v>
      </c>
      <c r="M338">
        <v>0.11</v>
      </c>
      <c r="N338">
        <v>12.05</v>
      </c>
      <c r="O338">
        <v>0.67</v>
      </c>
      <c r="P338">
        <v>26.94</v>
      </c>
    </row>
    <row r="339" spans="1:16" x14ac:dyDescent="0.2">
      <c r="A339" t="s">
        <v>16</v>
      </c>
      <c r="C339" t="b">
        <v>1</v>
      </c>
      <c r="D339" t="s">
        <v>60</v>
      </c>
      <c r="E339" t="s">
        <v>25</v>
      </c>
      <c r="F339" t="b">
        <v>0</v>
      </c>
      <c r="G339">
        <v>14.65</v>
      </c>
      <c r="H339">
        <v>7.07</v>
      </c>
      <c r="I339">
        <v>32.75</v>
      </c>
      <c r="J339">
        <v>1.25</v>
      </c>
      <c r="K339">
        <v>9.33</v>
      </c>
      <c r="L339">
        <v>0.74</v>
      </c>
      <c r="M339">
        <v>2.79</v>
      </c>
      <c r="N339">
        <v>92.13</v>
      </c>
      <c r="O339">
        <v>5.13</v>
      </c>
      <c r="P339">
        <v>205.94</v>
      </c>
    </row>
    <row r="340" spans="1:16" x14ac:dyDescent="0.2">
      <c r="A340" t="s">
        <v>16</v>
      </c>
      <c r="C340" t="b">
        <v>1</v>
      </c>
      <c r="D340" t="s">
        <v>60</v>
      </c>
      <c r="E340" t="s">
        <v>26</v>
      </c>
      <c r="F340" t="b">
        <v>1</v>
      </c>
      <c r="G340">
        <v>207.18</v>
      </c>
      <c r="H340">
        <v>100</v>
      </c>
      <c r="I340">
        <v>463.11</v>
      </c>
      <c r="J340">
        <v>-4.6100000000000003</v>
      </c>
      <c r="K340">
        <v>-2.1800000000000002</v>
      </c>
      <c r="L340">
        <v>0</v>
      </c>
      <c r="M340">
        <v>-10.3</v>
      </c>
      <c r="N340">
        <v>1796.36</v>
      </c>
      <c r="O340">
        <v>100</v>
      </c>
      <c r="P340">
        <v>4015.39</v>
      </c>
    </row>
    <row r="341" spans="1:16" x14ac:dyDescent="0.2">
      <c r="A341" t="s">
        <v>16</v>
      </c>
      <c r="C341" t="b">
        <v>1</v>
      </c>
      <c r="D341" t="s">
        <v>60</v>
      </c>
      <c r="E341" t="s">
        <v>27</v>
      </c>
      <c r="F341" t="b">
        <v>0</v>
      </c>
      <c r="G341">
        <v>18.73</v>
      </c>
      <c r="H341">
        <v>9.0399999999999991</v>
      </c>
      <c r="I341">
        <v>41.87</v>
      </c>
      <c r="J341">
        <v>-0.18</v>
      </c>
      <c r="K341">
        <v>-0.95</v>
      </c>
      <c r="L341">
        <v>0.11</v>
      </c>
      <c r="M341">
        <v>-0.4</v>
      </c>
      <c r="N341">
        <v>222.91</v>
      </c>
      <c r="O341">
        <v>12.41</v>
      </c>
      <c r="P341">
        <v>498.27</v>
      </c>
    </row>
    <row r="342" spans="1:16" x14ac:dyDescent="0.2">
      <c r="A342" t="s">
        <v>16</v>
      </c>
      <c r="C342" t="b">
        <v>1</v>
      </c>
      <c r="D342" t="s">
        <v>61</v>
      </c>
      <c r="E342" t="s">
        <v>18</v>
      </c>
      <c r="F342" t="b">
        <v>0</v>
      </c>
      <c r="G342">
        <v>8.27</v>
      </c>
      <c r="H342">
        <v>4</v>
      </c>
      <c r="I342">
        <v>18.489999999999998</v>
      </c>
      <c r="J342">
        <v>-0.62</v>
      </c>
      <c r="K342">
        <v>-6.97</v>
      </c>
      <c r="L342">
        <v>-0.25</v>
      </c>
      <c r="M342">
        <v>-1.39</v>
      </c>
      <c r="N342">
        <v>82.24</v>
      </c>
      <c r="O342">
        <v>4.1100000000000003</v>
      </c>
      <c r="P342">
        <v>183.83</v>
      </c>
    </row>
    <row r="343" spans="1:16" x14ac:dyDescent="0.2">
      <c r="A343" t="s">
        <v>16</v>
      </c>
      <c r="C343" t="b">
        <v>1</v>
      </c>
      <c r="D343" t="s">
        <v>61</v>
      </c>
      <c r="E343" t="s">
        <v>19</v>
      </c>
      <c r="F343" t="b">
        <v>0</v>
      </c>
      <c r="G343">
        <v>29.55</v>
      </c>
      <c r="H343">
        <v>14.3</v>
      </c>
      <c r="I343">
        <v>66.05</v>
      </c>
      <c r="J343">
        <v>-16.989999999999998</v>
      </c>
      <c r="K343">
        <v>-36.51</v>
      </c>
      <c r="L343">
        <v>-7.93</v>
      </c>
      <c r="M343">
        <v>-37.979999999999997</v>
      </c>
      <c r="N343">
        <v>315.54000000000002</v>
      </c>
      <c r="O343">
        <v>15.75</v>
      </c>
      <c r="P343">
        <v>705.32</v>
      </c>
    </row>
    <row r="344" spans="1:16" x14ac:dyDescent="0.2">
      <c r="A344" t="s">
        <v>16</v>
      </c>
      <c r="C344" t="b">
        <v>1</v>
      </c>
      <c r="D344" t="s">
        <v>61</v>
      </c>
      <c r="E344" t="s">
        <v>20</v>
      </c>
      <c r="F344" t="b">
        <v>0</v>
      </c>
      <c r="G344">
        <v>47.71</v>
      </c>
      <c r="H344">
        <v>23.09</v>
      </c>
      <c r="I344">
        <v>106.65</v>
      </c>
      <c r="J344">
        <v>10.07</v>
      </c>
      <c r="K344">
        <v>26.75</v>
      </c>
      <c r="L344">
        <v>5.1100000000000003</v>
      </c>
      <c r="M344">
        <v>22.51</v>
      </c>
      <c r="N344">
        <v>400.44</v>
      </c>
      <c r="O344">
        <v>19.989999999999998</v>
      </c>
      <c r="P344">
        <v>895.1</v>
      </c>
    </row>
    <row r="345" spans="1:16" x14ac:dyDescent="0.2">
      <c r="A345" t="s">
        <v>16</v>
      </c>
      <c r="C345" t="b">
        <v>1</v>
      </c>
      <c r="D345" t="s">
        <v>61</v>
      </c>
      <c r="E345" t="s">
        <v>21</v>
      </c>
      <c r="F345" t="b">
        <v>0</v>
      </c>
      <c r="G345">
        <v>19.78</v>
      </c>
      <c r="H345">
        <v>9.57</v>
      </c>
      <c r="I345">
        <v>44.21</v>
      </c>
      <c r="J345">
        <v>-0.47</v>
      </c>
      <c r="K345">
        <v>-2.3199999999999998</v>
      </c>
      <c r="L345">
        <v>-0.1</v>
      </c>
      <c r="M345">
        <v>-1.05</v>
      </c>
      <c r="N345">
        <v>231.24</v>
      </c>
      <c r="O345">
        <v>11.54</v>
      </c>
      <c r="P345">
        <v>516.89</v>
      </c>
    </row>
    <row r="346" spans="1:16" x14ac:dyDescent="0.2">
      <c r="A346" t="s">
        <v>16</v>
      </c>
      <c r="C346" t="b">
        <v>1</v>
      </c>
      <c r="D346" t="s">
        <v>61</v>
      </c>
      <c r="E346" t="s">
        <v>22</v>
      </c>
      <c r="F346" t="b">
        <v>0</v>
      </c>
      <c r="G346">
        <v>55.87</v>
      </c>
      <c r="H346">
        <v>27.04</v>
      </c>
      <c r="I346">
        <v>124.89</v>
      </c>
      <c r="J346">
        <v>0.73</v>
      </c>
      <c r="K346">
        <v>1.32</v>
      </c>
      <c r="L346">
        <v>0.7</v>
      </c>
      <c r="M346">
        <v>1.63</v>
      </c>
      <c r="N346">
        <v>548.28</v>
      </c>
      <c r="O346">
        <v>27.37</v>
      </c>
      <c r="P346">
        <v>1225.57</v>
      </c>
    </row>
    <row r="347" spans="1:16" x14ac:dyDescent="0.2">
      <c r="A347" t="s">
        <v>16</v>
      </c>
      <c r="C347" t="b">
        <v>1</v>
      </c>
      <c r="D347" t="s">
        <v>61</v>
      </c>
      <c r="E347" t="s">
        <v>23</v>
      </c>
      <c r="F347" t="b">
        <v>0</v>
      </c>
      <c r="G347">
        <v>6.44</v>
      </c>
      <c r="H347">
        <v>3.12</v>
      </c>
      <c r="I347">
        <v>14.4</v>
      </c>
      <c r="J347">
        <v>0.15</v>
      </c>
      <c r="K347">
        <v>2.38</v>
      </c>
      <c r="L347">
        <v>0.12</v>
      </c>
      <c r="M347">
        <v>0.34</v>
      </c>
      <c r="N347">
        <v>59.15</v>
      </c>
      <c r="O347">
        <v>2.95</v>
      </c>
      <c r="P347">
        <v>132.22</v>
      </c>
    </row>
    <row r="348" spans="1:16" x14ac:dyDescent="0.2">
      <c r="A348" t="s">
        <v>16</v>
      </c>
      <c r="C348" t="b">
        <v>1</v>
      </c>
      <c r="D348" t="s">
        <v>61</v>
      </c>
      <c r="E348" t="s">
        <v>24</v>
      </c>
      <c r="F348" t="b">
        <v>0</v>
      </c>
      <c r="G348">
        <v>1.46</v>
      </c>
      <c r="H348">
        <v>0.71</v>
      </c>
      <c r="I348">
        <v>3.26</v>
      </c>
      <c r="J348">
        <v>0.14000000000000001</v>
      </c>
      <c r="K348">
        <v>10.61</v>
      </c>
      <c r="L348">
        <v>0.08</v>
      </c>
      <c r="M348">
        <v>0.31</v>
      </c>
      <c r="N348">
        <v>13.51</v>
      </c>
      <c r="O348">
        <v>0.67</v>
      </c>
      <c r="P348">
        <v>30.2</v>
      </c>
    </row>
    <row r="349" spans="1:16" x14ac:dyDescent="0.2">
      <c r="A349" t="s">
        <v>16</v>
      </c>
      <c r="C349" t="b">
        <v>1</v>
      </c>
      <c r="D349" t="s">
        <v>61</v>
      </c>
      <c r="E349" t="s">
        <v>25</v>
      </c>
      <c r="F349" t="b">
        <v>0</v>
      </c>
      <c r="G349">
        <v>11.2</v>
      </c>
      <c r="H349">
        <v>5.42</v>
      </c>
      <c r="I349">
        <v>25.04</v>
      </c>
      <c r="J349">
        <v>0.3</v>
      </c>
      <c r="K349">
        <v>2.75</v>
      </c>
      <c r="L349">
        <v>0.21</v>
      </c>
      <c r="M349">
        <v>0.67</v>
      </c>
      <c r="N349">
        <v>103.33</v>
      </c>
      <c r="O349">
        <v>5.16</v>
      </c>
      <c r="P349">
        <v>230.97</v>
      </c>
    </row>
    <row r="350" spans="1:16" x14ac:dyDescent="0.2">
      <c r="A350" t="s">
        <v>16</v>
      </c>
      <c r="C350" t="b">
        <v>1</v>
      </c>
      <c r="D350" t="s">
        <v>61</v>
      </c>
      <c r="E350" t="s">
        <v>26</v>
      </c>
      <c r="F350" t="b">
        <v>1</v>
      </c>
      <c r="G350">
        <v>206.64</v>
      </c>
      <c r="H350">
        <v>100</v>
      </c>
      <c r="I350">
        <v>461.9</v>
      </c>
      <c r="J350">
        <v>-2.69</v>
      </c>
      <c r="K350">
        <v>-1.29</v>
      </c>
      <c r="L350">
        <v>0</v>
      </c>
      <c r="M350">
        <v>-6.01</v>
      </c>
      <c r="N350">
        <v>2003</v>
      </c>
      <c r="O350">
        <v>100</v>
      </c>
      <c r="P350">
        <v>4477.29</v>
      </c>
    </row>
    <row r="351" spans="1:16" x14ac:dyDescent="0.2">
      <c r="A351" t="s">
        <v>16</v>
      </c>
      <c r="C351" t="b">
        <v>1</v>
      </c>
      <c r="D351" t="s">
        <v>61</v>
      </c>
      <c r="E351" t="s">
        <v>27</v>
      </c>
      <c r="F351" t="b">
        <v>0</v>
      </c>
      <c r="G351">
        <v>26.36</v>
      </c>
      <c r="H351">
        <v>12.76</v>
      </c>
      <c r="I351">
        <v>58.92</v>
      </c>
      <c r="J351">
        <v>4</v>
      </c>
      <c r="K351">
        <v>17.89</v>
      </c>
      <c r="L351">
        <v>2.08</v>
      </c>
      <c r="M351">
        <v>8.94</v>
      </c>
      <c r="N351">
        <v>249.27</v>
      </c>
      <c r="O351">
        <v>12.44</v>
      </c>
      <c r="P351">
        <v>557.19000000000005</v>
      </c>
    </row>
    <row r="352" spans="1:16" x14ac:dyDescent="0.2">
      <c r="A352" t="s">
        <v>16</v>
      </c>
      <c r="C352" t="b">
        <v>1</v>
      </c>
      <c r="D352" t="s">
        <v>62</v>
      </c>
      <c r="E352" t="s">
        <v>18</v>
      </c>
      <c r="F352" t="b">
        <v>0</v>
      </c>
      <c r="G352">
        <v>9.4499999999999993</v>
      </c>
      <c r="H352">
        <v>4.26</v>
      </c>
      <c r="I352">
        <v>21.12</v>
      </c>
      <c r="J352">
        <v>-0.33</v>
      </c>
      <c r="K352">
        <v>-3.37</v>
      </c>
      <c r="L352">
        <v>-0.1</v>
      </c>
      <c r="M352">
        <v>-0.74</v>
      </c>
      <c r="N352">
        <v>91.69</v>
      </c>
      <c r="O352">
        <v>4.12</v>
      </c>
      <c r="P352">
        <v>204.95</v>
      </c>
    </row>
    <row r="353" spans="1:16" x14ac:dyDescent="0.2">
      <c r="A353" t="s">
        <v>16</v>
      </c>
      <c r="C353" t="b">
        <v>1</v>
      </c>
      <c r="D353" t="s">
        <v>62</v>
      </c>
      <c r="E353" t="s">
        <v>19</v>
      </c>
      <c r="F353" t="b">
        <v>0</v>
      </c>
      <c r="G353">
        <v>35.03</v>
      </c>
      <c r="H353">
        <v>15.78</v>
      </c>
      <c r="I353">
        <v>78.3</v>
      </c>
      <c r="J353">
        <v>-13.92</v>
      </c>
      <c r="K353">
        <v>-28.44</v>
      </c>
      <c r="L353">
        <v>-6.05</v>
      </c>
      <c r="M353">
        <v>-31.12</v>
      </c>
      <c r="N353">
        <v>350.57</v>
      </c>
      <c r="O353">
        <v>15.76</v>
      </c>
      <c r="P353">
        <v>783.63</v>
      </c>
    </row>
    <row r="354" spans="1:16" x14ac:dyDescent="0.2">
      <c r="A354" t="s">
        <v>16</v>
      </c>
      <c r="C354" t="b">
        <v>1</v>
      </c>
      <c r="D354" t="s">
        <v>62</v>
      </c>
      <c r="E354" t="s">
        <v>20</v>
      </c>
      <c r="F354" t="b">
        <v>0</v>
      </c>
      <c r="G354">
        <v>52.01</v>
      </c>
      <c r="H354">
        <v>23.43</v>
      </c>
      <c r="I354">
        <v>116.26</v>
      </c>
      <c r="J354">
        <v>9.56</v>
      </c>
      <c r="K354">
        <v>22.52</v>
      </c>
      <c r="L354">
        <v>4.5</v>
      </c>
      <c r="M354">
        <v>21.37</v>
      </c>
      <c r="N354">
        <v>452.45</v>
      </c>
      <c r="O354">
        <v>20.329999999999998</v>
      </c>
      <c r="P354">
        <v>1011.36</v>
      </c>
    </row>
    <row r="355" spans="1:16" x14ac:dyDescent="0.2">
      <c r="A355" t="s">
        <v>16</v>
      </c>
      <c r="C355" t="b">
        <v>1</v>
      </c>
      <c r="D355" t="s">
        <v>62</v>
      </c>
      <c r="E355" t="s">
        <v>21</v>
      </c>
      <c r="F355" t="b">
        <v>0</v>
      </c>
      <c r="G355">
        <v>20.89</v>
      </c>
      <c r="H355">
        <v>9.41</v>
      </c>
      <c r="I355">
        <v>46.7</v>
      </c>
      <c r="J355">
        <v>2.6</v>
      </c>
      <c r="K355">
        <v>14.22</v>
      </c>
      <c r="L355">
        <v>1.25</v>
      </c>
      <c r="M355">
        <v>5.81</v>
      </c>
      <c r="N355">
        <v>252.13</v>
      </c>
      <c r="O355">
        <v>11.33</v>
      </c>
      <c r="P355">
        <v>563.58000000000004</v>
      </c>
    </row>
    <row r="356" spans="1:16" x14ac:dyDescent="0.2">
      <c r="A356" t="s">
        <v>16</v>
      </c>
      <c r="C356" t="b">
        <v>1</v>
      </c>
      <c r="D356" t="s">
        <v>62</v>
      </c>
      <c r="E356" t="s">
        <v>22</v>
      </c>
      <c r="F356" t="b">
        <v>0</v>
      </c>
      <c r="G356">
        <v>58.77</v>
      </c>
      <c r="H356">
        <v>26.47</v>
      </c>
      <c r="I356">
        <v>131.37</v>
      </c>
      <c r="J356">
        <v>-0.03</v>
      </c>
      <c r="K356">
        <v>-0.05</v>
      </c>
      <c r="L356">
        <v>0.25</v>
      </c>
      <c r="M356">
        <v>-7.0000000000000007E-2</v>
      </c>
      <c r="N356">
        <v>607.04999999999995</v>
      </c>
      <c r="O356">
        <v>27.28</v>
      </c>
      <c r="P356">
        <v>1356.93</v>
      </c>
    </row>
    <row r="357" spans="1:16" x14ac:dyDescent="0.2">
      <c r="A357" t="s">
        <v>16</v>
      </c>
      <c r="C357" t="b">
        <v>1</v>
      </c>
      <c r="D357" t="s">
        <v>62</v>
      </c>
      <c r="E357" t="s">
        <v>23</v>
      </c>
      <c r="F357" t="b">
        <v>0</v>
      </c>
      <c r="G357">
        <v>6.85</v>
      </c>
      <c r="H357">
        <v>3.09</v>
      </c>
      <c r="I357">
        <v>15.31</v>
      </c>
      <c r="J357">
        <v>0.3</v>
      </c>
      <c r="K357">
        <v>4.58</v>
      </c>
      <c r="L357">
        <v>0.17</v>
      </c>
      <c r="M357">
        <v>0.67</v>
      </c>
      <c r="N357">
        <v>66</v>
      </c>
      <c r="O357">
        <v>2.97</v>
      </c>
      <c r="P357">
        <v>147.53</v>
      </c>
    </row>
    <row r="358" spans="1:16" x14ac:dyDescent="0.2">
      <c r="A358" t="s">
        <v>16</v>
      </c>
      <c r="C358" t="b">
        <v>1</v>
      </c>
      <c r="D358" t="s">
        <v>62</v>
      </c>
      <c r="E358" t="s">
        <v>24</v>
      </c>
      <c r="F358" t="b">
        <v>0</v>
      </c>
      <c r="G358">
        <v>1.56</v>
      </c>
      <c r="H358">
        <v>0.7</v>
      </c>
      <c r="I358">
        <v>3.49</v>
      </c>
      <c r="J358">
        <v>0.16</v>
      </c>
      <c r="K358">
        <v>11.43</v>
      </c>
      <c r="L358">
        <v>0.08</v>
      </c>
      <c r="M358">
        <v>0.36</v>
      </c>
      <c r="N358">
        <v>15.07</v>
      </c>
      <c r="O358">
        <v>0.68</v>
      </c>
      <c r="P358">
        <v>33.69</v>
      </c>
    </row>
    <row r="359" spans="1:16" x14ac:dyDescent="0.2">
      <c r="A359" t="s">
        <v>16</v>
      </c>
      <c r="C359" t="b">
        <v>1</v>
      </c>
      <c r="D359" t="s">
        <v>62</v>
      </c>
      <c r="E359" t="s">
        <v>25</v>
      </c>
      <c r="F359" t="b">
        <v>0</v>
      </c>
      <c r="G359">
        <v>7.76</v>
      </c>
      <c r="H359">
        <v>3.5</v>
      </c>
      <c r="I359">
        <v>17.350000000000001</v>
      </c>
      <c r="J359">
        <v>0.23</v>
      </c>
      <c r="K359">
        <v>3.05</v>
      </c>
      <c r="L359">
        <v>0.14000000000000001</v>
      </c>
      <c r="M359">
        <v>0.51</v>
      </c>
      <c r="N359">
        <v>111.09</v>
      </c>
      <c r="O359">
        <v>4.99</v>
      </c>
      <c r="P359">
        <v>248.32</v>
      </c>
    </row>
    <row r="360" spans="1:16" x14ac:dyDescent="0.2">
      <c r="A360" t="s">
        <v>16</v>
      </c>
      <c r="C360" t="b">
        <v>1</v>
      </c>
      <c r="D360" t="s">
        <v>62</v>
      </c>
      <c r="E360" t="s">
        <v>26</v>
      </c>
      <c r="F360" t="b">
        <v>1</v>
      </c>
      <c r="G360">
        <v>221.99</v>
      </c>
      <c r="H360">
        <v>100</v>
      </c>
      <c r="I360">
        <v>496.21</v>
      </c>
      <c r="J360">
        <v>-2.2599999999999998</v>
      </c>
      <c r="K360">
        <v>-1.01</v>
      </c>
      <c r="L360">
        <v>0</v>
      </c>
      <c r="M360">
        <v>-5.05</v>
      </c>
      <c r="N360">
        <v>2224.9899999999998</v>
      </c>
      <c r="O360">
        <v>100</v>
      </c>
      <c r="P360">
        <v>4973.5</v>
      </c>
    </row>
    <row r="361" spans="1:16" x14ac:dyDescent="0.2">
      <c r="A361" t="s">
        <v>16</v>
      </c>
      <c r="C361" t="b">
        <v>1</v>
      </c>
      <c r="D361" t="s">
        <v>62</v>
      </c>
      <c r="E361" t="s">
        <v>27</v>
      </c>
      <c r="F361" t="b">
        <v>0</v>
      </c>
      <c r="G361">
        <v>29.67</v>
      </c>
      <c r="H361">
        <v>13.37</v>
      </c>
      <c r="I361">
        <v>66.319999999999993</v>
      </c>
      <c r="J361">
        <v>-0.83</v>
      </c>
      <c r="K361">
        <v>-2.72</v>
      </c>
      <c r="L361">
        <v>-0.23</v>
      </c>
      <c r="M361">
        <v>-1.86</v>
      </c>
      <c r="N361">
        <v>278.94</v>
      </c>
      <c r="O361">
        <v>12.54</v>
      </c>
      <c r="P361">
        <v>623.51</v>
      </c>
    </row>
    <row r="362" spans="1:16" x14ac:dyDescent="0.2">
      <c r="A362" t="s">
        <v>16</v>
      </c>
      <c r="C362" t="b">
        <v>1</v>
      </c>
      <c r="D362" t="s">
        <v>63</v>
      </c>
      <c r="E362" t="s">
        <v>18</v>
      </c>
      <c r="F362" t="b">
        <v>0</v>
      </c>
      <c r="G362">
        <v>10.01</v>
      </c>
      <c r="H362">
        <v>4.3</v>
      </c>
      <c r="I362">
        <v>22.38</v>
      </c>
      <c r="J362">
        <v>-0.11</v>
      </c>
      <c r="K362">
        <v>-1.0900000000000001</v>
      </c>
      <c r="L362">
        <v>0</v>
      </c>
      <c r="M362">
        <v>-0.25</v>
      </c>
      <c r="N362">
        <v>101.7</v>
      </c>
      <c r="O362">
        <v>4.1399999999999997</v>
      </c>
      <c r="P362">
        <v>227.33</v>
      </c>
    </row>
    <row r="363" spans="1:16" x14ac:dyDescent="0.2">
      <c r="A363" t="s">
        <v>16</v>
      </c>
      <c r="C363" t="b">
        <v>1</v>
      </c>
      <c r="D363" t="s">
        <v>63</v>
      </c>
      <c r="E363" t="s">
        <v>19</v>
      </c>
      <c r="F363" t="b">
        <v>0</v>
      </c>
      <c r="G363">
        <v>39.58</v>
      </c>
      <c r="H363">
        <v>17</v>
      </c>
      <c r="I363">
        <v>88.47</v>
      </c>
      <c r="J363">
        <v>-11.35</v>
      </c>
      <c r="K363">
        <v>-22.29</v>
      </c>
      <c r="L363">
        <v>-4.62</v>
      </c>
      <c r="M363">
        <v>-25.37</v>
      </c>
      <c r="N363">
        <v>390.15</v>
      </c>
      <c r="O363">
        <v>15.87</v>
      </c>
      <c r="P363">
        <v>872.1</v>
      </c>
    </row>
    <row r="364" spans="1:16" x14ac:dyDescent="0.2">
      <c r="A364" t="s">
        <v>16</v>
      </c>
      <c r="C364" t="b">
        <v>1</v>
      </c>
      <c r="D364" t="s">
        <v>63</v>
      </c>
      <c r="E364" t="s">
        <v>20</v>
      </c>
      <c r="F364" t="b">
        <v>0</v>
      </c>
      <c r="G364">
        <v>48.46</v>
      </c>
      <c r="H364">
        <v>20.82</v>
      </c>
      <c r="I364">
        <v>108.32</v>
      </c>
      <c r="J364">
        <v>-0.94</v>
      </c>
      <c r="K364">
        <v>-1.9</v>
      </c>
      <c r="L364">
        <v>-0.15</v>
      </c>
      <c r="M364">
        <v>-2.1</v>
      </c>
      <c r="N364">
        <v>500.91</v>
      </c>
      <c r="O364">
        <v>20.38</v>
      </c>
      <c r="P364">
        <v>1119.68</v>
      </c>
    </row>
    <row r="365" spans="1:16" x14ac:dyDescent="0.2">
      <c r="A365" t="s">
        <v>16</v>
      </c>
      <c r="C365" t="b">
        <v>1</v>
      </c>
      <c r="D365" t="s">
        <v>63</v>
      </c>
      <c r="E365" t="s">
        <v>21</v>
      </c>
      <c r="F365" t="b">
        <v>0</v>
      </c>
      <c r="G365">
        <v>29.36</v>
      </c>
      <c r="H365">
        <v>12.61</v>
      </c>
      <c r="I365">
        <v>65.63</v>
      </c>
      <c r="J365">
        <v>5.43</v>
      </c>
      <c r="K365">
        <v>22.69</v>
      </c>
      <c r="L365">
        <v>2.4500000000000002</v>
      </c>
      <c r="M365">
        <v>12.14</v>
      </c>
      <c r="N365">
        <v>281.49</v>
      </c>
      <c r="O365">
        <v>11.45</v>
      </c>
      <c r="P365">
        <v>629.21</v>
      </c>
    </row>
    <row r="366" spans="1:16" x14ac:dyDescent="0.2">
      <c r="A366" t="s">
        <v>16</v>
      </c>
      <c r="C366" t="b">
        <v>1</v>
      </c>
      <c r="D366" t="s">
        <v>63</v>
      </c>
      <c r="E366" t="s">
        <v>22</v>
      </c>
      <c r="F366" t="b">
        <v>0</v>
      </c>
      <c r="G366">
        <v>58.67</v>
      </c>
      <c r="H366">
        <v>25.2</v>
      </c>
      <c r="I366">
        <v>131.13999999999999</v>
      </c>
      <c r="J366">
        <v>-1.1399999999999999</v>
      </c>
      <c r="K366">
        <v>-1.91</v>
      </c>
      <c r="L366">
        <v>-0.19</v>
      </c>
      <c r="M366">
        <v>-2.5499999999999998</v>
      </c>
      <c r="N366">
        <v>665.72</v>
      </c>
      <c r="O366">
        <v>27.09</v>
      </c>
      <c r="P366">
        <v>1488.08</v>
      </c>
    </row>
    <row r="367" spans="1:16" x14ac:dyDescent="0.2">
      <c r="A367" t="s">
        <v>16</v>
      </c>
      <c r="C367" t="b">
        <v>1</v>
      </c>
      <c r="D367" t="s">
        <v>63</v>
      </c>
      <c r="E367" t="s">
        <v>23</v>
      </c>
      <c r="F367" t="b">
        <v>0</v>
      </c>
      <c r="G367">
        <v>6.91</v>
      </c>
      <c r="H367">
        <v>2.97</v>
      </c>
      <c r="I367">
        <v>15.45</v>
      </c>
      <c r="J367">
        <v>0.33</v>
      </c>
      <c r="K367">
        <v>5.0199999999999996</v>
      </c>
      <c r="L367">
        <v>0.18</v>
      </c>
      <c r="M367">
        <v>0.74</v>
      </c>
      <c r="N367">
        <v>72.91</v>
      </c>
      <c r="O367">
        <v>2.97</v>
      </c>
      <c r="P367">
        <v>162.97999999999999</v>
      </c>
    </row>
    <row r="368" spans="1:16" x14ac:dyDescent="0.2">
      <c r="A368" t="s">
        <v>16</v>
      </c>
      <c r="C368" t="b">
        <v>1</v>
      </c>
      <c r="D368" t="s">
        <v>63</v>
      </c>
      <c r="E368" t="s">
        <v>24</v>
      </c>
      <c r="F368" t="b">
        <v>0</v>
      </c>
      <c r="G368">
        <v>1.58</v>
      </c>
      <c r="H368">
        <v>0.68</v>
      </c>
      <c r="I368">
        <v>3.53</v>
      </c>
      <c r="J368">
        <v>0.2</v>
      </c>
      <c r="K368">
        <v>14.49</v>
      </c>
      <c r="L368">
        <v>0.09</v>
      </c>
      <c r="M368">
        <v>0.45</v>
      </c>
      <c r="N368">
        <v>16.649999999999999</v>
      </c>
      <c r="O368">
        <v>0.68</v>
      </c>
      <c r="P368">
        <v>37.22</v>
      </c>
    </row>
    <row r="369" spans="1:16" x14ac:dyDescent="0.2">
      <c r="A369" t="s">
        <v>16</v>
      </c>
      <c r="C369" t="b">
        <v>1</v>
      </c>
      <c r="D369" t="s">
        <v>63</v>
      </c>
      <c r="E369" t="s">
        <v>25</v>
      </c>
      <c r="F369" t="b">
        <v>0</v>
      </c>
      <c r="G369">
        <v>3.84</v>
      </c>
      <c r="H369">
        <v>1.65</v>
      </c>
      <c r="I369">
        <v>8.58</v>
      </c>
      <c r="J369">
        <v>0.08</v>
      </c>
      <c r="K369">
        <v>2.13</v>
      </c>
      <c r="L369">
        <v>0.05</v>
      </c>
      <c r="M369">
        <v>0.18</v>
      </c>
      <c r="N369">
        <v>114.93</v>
      </c>
      <c r="O369">
        <v>4.68</v>
      </c>
      <c r="P369">
        <v>256.89999999999998</v>
      </c>
    </row>
    <row r="370" spans="1:16" x14ac:dyDescent="0.2">
      <c r="A370" t="s">
        <v>16</v>
      </c>
      <c r="C370" t="b">
        <v>1</v>
      </c>
      <c r="D370" t="s">
        <v>63</v>
      </c>
      <c r="E370" t="s">
        <v>26</v>
      </c>
      <c r="F370" t="b">
        <v>1</v>
      </c>
      <c r="G370">
        <v>232.79</v>
      </c>
      <c r="H370">
        <v>100</v>
      </c>
      <c r="I370">
        <v>520.35</v>
      </c>
      <c r="J370">
        <v>-2.76</v>
      </c>
      <c r="K370">
        <v>-1.17</v>
      </c>
      <c r="L370">
        <v>0</v>
      </c>
      <c r="M370">
        <v>-6.17</v>
      </c>
      <c r="N370">
        <v>2457.7800000000002</v>
      </c>
      <c r="O370">
        <v>100</v>
      </c>
      <c r="P370">
        <v>5493.85</v>
      </c>
    </row>
    <row r="371" spans="1:16" x14ac:dyDescent="0.2">
      <c r="A371" t="s">
        <v>16</v>
      </c>
      <c r="C371" t="b">
        <v>1</v>
      </c>
      <c r="D371" t="s">
        <v>63</v>
      </c>
      <c r="E371" t="s">
        <v>27</v>
      </c>
      <c r="F371" t="b">
        <v>0</v>
      </c>
      <c r="G371">
        <v>34.380000000000003</v>
      </c>
      <c r="H371">
        <v>14.77</v>
      </c>
      <c r="I371">
        <v>76.849999999999994</v>
      </c>
      <c r="J371">
        <v>4.74</v>
      </c>
      <c r="K371">
        <v>15.99</v>
      </c>
      <c r="L371">
        <v>2.19</v>
      </c>
      <c r="M371">
        <v>10.6</v>
      </c>
      <c r="N371">
        <v>313.32</v>
      </c>
      <c r="O371">
        <v>12.75</v>
      </c>
      <c r="P371">
        <v>700.36</v>
      </c>
    </row>
    <row r="372" spans="1:16" x14ac:dyDescent="0.2">
      <c r="A372" t="s">
        <v>16</v>
      </c>
      <c r="C372" t="b">
        <v>1</v>
      </c>
      <c r="D372" t="s">
        <v>64</v>
      </c>
      <c r="E372" t="s">
        <v>18</v>
      </c>
      <c r="F372" t="b">
        <v>0</v>
      </c>
      <c r="G372">
        <v>10.5</v>
      </c>
      <c r="H372">
        <v>4.37</v>
      </c>
      <c r="I372">
        <v>23.47</v>
      </c>
      <c r="J372">
        <v>-0.55000000000000004</v>
      </c>
      <c r="K372">
        <v>-4.9800000000000004</v>
      </c>
      <c r="L372">
        <v>-7.0000000000000007E-2</v>
      </c>
      <c r="M372">
        <v>-1.23</v>
      </c>
      <c r="N372">
        <v>112.2</v>
      </c>
      <c r="O372">
        <v>4.16</v>
      </c>
      <c r="P372">
        <v>250.8</v>
      </c>
    </row>
    <row r="373" spans="1:16" x14ac:dyDescent="0.2">
      <c r="A373" t="s">
        <v>16</v>
      </c>
      <c r="C373" t="b">
        <v>1</v>
      </c>
      <c r="D373" t="s">
        <v>64</v>
      </c>
      <c r="E373" t="s">
        <v>19</v>
      </c>
      <c r="F373" t="b">
        <v>0</v>
      </c>
      <c r="G373">
        <v>34.58</v>
      </c>
      <c r="H373">
        <v>14.38</v>
      </c>
      <c r="I373">
        <v>77.3</v>
      </c>
      <c r="J373">
        <v>-12.77</v>
      </c>
      <c r="K373">
        <v>-26.97</v>
      </c>
      <c r="L373">
        <v>-4.63</v>
      </c>
      <c r="M373">
        <v>-28.54</v>
      </c>
      <c r="N373">
        <v>424.73</v>
      </c>
      <c r="O373">
        <v>15.74</v>
      </c>
      <c r="P373">
        <v>949.39</v>
      </c>
    </row>
    <row r="374" spans="1:16" x14ac:dyDescent="0.2">
      <c r="A374" t="s">
        <v>16</v>
      </c>
      <c r="C374" t="b">
        <v>1</v>
      </c>
      <c r="D374" t="s">
        <v>64</v>
      </c>
      <c r="E374" t="s">
        <v>20</v>
      </c>
      <c r="F374" t="b">
        <v>0</v>
      </c>
      <c r="G374">
        <v>42.91</v>
      </c>
      <c r="H374">
        <v>17.850000000000001</v>
      </c>
      <c r="I374">
        <v>95.92</v>
      </c>
      <c r="J374">
        <v>-5.09</v>
      </c>
      <c r="K374">
        <v>-10.6</v>
      </c>
      <c r="L374">
        <v>-1.42</v>
      </c>
      <c r="M374">
        <v>-11.38</v>
      </c>
      <c r="N374">
        <v>543.82000000000005</v>
      </c>
      <c r="O374">
        <v>20.149999999999999</v>
      </c>
      <c r="P374">
        <v>1215.5999999999999</v>
      </c>
    </row>
    <row r="375" spans="1:16" x14ac:dyDescent="0.2">
      <c r="A375" t="s">
        <v>16</v>
      </c>
      <c r="C375" t="b">
        <v>1</v>
      </c>
      <c r="D375" t="s">
        <v>64</v>
      </c>
      <c r="E375" t="s">
        <v>21</v>
      </c>
      <c r="F375" t="b">
        <v>0</v>
      </c>
      <c r="G375">
        <v>33.840000000000003</v>
      </c>
      <c r="H375">
        <v>14.07</v>
      </c>
      <c r="I375">
        <v>75.64</v>
      </c>
      <c r="J375">
        <v>7.48</v>
      </c>
      <c r="K375">
        <v>28.38</v>
      </c>
      <c r="L375">
        <v>3.49</v>
      </c>
      <c r="M375">
        <v>16.72</v>
      </c>
      <c r="N375">
        <v>315.33</v>
      </c>
      <c r="O375">
        <v>11.69</v>
      </c>
      <c r="P375">
        <v>704.85</v>
      </c>
    </row>
    <row r="376" spans="1:16" x14ac:dyDescent="0.2">
      <c r="A376" t="s">
        <v>16</v>
      </c>
      <c r="C376" t="b">
        <v>1</v>
      </c>
      <c r="D376" t="s">
        <v>64</v>
      </c>
      <c r="E376" t="s">
        <v>22</v>
      </c>
      <c r="F376" t="b">
        <v>0</v>
      </c>
      <c r="G376">
        <v>64.31</v>
      </c>
      <c r="H376">
        <v>26.75</v>
      </c>
      <c r="I376">
        <v>143.75</v>
      </c>
      <c r="J376">
        <v>-4.38</v>
      </c>
      <c r="K376">
        <v>-6.38</v>
      </c>
      <c r="L376">
        <v>-0.83</v>
      </c>
      <c r="M376">
        <v>-9.7899999999999991</v>
      </c>
      <c r="N376">
        <v>730.03</v>
      </c>
      <c r="O376">
        <v>27.06</v>
      </c>
      <c r="P376">
        <v>1631.83</v>
      </c>
    </row>
    <row r="377" spans="1:16" x14ac:dyDescent="0.2">
      <c r="A377" t="s">
        <v>16</v>
      </c>
      <c r="C377" t="b">
        <v>1</v>
      </c>
      <c r="D377" t="s">
        <v>64</v>
      </c>
      <c r="E377" t="s">
        <v>23</v>
      </c>
      <c r="F377" t="b">
        <v>0</v>
      </c>
      <c r="G377">
        <v>6.95</v>
      </c>
      <c r="H377">
        <v>2.89</v>
      </c>
      <c r="I377">
        <v>15.54</v>
      </c>
      <c r="J377">
        <v>0.16</v>
      </c>
      <c r="K377">
        <v>2.36</v>
      </c>
      <c r="L377">
        <v>0.16</v>
      </c>
      <c r="M377">
        <v>0.36</v>
      </c>
      <c r="N377">
        <v>79.86</v>
      </c>
      <c r="O377">
        <v>2.96</v>
      </c>
      <c r="P377">
        <v>178.51</v>
      </c>
    </row>
    <row r="378" spans="1:16" x14ac:dyDescent="0.2">
      <c r="A378" t="s">
        <v>16</v>
      </c>
      <c r="C378" t="b">
        <v>1</v>
      </c>
      <c r="D378" t="s">
        <v>64</v>
      </c>
      <c r="E378" t="s">
        <v>24</v>
      </c>
      <c r="F378" t="b">
        <v>0</v>
      </c>
      <c r="G378">
        <v>1.64</v>
      </c>
      <c r="H378">
        <v>0.68</v>
      </c>
      <c r="I378">
        <v>3.67</v>
      </c>
      <c r="J378">
        <v>0.23</v>
      </c>
      <c r="K378">
        <v>16.309999999999999</v>
      </c>
      <c r="L378">
        <v>0.11</v>
      </c>
      <c r="M378">
        <v>0.51</v>
      </c>
      <c r="N378">
        <v>18.29</v>
      </c>
      <c r="O378">
        <v>0.68</v>
      </c>
      <c r="P378">
        <v>40.880000000000003</v>
      </c>
    </row>
    <row r="379" spans="1:16" x14ac:dyDescent="0.2">
      <c r="A379" t="s">
        <v>16</v>
      </c>
      <c r="C379" t="b">
        <v>1</v>
      </c>
      <c r="D379" t="s">
        <v>64</v>
      </c>
      <c r="E379" t="s">
        <v>25</v>
      </c>
      <c r="F379" t="b">
        <v>0</v>
      </c>
      <c r="G379">
        <v>3.57</v>
      </c>
      <c r="H379">
        <v>1.48</v>
      </c>
      <c r="I379">
        <v>7.98</v>
      </c>
      <c r="J379">
        <v>0.69</v>
      </c>
      <c r="K379">
        <v>23.96</v>
      </c>
      <c r="L379">
        <v>0.32</v>
      </c>
      <c r="M379">
        <v>1.54</v>
      </c>
      <c r="N379">
        <v>118.5</v>
      </c>
      <c r="O379">
        <v>4.3899999999999997</v>
      </c>
      <c r="P379">
        <v>264.88</v>
      </c>
    </row>
    <row r="380" spans="1:16" x14ac:dyDescent="0.2">
      <c r="A380" t="s">
        <v>16</v>
      </c>
      <c r="C380" t="b">
        <v>1</v>
      </c>
      <c r="D380" t="s">
        <v>64</v>
      </c>
      <c r="E380" t="s">
        <v>26</v>
      </c>
      <c r="F380" t="b">
        <v>1</v>
      </c>
      <c r="G380">
        <v>240.45</v>
      </c>
      <c r="H380">
        <v>100</v>
      </c>
      <c r="I380">
        <v>537.48</v>
      </c>
      <c r="J380">
        <v>-8.59</v>
      </c>
      <c r="K380">
        <v>-3.45</v>
      </c>
      <c r="L380">
        <v>0</v>
      </c>
      <c r="M380">
        <v>-19.2</v>
      </c>
      <c r="N380">
        <v>2698.23</v>
      </c>
      <c r="O380">
        <v>100</v>
      </c>
      <c r="P380">
        <v>6031.33</v>
      </c>
    </row>
    <row r="381" spans="1:16" x14ac:dyDescent="0.2">
      <c r="A381" t="s">
        <v>16</v>
      </c>
      <c r="C381" t="b">
        <v>1</v>
      </c>
      <c r="D381" t="s">
        <v>64</v>
      </c>
      <c r="E381" t="s">
        <v>27</v>
      </c>
      <c r="F381" t="b">
        <v>0</v>
      </c>
      <c r="G381">
        <v>42.15</v>
      </c>
      <c r="H381">
        <v>17.53</v>
      </c>
      <c r="I381">
        <v>94.22</v>
      </c>
      <c r="J381">
        <v>5.64</v>
      </c>
      <c r="K381">
        <v>15.45</v>
      </c>
      <c r="L381">
        <v>2.87</v>
      </c>
      <c r="M381">
        <v>12.61</v>
      </c>
      <c r="N381">
        <v>355.47</v>
      </c>
      <c r="O381">
        <v>13.17</v>
      </c>
      <c r="P381">
        <v>794.58</v>
      </c>
    </row>
    <row r="382" spans="1:16" x14ac:dyDescent="0.2">
      <c r="A382" t="s">
        <v>16</v>
      </c>
      <c r="C382" t="b">
        <v>1</v>
      </c>
      <c r="D382" t="s">
        <v>65</v>
      </c>
      <c r="E382" t="s">
        <v>18</v>
      </c>
      <c r="F382" t="b">
        <v>0</v>
      </c>
      <c r="G382">
        <v>10.4</v>
      </c>
      <c r="H382">
        <v>4.09</v>
      </c>
      <c r="I382">
        <v>23.23</v>
      </c>
      <c r="J382">
        <v>-0.63</v>
      </c>
      <c r="K382">
        <v>-5.71</v>
      </c>
      <c r="L382">
        <v>-0.03</v>
      </c>
      <c r="M382">
        <v>-1.41</v>
      </c>
      <c r="N382">
        <v>10.4</v>
      </c>
      <c r="O382">
        <v>4.09</v>
      </c>
      <c r="P382">
        <v>23.23</v>
      </c>
    </row>
    <row r="383" spans="1:16" x14ac:dyDescent="0.2">
      <c r="A383" t="s">
        <v>16</v>
      </c>
      <c r="C383" t="b">
        <v>1</v>
      </c>
      <c r="D383" t="s">
        <v>65</v>
      </c>
      <c r="E383" t="s">
        <v>19</v>
      </c>
      <c r="F383" t="b">
        <v>0</v>
      </c>
      <c r="G383">
        <v>35.31</v>
      </c>
      <c r="H383">
        <v>13.89</v>
      </c>
      <c r="I383">
        <v>78.86</v>
      </c>
      <c r="J383">
        <v>-15.82</v>
      </c>
      <c r="K383">
        <v>-30.94</v>
      </c>
      <c r="L383">
        <v>-5.23</v>
      </c>
      <c r="M383">
        <v>-35.33</v>
      </c>
      <c r="N383">
        <v>35.31</v>
      </c>
      <c r="O383">
        <v>13.89</v>
      </c>
      <c r="P383">
        <v>78.86</v>
      </c>
    </row>
    <row r="384" spans="1:16" x14ac:dyDescent="0.2">
      <c r="A384" t="s">
        <v>16</v>
      </c>
      <c r="C384" t="b">
        <v>1</v>
      </c>
      <c r="D384" t="s">
        <v>65</v>
      </c>
      <c r="E384" t="s">
        <v>20</v>
      </c>
      <c r="F384" t="b">
        <v>0</v>
      </c>
      <c r="G384">
        <v>56.05</v>
      </c>
      <c r="H384">
        <v>22.04</v>
      </c>
      <c r="I384">
        <v>125.17</v>
      </c>
      <c r="J384">
        <v>0</v>
      </c>
      <c r="K384">
        <v>0</v>
      </c>
      <c r="L384">
        <v>1.08</v>
      </c>
      <c r="M384">
        <v>0</v>
      </c>
      <c r="N384">
        <v>56.05</v>
      </c>
      <c r="O384">
        <v>22.04</v>
      </c>
      <c r="P384">
        <v>125.17</v>
      </c>
    </row>
    <row r="385" spans="1:16" x14ac:dyDescent="0.2">
      <c r="A385" t="s">
        <v>16</v>
      </c>
      <c r="C385" t="b">
        <v>1</v>
      </c>
      <c r="D385" t="s">
        <v>65</v>
      </c>
      <c r="E385" t="s">
        <v>21</v>
      </c>
      <c r="F385" t="b">
        <v>0</v>
      </c>
      <c r="G385">
        <v>29.43</v>
      </c>
      <c r="H385">
        <v>11.57</v>
      </c>
      <c r="I385">
        <v>65.72</v>
      </c>
      <c r="J385">
        <v>4</v>
      </c>
      <c r="K385">
        <v>15.73</v>
      </c>
      <c r="L385">
        <v>2.06</v>
      </c>
      <c r="M385">
        <v>8.93</v>
      </c>
      <c r="N385">
        <v>29.43</v>
      </c>
      <c r="O385">
        <v>11.57</v>
      </c>
      <c r="P385">
        <v>65.72</v>
      </c>
    </row>
    <row r="386" spans="1:16" x14ac:dyDescent="0.2">
      <c r="A386" t="s">
        <v>16</v>
      </c>
      <c r="C386" t="b">
        <v>1</v>
      </c>
      <c r="D386" t="s">
        <v>65</v>
      </c>
      <c r="E386" t="s">
        <v>22</v>
      </c>
      <c r="F386" t="b">
        <v>0</v>
      </c>
      <c r="G386">
        <v>68.040000000000006</v>
      </c>
      <c r="H386">
        <v>26.76</v>
      </c>
      <c r="I386">
        <v>151.94999999999999</v>
      </c>
      <c r="J386">
        <v>-3.8</v>
      </c>
      <c r="K386">
        <v>-5.29</v>
      </c>
      <c r="L386">
        <v>-0.11</v>
      </c>
      <c r="M386">
        <v>-8.49</v>
      </c>
      <c r="N386">
        <v>68.040000000000006</v>
      </c>
      <c r="O386">
        <v>26.76</v>
      </c>
      <c r="P386">
        <v>151.94999999999999</v>
      </c>
    </row>
    <row r="387" spans="1:16" x14ac:dyDescent="0.2">
      <c r="A387" t="s">
        <v>16</v>
      </c>
      <c r="C387" t="b">
        <v>1</v>
      </c>
      <c r="D387" t="s">
        <v>65</v>
      </c>
      <c r="E387" t="s">
        <v>23</v>
      </c>
      <c r="F387" t="b">
        <v>0</v>
      </c>
      <c r="G387">
        <v>6.9</v>
      </c>
      <c r="H387">
        <v>2.71</v>
      </c>
      <c r="I387">
        <v>15.41</v>
      </c>
      <c r="J387">
        <v>-1.41</v>
      </c>
      <c r="K387">
        <v>-16.97</v>
      </c>
      <c r="L387">
        <v>-0.4</v>
      </c>
      <c r="M387">
        <v>-3.15</v>
      </c>
      <c r="N387">
        <v>6.9</v>
      </c>
      <c r="O387">
        <v>2.71</v>
      </c>
      <c r="P387">
        <v>15.41</v>
      </c>
    </row>
    <row r="388" spans="1:16" x14ac:dyDescent="0.2">
      <c r="A388" t="s">
        <v>16</v>
      </c>
      <c r="C388" t="b">
        <v>1</v>
      </c>
      <c r="D388" t="s">
        <v>65</v>
      </c>
      <c r="E388" t="s">
        <v>24</v>
      </c>
      <c r="F388" t="b">
        <v>0</v>
      </c>
      <c r="G388">
        <v>1.64</v>
      </c>
      <c r="H388">
        <v>0.64</v>
      </c>
      <c r="I388">
        <v>3.66</v>
      </c>
      <c r="J388">
        <v>0</v>
      </c>
      <c r="K388">
        <v>0</v>
      </c>
      <c r="L388">
        <v>0.03</v>
      </c>
      <c r="M388">
        <v>0</v>
      </c>
      <c r="N388">
        <v>1.64</v>
      </c>
      <c r="O388">
        <v>0.64</v>
      </c>
      <c r="P388">
        <v>3.66</v>
      </c>
    </row>
    <row r="389" spans="1:16" x14ac:dyDescent="0.2">
      <c r="A389" t="s">
        <v>16</v>
      </c>
      <c r="C389" t="b">
        <v>1</v>
      </c>
      <c r="D389" t="s">
        <v>65</v>
      </c>
      <c r="E389" t="s">
        <v>25</v>
      </c>
      <c r="F389" t="b">
        <v>0</v>
      </c>
      <c r="G389">
        <v>4.46</v>
      </c>
      <c r="H389">
        <v>1.75</v>
      </c>
      <c r="I389">
        <v>9.9600000000000009</v>
      </c>
      <c r="J389">
        <v>0.93</v>
      </c>
      <c r="K389">
        <v>26.35</v>
      </c>
      <c r="L389">
        <v>0.43</v>
      </c>
      <c r="M389">
        <v>2.08</v>
      </c>
      <c r="N389">
        <v>4.46</v>
      </c>
      <c r="O389">
        <v>1.75</v>
      </c>
      <c r="P389">
        <v>9.9600000000000009</v>
      </c>
    </row>
    <row r="390" spans="1:16" x14ac:dyDescent="0.2">
      <c r="A390" t="s">
        <v>16</v>
      </c>
      <c r="C390" t="b">
        <v>1</v>
      </c>
      <c r="D390" t="s">
        <v>65</v>
      </c>
      <c r="E390" t="s">
        <v>26</v>
      </c>
      <c r="F390" t="b">
        <v>1</v>
      </c>
      <c r="G390">
        <v>254.3</v>
      </c>
      <c r="H390">
        <v>100</v>
      </c>
      <c r="I390">
        <v>567.91999999999996</v>
      </c>
      <c r="J390">
        <v>-13.11</v>
      </c>
      <c r="K390">
        <v>-4.9000000000000004</v>
      </c>
      <c r="L390">
        <v>0</v>
      </c>
      <c r="M390">
        <v>-29.28</v>
      </c>
      <c r="N390">
        <v>254.3</v>
      </c>
      <c r="O390">
        <v>100</v>
      </c>
      <c r="P390">
        <v>567.91999999999996</v>
      </c>
    </row>
    <row r="391" spans="1:16" x14ac:dyDescent="0.2">
      <c r="A391" t="s">
        <v>16</v>
      </c>
      <c r="C391" t="b">
        <v>1</v>
      </c>
      <c r="D391" t="s">
        <v>65</v>
      </c>
      <c r="E391" t="s">
        <v>27</v>
      </c>
      <c r="F391" t="b">
        <v>0</v>
      </c>
      <c r="G391">
        <v>42.07</v>
      </c>
      <c r="H391">
        <v>16.54</v>
      </c>
      <c r="I391">
        <v>93.95</v>
      </c>
      <c r="J391">
        <v>3.62</v>
      </c>
      <c r="K391">
        <v>9.41</v>
      </c>
      <c r="L391">
        <v>2.16</v>
      </c>
      <c r="M391">
        <v>8.08</v>
      </c>
      <c r="N391">
        <v>42.07</v>
      </c>
      <c r="O391">
        <v>16.54</v>
      </c>
      <c r="P391">
        <v>93.95</v>
      </c>
    </row>
    <row r="392" spans="1:16" x14ac:dyDescent="0.2">
      <c r="A392" t="s">
        <v>16</v>
      </c>
      <c r="C392" t="b">
        <v>1</v>
      </c>
      <c r="D392" t="s">
        <v>66</v>
      </c>
      <c r="E392" t="s">
        <v>18</v>
      </c>
      <c r="F392" t="b">
        <v>0</v>
      </c>
      <c r="G392">
        <v>9.27</v>
      </c>
      <c r="H392">
        <v>3.94</v>
      </c>
      <c r="I392">
        <v>20.7</v>
      </c>
      <c r="J392">
        <v>-0.3</v>
      </c>
      <c r="K392">
        <v>-3.13</v>
      </c>
      <c r="L392">
        <v>-0.2</v>
      </c>
      <c r="M392">
        <v>-0.67</v>
      </c>
      <c r="N392">
        <v>19.670000000000002</v>
      </c>
      <c r="O392">
        <v>4.0199999999999996</v>
      </c>
      <c r="P392">
        <v>43.93</v>
      </c>
    </row>
    <row r="393" spans="1:16" x14ac:dyDescent="0.2">
      <c r="A393" t="s">
        <v>16</v>
      </c>
      <c r="C393" t="b">
        <v>1</v>
      </c>
      <c r="D393" t="s">
        <v>66</v>
      </c>
      <c r="E393" t="s">
        <v>19</v>
      </c>
      <c r="F393" t="b">
        <v>0</v>
      </c>
      <c r="G393">
        <v>27.37</v>
      </c>
      <c r="H393">
        <v>11.64</v>
      </c>
      <c r="I393">
        <v>61.12</v>
      </c>
      <c r="J393">
        <v>-14.85</v>
      </c>
      <c r="K393">
        <v>-35.17</v>
      </c>
      <c r="L393">
        <v>-6.61</v>
      </c>
      <c r="M393">
        <v>-33.159999999999997</v>
      </c>
      <c r="N393">
        <v>62.68</v>
      </c>
      <c r="O393">
        <v>12.8</v>
      </c>
      <c r="P393">
        <v>139.97999999999999</v>
      </c>
    </row>
    <row r="394" spans="1:16" x14ac:dyDescent="0.2">
      <c r="A394" t="s">
        <v>16</v>
      </c>
      <c r="C394" t="b">
        <v>1</v>
      </c>
      <c r="D394" t="s">
        <v>66</v>
      </c>
      <c r="E394" t="s">
        <v>20</v>
      </c>
      <c r="F394" t="b">
        <v>0</v>
      </c>
      <c r="G394">
        <v>45.31</v>
      </c>
      <c r="H394">
        <v>19.260000000000002</v>
      </c>
      <c r="I394">
        <v>101.19</v>
      </c>
      <c r="J394">
        <v>1.36</v>
      </c>
      <c r="K394">
        <v>3.09</v>
      </c>
      <c r="L394">
        <v>0.26</v>
      </c>
      <c r="M394">
        <v>3.04</v>
      </c>
      <c r="N394">
        <v>101.36</v>
      </c>
      <c r="O394">
        <v>20.71</v>
      </c>
      <c r="P394">
        <v>226.36</v>
      </c>
    </row>
    <row r="395" spans="1:16" x14ac:dyDescent="0.2">
      <c r="A395" t="s">
        <v>16</v>
      </c>
      <c r="C395" t="b">
        <v>1</v>
      </c>
      <c r="D395" t="s">
        <v>66</v>
      </c>
      <c r="E395" t="s">
        <v>21</v>
      </c>
      <c r="F395" t="b">
        <v>0</v>
      </c>
      <c r="G395">
        <v>28.62</v>
      </c>
      <c r="H395">
        <v>12.17</v>
      </c>
      <c r="I395">
        <v>63.92</v>
      </c>
      <c r="J395">
        <v>4.33</v>
      </c>
      <c r="K395">
        <v>17.829999999999998</v>
      </c>
      <c r="L395">
        <v>1.67</v>
      </c>
      <c r="M395">
        <v>9.67</v>
      </c>
      <c r="N395">
        <v>58.05</v>
      </c>
      <c r="O395">
        <v>11.86</v>
      </c>
      <c r="P395">
        <v>129.63999999999999</v>
      </c>
    </row>
    <row r="396" spans="1:16" x14ac:dyDescent="0.2">
      <c r="A396" t="s">
        <v>16</v>
      </c>
      <c r="C396" t="b">
        <v>1</v>
      </c>
      <c r="D396" t="s">
        <v>66</v>
      </c>
      <c r="E396" t="s">
        <v>22</v>
      </c>
      <c r="F396" t="b">
        <v>0</v>
      </c>
      <c r="G396">
        <v>60.58</v>
      </c>
      <c r="H396">
        <v>25.76</v>
      </c>
      <c r="I396">
        <v>135.29</v>
      </c>
      <c r="J396">
        <v>-4.34</v>
      </c>
      <c r="K396">
        <v>-6.69</v>
      </c>
      <c r="L396">
        <v>-2.31</v>
      </c>
      <c r="M396">
        <v>-9.69</v>
      </c>
      <c r="N396">
        <v>128.62</v>
      </c>
      <c r="O396">
        <v>26.28</v>
      </c>
      <c r="P396">
        <v>287.24</v>
      </c>
    </row>
    <row r="397" spans="1:16" x14ac:dyDescent="0.2">
      <c r="A397" t="s">
        <v>16</v>
      </c>
      <c r="C397" t="b">
        <v>1</v>
      </c>
      <c r="D397" t="s">
        <v>66</v>
      </c>
      <c r="E397" t="s">
        <v>23</v>
      </c>
      <c r="F397" t="b">
        <v>0</v>
      </c>
      <c r="G397">
        <v>6.37</v>
      </c>
      <c r="H397">
        <v>2.71</v>
      </c>
      <c r="I397">
        <v>14.23</v>
      </c>
      <c r="J397">
        <v>-0.53</v>
      </c>
      <c r="K397">
        <v>-7.68</v>
      </c>
      <c r="L397">
        <v>-0.27</v>
      </c>
      <c r="M397">
        <v>-1.18</v>
      </c>
      <c r="N397">
        <v>13.27</v>
      </c>
      <c r="O397">
        <v>2.71</v>
      </c>
      <c r="P397">
        <v>29.64</v>
      </c>
    </row>
    <row r="398" spans="1:16" x14ac:dyDescent="0.2">
      <c r="A398" t="s">
        <v>16</v>
      </c>
      <c r="C398" t="b">
        <v>1</v>
      </c>
      <c r="D398" t="s">
        <v>66</v>
      </c>
      <c r="E398" t="s">
        <v>24</v>
      </c>
      <c r="F398" t="b">
        <v>0</v>
      </c>
      <c r="G398">
        <v>1.49</v>
      </c>
      <c r="H398">
        <v>0.63</v>
      </c>
      <c r="I398">
        <v>3.33</v>
      </c>
      <c r="J398">
        <v>-0.02</v>
      </c>
      <c r="K398">
        <v>-1.32</v>
      </c>
      <c r="L398">
        <v>-0.02</v>
      </c>
      <c r="M398">
        <v>-0.04</v>
      </c>
      <c r="N398">
        <v>3.13</v>
      </c>
      <c r="O398">
        <v>0.64</v>
      </c>
      <c r="P398">
        <v>6.99</v>
      </c>
    </row>
    <row r="399" spans="1:16" x14ac:dyDescent="0.2">
      <c r="A399" t="s">
        <v>16</v>
      </c>
      <c r="C399" t="b">
        <v>1</v>
      </c>
      <c r="D399" t="s">
        <v>66</v>
      </c>
      <c r="E399" t="s">
        <v>25</v>
      </c>
      <c r="F399" t="b">
        <v>0</v>
      </c>
      <c r="G399">
        <v>6.73</v>
      </c>
      <c r="H399">
        <v>2.86</v>
      </c>
      <c r="I399">
        <v>15.03</v>
      </c>
      <c r="J399">
        <v>-0.05</v>
      </c>
      <c r="K399">
        <v>-0.74</v>
      </c>
      <c r="L399">
        <v>-7.0000000000000007E-2</v>
      </c>
      <c r="M399">
        <v>-0.11</v>
      </c>
      <c r="N399">
        <v>11.19</v>
      </c>
      <c r="O399">
        <v>2.29</v>
      </c>
      <c r="P399">
        <v>24.99</v>
      </c>
    </row>
    <row r="400" spans="1:16" x14ac:dyDescent="0.2">
      <c r="A400" t="s">
        <v>16</v>
      </c>
      <c r="C400" t="b">
        <v>1</v>
      </c>
      <c r="D400" t="s">
        <v>66</v>
      </c>
      <c r="E400" t="s">
        <v>26</v>
      </c>
      <c r="F400" t="b">
        <v>1</v>
      </c>
      <c r="G400">
        <v>235.21</v>
      </c>
      <c r="H400">
        <v>100</v>
      </c>
      <c r="I400">
        <v>525.28</v>
      </c>
      <c r="J400">
        <v>3.92</v>
      </c>
      <c r="K400">
        <v>1.69</v>
      </c>
      <c r="L400">
        <v>0</v>
      </c>
      <c r="M400">
        <v>8.75</v>
      </c>
      <c r="N400">
        <v>489.51</v>
      </c>
      <c r="O400">
        <v>100</v>
      </c>
      <c r="P400">
        <v>1093.2</v>
      </c>
    </row>
    <row r="401" spans="1:16" x14ac:dyDescent="0.2">
      <c r="A401" t="s">
        <v>16</v>
      </c>
      <c r="C401" t="b">
        <v>1</v>
      </c>
      <c r="D401" t="s">
        <v>66</v>
      </c>
      <c r="E401" t="s">
        <v>27</v>
      </c>
      <c r="F401" t="b">
        <v>0</v>
      </c>
      <c r="G401">
        <v>49.47</v>
      </c>
      <c r="H401">
        <v>21.03</v>
      </c>
      <c r="I401">
        <v>110.48</v>
      </c>
      <c r="J401">
        <v>18.32</v>
      </c>
      <c r="K401">
        <v>58.81</v>
      </c>
      <c r="L401">
        <v>7.56</v>
      </c>
      <c r="M401">
        <v>40.909999999999997</v>
      </c>
      <c r="N401">
        <v>91.54</v>
      </c>
      <c r="O401">
        <v>18.7</v>
      </c>
      <c r="P401">
        <v>204.43</v>
      </c>
    </row>
    <row r="402" spans="1:16" x14ac:dyDescent="0.2">
      <c r="A402" t="s">
        <v>16</v>
      </c>
      <c r="C402" t="b">
        <v>1</v>
      </c>
      <c r="D402" t="s">
        <v>67</v>
      </c>
      <c r="E402" t="s">
        <v>18</v>
      </c>
      <c r="F402" t="b">
        <v>0</v>
      </c>
      <c r="G402">
        <v>10.130000000000001</v>
      </c>
      <c r="H402">
        <v>4.38</v>
      </c>
      <c r="I402">
        <v>22.62</v>
      </c>
      <c r="J402">
        <v>-0.14000000000000001</v>
      </c>
      <c r="K402">
        <v>-1.36</v>
      </c>
      <c r="L402">
        <v>0.08</v>
      </c>
      <c r="M402">
        <v>-0.31</v>
      </c>
      <c r="N402">
        <v>29.8</v>
      </c>
      <c r="O402">
        <v>4.13</v>
      </c>
      <c r="P402">
        <v>66.55</v>
      </c>
    </row>
    <row r="403" spans="1:16" x14ac:dyDescent="0.2">
      <c r="A403" t="s">
        <v>16</v>
      </c>
      <c r="C403" t="b">
        <v>1</v>
      </c>
      <c r="D403" t="s">
        <v>67</v>
      </c>
      <c r="E403" t="s">
        <v>19</v>
      </c>
      <c r="F403" t="b">
        <v>0</v>
      </c>
      <c r="G403">
        <v>27.88</v>
      </c>
      <c r="H403">
        <v>12.06</v>
      </c>
      <c r="I403">
        <v>62.26</v>
      </c>
      <c r="J403">
        <v>-7.67</v>
      </c>
      <c r="K403">
        <v>-21.58</v>
      </c>
      <c r="L403">
        <v>-2.84</v>
      </c>
      <c r="M403">
        <v>-17.13</v>
      </c>
      <c r="N403">
        <v>90.56</v>
      </c>
      <c r="O403">
        <v>12.57</v>
      </c>
      <c r="P403">
        <v>202.24</v>
      </c>
    </row>
    <row r="404" spans="1:16" x14ac:dyDescent="0.2">
      <c r="A404" t="s">
        <v>16</v>
      </c>
      <c r="C404" t="b">
        <v>1</v>
      </c>
      <c r="D404" t="s">
        <v>67</v>
      </c>
      <c r="E404" t="s">
        <v>20</v>
      </c>
      <c r="F404" t="b">
        <v>0</v>
      </c>
      <c r="G404">
        <v>41.5</v>
      </c>
      <c r="H404">
        <v>17.95</v>
      </c>
      <c r="I404">
        <v>92.68</v>
      </c>
      <c r="J404">
        <v>1.62</v>
      </c>
      <c r="K404">
        <v>4.0599999999999996</v>
      </c>
      <c r="L404">
        <v>1.24</v>
      </c>
      <c r="M404">
        <v>3.62</v>
      </c>
      <c r="N404">
        <v>142.86000000000001</v>
      </c>
      <c r="O404">
        <v>19.82</v>
      </c>
      <c r="P404">
        <v>319.04000000000002</v>
      </c>
    </row>
    <row r="405" spans="1:16" x14ac:dyDescent="0.2">
      <c r="A405" t="s">
        <v>16</v>
      </c>
      <c r="C405" t="b">
        <v>1</v>
      </c>
      <c r="D405" t="s">
        <v>67</v>
      </c>
      <c r="E405" t="s">
        <v>21</v>
      </c>
      <c r="F405" t="b">
        <v>0</v>
      </c>
      <c r="G405">
        <v>31.76</v>
      </c>
      <c r="H405">
        <v>13.74</v>
      </c>
      <c r="I405">
        <v>70.930000000000007</v>
      </c>
      <c r="J405">
        <v>5.66</v>
      </c>
      <c r="K405">
        <v>21.69</v>
      </c>
      <c r="L405">
        <v>2.8</v>
      </c>
      <c r="M405">
        <v>12.64</v>
      </c>
      <c r="N405">
        <v>89.81</v>
      </c>
      <c r="O405">
        <v>12.46</v>
      </c>
      <c r="P405">
        <v>200.57</v>
      </c>
    </row>
    <row r="406" spans="1:16" x14ac:dyDescent="0.2">
      <c r="A406" t="s">
        <v>16</v>
      </c>
      <c r="C406" t="b">
        <v>1</v>
      </c>
      <c r="D406" t="s">
        <v>67</v>
      </c>
      <c r="E406" t="s">
        <v>22</v>
      </c>
      <c r="F406" t="b">
        <v>0</v>
      </c>
      <c r="G406">
        <v>59.85</v>
      </c>
      <c r="H406">
        <v>25.88</v>
      </c>
      <c r="I406">
        <v>133.66</v>
      </c>
      <c r="J406">
        <v>-6.99</v>
      </c>
      <c r="K406">
        <v>-10.46</v>
      </c>
      <c r="L406">
        <v>-2.13</v>
      </c>
      <c r="M406">
        <v>-15.61</v>
      </c>
      <c r="N406">
        <v>188.47</v>
      </c>
      <c r="O406">
        <v>26.15</v>
      </c>
      <c r="P406">
        <v>420.9</v>
      </c>
    </row>
    <row r="407" spans="1:16" x14ac:dyDescent="0.2">
      <c r="A407" t="s">
        <v>16</v>
      </c>
      <c r="C407" t="b">
        <v>1</v>
      </c>
      <c r="D407" t="s">
        <v>67</v>
      </c>
      <c r="E407" t="s">
        <v>23</v>
      </c>
      <c r="F407" t="b">
        <v>0</v>
      </c>
      <c r="G407">
        <v>6.42</v>
      </c>
      <c r="H407">
        <v>2.78</v>
      </c>
      <c r="I407">
        <v>14.34</v>
      </c>
      <c r="J407">
        <v>-0.6</v>
      </c>
      <c r="K407">
        <v>-8.5500000000000007</v>
      </c>
      <c r="L407">
        <v>-0.16</v>
      </c>
      <c r="M407">
        <v>-1.34</v>
      </c>
      <c r="N407">
        <v>19.690000000000001</v>
      </c>
      <c r="O407">
        <v>2.73</v>
      </c>
      <c r="P407">
        <v>43.97</v>
      </c>
    </row>
    <row r="408" spans="1:16" x14ac:dyDescent="0.2">
      <c r="A408" t="s">
        <v>16</v>
      </c>
      <c r="C408" t="b">
        <v>1</v>
      </c>
      <c r="D408" t="s">
        <v>67</v>
      </c>
      <c r="E408" t="s">
        <v>24</v>
      </c>
      <c r="F408" t="b">
        <v>0</v>
      </c>
      <c r="G408">
        <v>1.6</v>
      </c>
      <c r="H408">
        <v>0.69</v>
      </c>
      <c r="I408">
        <v>3.57</v>
      </c>
      <c r="J408">
        <v>-0.04</v>
      </c>
      <c r="K408">
        <v>-2.44</v>
      </c>
      <c r="L408">
        <v>0</v>
      </c>
      <c r="M408">
        <v>-0.09</v>
      </c>
      <c r="N408">
        <v>4.7300000000000004</v>
      </c>
      <c r="O408">
        <v>0.66</v>
      </c>
      <c r="P408">
        <v>10.56</v>
      </c>
    </row>
    <row r="409" spans="1:16" x14ac:dyDescent="0.2">
      <c r="A409" t="s">
        <v>16</v>
      </c>
      <c r="C409" t="b">
        <v>1</v>
      </c>
      <c r="D409" t="s">
        <v>67</v>
      </c>
      <c r="E409" t="s">
        <v>25</v>
      </c>
      <c r="F409" t="b">
        <v>0</v>
      </c>
      <c r="G409">
        <v>11.43</v>
      </c>
      <c r="H409">
        <v>4.9400000000000004</v>
      </c>
      <c r="I409">
        <v>25.53</v>
      </c>
      <c r="J409">
        <v>1.65</v>
      </c>
      <c r="K409">
        <v>16.87</v>
      </c>
      <c r="L409">
        <v>0.84</v>
      </c>
      <c r="M409">
        <v>3.68</v>
      </c>
      <c r="N409">
        <v>22.62</v>
      </c>
      <c r="O409">
        <v>3.14</v>
      </c>
      <c r="P409">
        <v>50.52</v>
      </c>
    </row>
    <row r="410" spans="1:16" x14ac:dyDescent="0.2">
      <c r="A410" t="s">
        <v>16</v>
      </c>
      <c r="C410" t="b">
        <v>1</v>
      </c>
      <c r="D410" t="s">
        <v>67</v>
      </c>
      <c r="E410" t="s">
        <v>26</v>
      </c>
      <c r="F410" t="b">
        <v>1</v>
      </c>
      <c r="G410">
        <v>231.22</v>
      </c>
      <c r="H410">
        <v>100</v>
      </c>
      <c r="I410">
        <v>516.37</v>
      </c>
      <c r="J410">
        <v>-7.42</v>
      </c>
      <c r="K410">
        <v>-3.11</v>
      </c>
      <c r="L410">
        <v>0</v>
      </c>
      <c r="M410">
        <v>-16.57</v>
      </c>
      <c r="N410">
        <v>720.73</v>
      </c>
      <c r="O410">
        <v>100</v>
      </c>
      <c r="P410">
        <v>1609.57</v>
      </c>
    </row>
    <row r="411" spans="1:16" x14ac:dyDescent="0.2">
      <c r="A411" t="s">
        <v>16</v>
      </c>
      <c r="C411" t="b">
        <v>1</v>
      </c>
      <c r="D411" t="s">
        <v>67</v>
      </c>
      <c r="E411" t="s">
        <v>27</v>
      </c>
      <c r="F411" t="b">
        <v>0</v>
      </c>
      <c r="G411">
        <v>40.65</v>
      </c>
      <c r="H411">
        <v>17.579999999999998</v>
      </c>
      <c r="I411">
        <v>90.78</v>
      </c>
      <c r="J411">
        <v>-0.91</v>
      </c>
      <c r="K411">
        <v>-2.19</v>
      </c>
      <c r="L411">
        <v>0.16</v>
      </c>
      <c r="M411">
        <v>-2.0299999999999998</v>
      </c>
      <c r="N411">
        <v>132.19</v>
      </c>
      <c r="O411">
        <v>18.34</v>
      </c>
      <c r="P411">
        <v>295.20999999999998</v>
      </c>
    </row>
    <row r="412" spans="1:16" x14ac:dyDescent="0.2">
      <c r="A412" t="s">
        <v>16</v>
      </c>
      <c r="C412" t="b">
        <v>1</v>
      </c>
      <c r="D412" t="s">
        <v>68</v>
      </c>
      <c r="E412" t="s">
        <v>18</v>
      </c>
      <c r="F412" t="b">
        <v>0</v>
      </c>
      <c r="G412">
        <v>9.2200000000000006</v>
      </c>
      <c r="H412">
        <v>4.84</v>
      </c>
      <c r="I412">
        <v>20.59</v>
      </c>
      <c r="J412">
        <v>0.11</v>
      </c>
      <c r="K412">
        <v>1.21</v>
      </c>
      <c r="L412">
        <v>0.57999999999999996</v>
      </c>
      <c r="M412">
        <v>0.25</v>
      </c>
      <c r="N412">
        <v>39.020000000000003</v>
      </c>
      <c r="O412">
        <v>4.28</v>
      </c>
      <c r="P412">
        <v>87.14</v>
      </c>
    </row>
    <row r="413" spans="1:16" x14ac:dyDescent="0.2">
      <c r="A413" t="s">
        <v>16</v>
      </c>
      <c r="C413" t="b">
        <v>1</v>
      </c>
      <c r="D413" t="s">
        <v>68</v>
      </c>
      <c r="E413" t="s">
        <v>19</v>
      </c>
      <c r="F413" t="b">
        <v>0</v>
      </c>
      <c r="G413">
        <v>20.12</v>
      </c>
      <c r="H413">
        <v>10.57</v>
      </c>
      <c r="I413">
        <v>44.93</v>
      </c>
      <c r="J413">
        <v>-14.09</v>
      </c>
      <c r="K413">
        <v>-41.19</v>
      </c>
      <c r="L413">
        <v>-5.42</v>
      </c>
      <c r="M413">
        <v>-31.47</v>
      </c>
      <c r="N413">
        <v>110.68</v>
      </c>
      <c r="O413">
        <v>12.15</v>
      </c>
      <c r="P413">
        <v>247.18</v>
      </c>
    </row>
    <row r="414" spans="1:16" x14ac:dyDescent="0.2">
      <c r="A414" t="s">
        <v>16</v>
      </c>
      <c r="C414" t="b">
        <v>1</v>
      </c>
      <c r="D414" t="s">
        <v>68</v>
      </c>
      <c r="E414" t="s">
        <v>20</v>
      </c>
      <c r="F414" t="b">
        <v>0</v>
      </c>
      <c r="G414">
        <v>32.35</v>
      </c>
      <c r="H414">
        <v>17</v>
      </c>
      <c r="I414">
        <v>72.25</v>
      </c>
      <c r="J414">
        <v>-4.5999999999999996</v>
      </c>
      <c r="K414">
        <v>-12.45</v>
      </c>
      <c r="L414">
        <v>-0.27</v>
      </c>
      <c r="M414">
        <v>-10.27</v>
      </c>
      <c r="N414">
        <v>175.21</v>
      </c>
      <c r="O414">
        <v>19.23</v>
      </c>
      <c r="P414">
        <v>391.29</v>
      </c>
    </row>
    <row r="415" spans="1:16" x14ac:dyDescent="0.2">
      <c r="A415" t="s">
        <v>16</v>
      </c>
      <c r="C415" t="b">
        <v>1</v>
      </c>
      <c r="D415" t="s">
        <v>68</v>
      </c>
      <c r="E415" t="s">
        <v>21</v>
      </c>
      <c r="F415" t="b">
        <v>0</v>
      </c>
      <c r="G415">
        <v>27.56</v>
      </c>
      <c r="H415">
        <v>14.48</v>
      </c>
      <c r="I415">
        <v>61.55</v>
      </c>
      <c r="J415">
        <v>1.62</v>
      </c>
      <c r="K415">
        <v>6.25</v>
      </c>
      <c r="L415">
        <v>2.36</v>
      </c>
      <c r="M415">
        <v>3.62</v>
      </c>
      <c r="N415">
        <v>117.37</v>
      </c>
      <c r="O415">
        <v>12.88</v>
      </c>
      <c r="P415">
        <v>262.12</v>
      </c>
    </row>
    <row r="416" spans="1:16" x14ac:dyDescent="0.2">
      <c r="A416" t="s">
        <v>16</v>
      </c>
      <c r="C416" t="b">
        <v>1</v>
      </c>
      <c r="D416" t="s">
        <v>68</v>
      </c>
      <c r="E416" t="s">
        <v>22</v>
      </c>
      <c r="F416" t="b">
        <v>0</v>
      </c>
      <c r="G416">
        <v>51.59</v>
      </c>
      <c r="H416">
        <v>27.1</v>
      </c>
      <c r="I416">
        <v>115.21</v>
      </c>
      <c r="J416">
        <v>-8.99</v>
      </c>
      <c r="K416">
        <v>-14.84</v>
      </c>
      <c r="L416">
        <v>-1.21</v>
      </c>
      <c r="M416">
        <v>-20.079999999999998</v>
      </c>
      <c r="N416">
        <v>240.06</v>
      </c>
      <c r="O416">
        <v>26.35</v>
      </c>
      <c r="P416">
        <v>536.11</v>
      </c>
    </row>
    <row r="417" spans="1:16" x14ac:dyDescent="0.2">
      <c r="A417" t="s">
        <v>16</v>
      </c>
      <c r="C417" t="b">
        <v>1</v>
      </c>
      <c r="D417" t="s">
        <v>68</v>
      </c>
      <c r="E417" t="s">
        <v>23</v>
      </c>
      <c r="F417" t="b">
        <v>0</v>
      </c>
      <c r="G417">
        <v>5.52</v>
      </c>
      <c r="H417">
        <v>2.9</v>
      </c>
      <c r="I417">
        <v>12.33</v>
      </c>
      <c r="J417">
        <v>-0.92</v>
      </c>
      <c r="K417">
        <v>-14.29</v>
      </c>
      <c r="L417">
        <v>-0.11</v>
      </c>
      <c r="M417">
        <v>-2.0499999999999998</v>
      </c>
      <c r="N417">
        <v>25.21</v>
      </c>
      <c r="O417">
        <v>2.77</v>
      </c>
      <c r="P417">
        <v>56.3</v>
      </c>
    </row>
    <row r="418" spans="1:16" x14ac:dyDescent="0.2">
      <c r="A418" t="s">
        <v>16</v>
      </c>
      <c r="C418" t="b">
        <v>1</v>
      </c>
      <c r="D418" t="s">
        <v>68</v>
      </c>
      <c r="E418" t="s">
        <v>24</v>
      </c>
      <c r="F418" t="b">
        <v>0</v>
      </c>
      <c r="G418">
        <v>1.47</v>
      </c>
      <c r="H418">
        <v>0.77</v>
      </c>
      <c r="I418">
        <v>3.28</v>
      </c>
      <c r="J418">
        <v>-0.1</v>
      </c>
      <c r="K418">
        <v>-6.37</v>
      </c>
      <c r="L418">
        <v>0.04</v>
      </c>
      <c r="M418">
        <v>-0.22</v>
      </c>
      <c r="N418">
        <v>6.2</v>
      </c>
      <c r="O418">
        <v>0.68</v>
      </c>
      <c r="P418">
        <v>13.85</v>
      </c>
    </row>
    <row r="419" spans="1:16" x14ac:dyDescent="0.2">
      <c r="A419" t="s">
        <v>16</v>
      </c>
      <c r="C419" t="b">
        <v>1</v>
      </c>
      <c r="D419" t="s">
        <v>68</v>
      </c>
      <c r="E419" t="s">
        <v>25</v>
      </c>
      <c r="F419" t="b">
        <v>0</v>
      </c>
      <c r="G419">
        <v>16.03</v>
      </c>
      <c r="H419">
        <v>8.42</v>
      </c>
      <c r="I419">
        <v>35.799999999999997</v>
      </c>
      <c r="J419">
        <v>3.84</v>
      </c>
      <c r="K419">
        <v>31.5</v>
      </c>
      <c r="L419">
        <v>2.72</v>
      </c>
      <c r="M419">
        <v>8.58</v>
      </c>
      <c r="N419">
        <v>38.65</v>
      </c>
      <c r="O419">
        <v>4.24</v>
      </c>
      <c r="P419">
        <v>86.32</v>
      </c>
    </row>
    <row r="420" spans="1:16" x14ac:dyDescent="0.2">
      <c r="A420" t="s">
        <v>16</v>
      </c>
      <c r="C420" t="b">
        <v>1</v>
      </c>
      <c r="D420" t="s">
        <v>68</v>
      </c>
      <c r="E420" t="s">
        <v>26</v>
      </c>
      <c r="F420" t="b">
        <v>1</v>
      </c>
      <c r="G420">
        <v>190.34</v>
      </c>
      <c r="H420">
        <v>100</v>
      </c>
      <c r="I420">
        <v>425.08</v>
      </c>
      <c r="J420">
        <v>-23.66</v>
      </c>
      <c r="K420">
        <v>-11.06</v>
      </c>
      <c r="L420">
        <v>0</v>
      </c>
      <c r="M420">
        <v>-52.84</v>
      </c>
      <c r="N420">
        <v>911.07</v>
      </c>
      <c r="O420">
        <v>100</v>
      </c>
      <c r="P420">
        <v>2034.65</v>
      </c>
    </row>
    <row r="421" spans="1:16" x14ac:dyDescent="0.2">
      <c r="A421" t="s">
        <v>16</v>
      </c>
      <c r="C421" t="b">
        <v>1</v>
      </c>
      <c r="D421" t="s">
        <v>68</v>
      </c>
      <c r="E421" t="s">
        <v>27</v>
      </c>
      <c r="F421" t="b">
        <v>0</v>
      </c>
      <c r="G421">
        <v>26.48</v>
      </c>
      <c r="H421">
        <v>13.91</v>
      </c>
      <c r="I421">
        <v>59.14</v>
      </c>
      <c r="J421">
        <v>-0.53</v>
      </c>
      <c r="K421">
        <v>-1.96</v>
      </c>
      <c r="L421">
        <v>1.29</v>
      </c>
      <c r="M421">
        <v>-1.18</v>
      </c>
      <c r="N421">
        <v>158.66999999999999</v>
      </c>
      <c r="O421">
        <v>17.420000000000002</v>
      </c>
      <c r="P421">
        <v>354.35</v>
      </c>
    </row>
    <row r="422" spans="1:16" x14ac:dyDescent="0.2">
      <c r="A422" t="s">
        <v>16</v>
      </c>
      <c r="C422" t="b">
        <v>1</v>
      </c>
      <c r="D422" t="s">
        <v>69</v>
      </c>
      <c r="E422" t="s">
        <v>18</v>
      </c>
      <c r="F422" t="b">
        <v>0</v>
      </c>
      <c r="G422">
        <v>9.26</v>
      </c>
      <c r="H422">
        <v>4.84</v>
      </c>
      <c r="I422">
        <v>20.68</v>
      </c>
      <c r="J422">
        <v>0.54</v>
      </c>
      <c r="K422">
        <v>6.19</v>
      </c>
      <c r="L422">
        <v>0.76</v>
      </c>
      <c r="M422">
        <v>1.21</v>
      </c>
      <c r="N422">
        <v>48.28</v>
      </c>
      <c r="O422">
        <v>4.38</v>
      </c>
      <c r="P422">
        <v>107.82</v>
      </c>
    </row>
    <row r="423" spans="1:16" x14ac:dyDescent="0.2">
      <c r="A423" t="s">
        <v>16</v>
      </c>
      <c r="C423" t="b">
        <v>1</v>
      </c>
      <c r="D423" t="s">
        <v>69</v>
      </c>
      <c r="E423" t="s">
        <v>19</v>
      </c>
      <c r="F423" t="b">
        <v>0</v>
      </c>
      <c r="G423">
        <v>19.8</v>
      </c>
      <c r="H423">
        <v>10.35</v>
      </c>
      <c r="I423">
        <v>44.22</v>
      </c>
      <c r="J423">
        <v>-12.53</v>
      </c>
      <c r="K423">
        <v>-38.76</v>
      </c>
      <c r="L423">
        <v>-4.78</v>
      </c>
      <c r="M423">
        <v>-27.98</v>
      </c>
      <c r="N423">
        <v>130.47999999999999</v>
      </c>
      <c r="O423">
        <v>11.84</v>
      </c>
      <c r="P423">
        <v>291.39</v>
      </c>
    </row>
    <row r="424" spans="1:16" x14ac:dyDescent="0.2">
      <c r="A424" t="s">
        <v>16</v>
      </c>
      <c r="C424" t="b">
        <v>1</v>
      </c>
      <c r="D424" t="s">
        <v>69</v>
      </c>
      <c r="E424" t="s">
        <v>20</v>
      </c>
      <c r="F424" t="b">
        <v>0</v>
      </c>
      <c r="G424">
        <v>32.97</v>
      </c>
      <c r="H424">
        <v>17.239999999999998</v>
      </c>
      <c r="I424">
        <v>73.63</v>
      </c>
      <c r="J424">
        <v>-4.32</v>
      </c>
      <c r="K424">
        <v>-11.58</v>
      </c>
      <c r="L424">
        <v>-0.21</v>
      </c>
      <c r="M424">
        <v>-9.65</v>
      </c>
      <c r="N424">
        <v>208.18</v>
      </c>
      <c r="O424">
        <v>18.89</v>
      </c>
      <c r="P424">
        <v>464.92</v>
      </c>
    </row>
    <row r="425" spans="1:16" x14ac:dyDescent="0.2">
      <c r="A425" t="s">
        <v>16</v>
      </c>
      <c r="C425" t="b">
        <v>1</v>
      </c>
      <c r="D425" t="s">
        <v>69</v>
      </c>
      <c r="E425" t="s">
        <v>21</v>
      </c>
      <c r="F425" t="b">
        <v>0</v>
      </c>
      <c r="G425">
        <v>31.36</v>
      </c>
      <c r="H425">
        <v>16.399999999999999</v>
      </c>
      <c r="I425">
        <v>70.03</v>
      </c>
      <c r="J425">
        <v>1.02</v>
      </c>
      <c r="K425">
        <v>3.36</v>
      </c>
      <c r="L425">
        <v>2.2000000000000002</v>
      </c>
      <c r="M425">
        <v>2.2799999999999998</v>
      </c>
      <c r="N425">
        <v>148.72999999999999</v>
      </c>
      <c r="O425">
        <v>13.49</v>
      </c>
      <c r="P425">
        <v>332.15</v>
      </c>
    </row>
    <row r="426" spans="1:16" x14ac:dyDescent="0.2">
      <c r="A426" t="s">
        <v>16</v>
      </c>
      <c r="C426" t="b">
        <v>1</v>
      </c>
      <c r="D426" t="s">
        <v>69</v>
      </c>
      <c r="E426" t="s">
        <v>22</v>
      </c>
      <c r="F426" t="b">
        <v>0</v>
      </c>
      <c r="G426">
        <v>47.87</v>
      </c>
      <c r="H426">
        <v>25.03</v>
      </c>
      <c r="I426">
        <v>106.91</v>
      </c>
      <c r="J426">
        <v>-9.84</v>
      </c>
      <c r="K426">
        <v>-17.05</v>
      </c>
      <c r="L426">
        <v>-1.98</v>
      </c>
      <c r="M426">
        <v>-21.98</v>
      </c>
      <c r="N426">
        <v>287.93</v>
      </c>
      <c r="O426">
        <v>26.12</v>
      </c>
      <c r="P426">
        <v>643.02</v>
      </c>
    </row>
    <row r="427" spans="1:16" x14ac:dyDescent="0.2">
      <c r="A427" t="s">
        <v>16</v>
      </c>
      <c r="C427" t="b">
        <v>1</v>
      </c>
      <c r="D427" t="s">
        <v>69</v>
      </c>
      <c r="E427" t="s">
        <v>23</v>
      </c>
      <c r="F427" t="b">
        <v>0</v>
      </c>
      <c r="G427">
        <v>5.53</v>
      </c>
      <c r="H427">
        <v>2.89</v>
      </c>
      <c r="I427">
        <v>12.35</v>
      </c>
      <c r="J427">
        <v>-0.76</v>
      </c>
      <c r="K427">
        <v>-12.08</v>
      </c>
      <c r="L427">
        <v>-0.05</v>
      </c>
      <c r="M427">
        <v>-1.7</v>
      </c>
      <c r="N427">
        <v>30.74</v>
      </c>
      <c r="O427">
        <v>2.79</v>
      </c>
      <c r="P427">
        <v>68.650000000000006</v>
      </c>
    </row>
    <row r="428" spans="1:16" x14ac:dyDescent="0.2">
      <c r="A428" t="s">
        <v>16</v>
      </c>
      <c r="C428" t="b">
        <v>1</v>
      </c>
      <c r="D428" t="s">
        <v>69</v>
      </c>
      <c r="E428" t="s">
        <v>24</v>
      </c>
      <c r="F428" t="b">
        <v>0</v>
      </c>
      <c r="G428">
        <v>1.47</v>
      </c>
      <c r="H428">
        <v>0.77</v>
      </c>
      <c r="I428">
        <v>3.28</v>
      </c>
      <c r="J428">
        <v>-0.08</v>
      </c>
      <c r="K428">
        <v>-5.16</v>
      </c>
      <c r="L428">
        <v>0.04</v>
      </c>
      <c r="M428">
        <v>-0.18</v>
      </c>
      <c r="N428">
        <v>7.67</v>
      </c>
      <c r="O428">
        <v>0.7</v>
      </c>
      <c r="P428">
        <v>17.13</v>
      </c>
    </row>
    <row r="429" spans="1:16" x14ac:dyDescent="0.2">
      <c r="A429" t="s">
        <v>16</v>
      </c>
      <c r="C429" t="b">
        <v>1</v>
      </c>
      <c r="D429" t="s">
        <v>69</v>
      </c>
      <c r="E429" t="s">
        <v>25</v>
      </c>
      <c r="F429" t="b">
        <v>0</v>
      </c>
      <c r="G429">
        <v>17.489999999999998</v>
      </c>
      <c r="H429">
        <v>9.15</v>
      </c>
      <c r="I429">
        <v>39.06</v>
      </c>
      <c r="J429">
        <v>4.0999999999999996</v>
      </c>
      <c r="K429">
        <v>30.62</v>
      </c>
      <c r="L429">
        <v>2.88</v>
      </c>
      <c r="M429">
        <v>9.16</v>
      </c>
      <c r="N429">
        <v>56.14</v>
      </c>
      <c r="O429">
        <v>5.09</v>
      </c>
      <c r="P429">
        <v>125.37</v>
      </c>
    </row>
    <row r="430" spans="1:16" x14ac:dyDescent="0.2">
      <c r="A430" t="s">
        <v>16</v>
      </c>
      <c r="C430" t="b">
        <v>1</v>
      </c>
      <c r="D430" t="s">
        <v>69</v>
      </c>
      <c r="E430" t="s">
        <v>26</v>
      </c>
      <c r="F430" t="b">
        <v>1</v>
      </c>
      <c r="G430">
        <v>191.24</v>
      </c>
      <c r="H430">
        <v>100</v>
      </c>
      <c r="I430">
        <v>427.09</v>
      </c>
      <c r="J430">
        <v>-22.43</v>
      </c>
      <c r="K430">
        <v>-10.5</v>
      </c>
      <c r="L430">
        <v>0</v>
      </c>
      <c r="M430">
        <v>-50.09</v>
      </c>
      <c r="N430">
        <v>1102.31</v>
      </c>
      <c r="O430">
        <v>100</v>
      </c>
      <c r="P430">
        <v>2461.7399999999998</v>
      </c>
    </row>
    <row r="431" spans="1:16" x14ac:dyDescent="0.2">
      <c r="A431" t="s">
        <v>16</v>
      </c>
      <c r="C431" t="b">
        <v>1</v>
      </c>
      <c r="D431" t="s">
        <v>69</v>
      </c>
      <c r="E431" t="s">
        <v>27</v>
      </c>
      <c r="F431" t="b">
        <v>0</v>
      </c>
      <c r="G431">
        <v>25.49</v>
      </c>
      <c r="H431">
        <v>13.33</v>
      </c>
      <c r="I431">
        <v>56.93</v>
      </c>
      <c r="J431">
        <v>-0.56000000000000005</v>
      </c>
      <c r="K431">
        <v>-2.15</v>
      </c>
      <c r="L431">
        <v>1.1399999999999999</v>
      </c>
      <c r="M431">
        <v>-1.25</v>
      </c>
      <c r="N431">
        <v>184.16</v>
      </c>
      <c r="O431">
        <v>16.71</v>
      </c>
      <c r="P431">
        <v>411.28</v>
      </c>
    </row>
    <row r="432" spans="1:16" x14ac:dyDescent="0.2">
      <c r="A432" t="s">
        <v>16</v>
      </c>
      <c r="C432" t="b">
        <v>1</v>
      </c>
      <c r="D432" t="s">
        <v>70</v>
      </c>
      <c r="E432" t="s">
        <v>18</v>
      </c>
      <c r="F432" t="b">
        <v>0</v>
      </c>
      <c r="G432">
        <v>8.3699999999999992</v>
      </c>
      <c r="H432">
        <v>4.41</v>
      </c>
      <c r="I432">
        <v>18.690000000000001</v>
      </c>
      <c r="J432">
        <v>0.26</v>
      </c>
      <c r="K432">
        <v>3.21</v>
      </c>
      <c r="L432">
        <v>0.48</v>
      </c>
      <c r="M432">
        <v>0.57999999999999996</v>
      </c>
      <c r="N432">
        <v>56.65</v>
      </c>
      <c r="O432">
        <v>4.38</v>
      </c>
      <c r="P432">
        <v>126.51</v>
      </c>
    </row>
    <row r="433" spans="1:16" x14ac:dyDescent="0.2">
      <c r="A433" t="s">
        <v>16</v>
      </c>
      <c r="C433" t="b">
        <v>1</v>
      </c>
      <c r="D433" t="s">
        <v>70</v>
      </c>
      <c r="E433" t="s">
        <v>19</v>
      </c>
      <c r="F433" t="b">
        <v>0</v>
      </c>
      <c r="G433">
        <v>22.01</v>
      </c>
      <c r="H433">
        <v>11.6</v>
      </c>
      <c r="I433">
        <v>49.15</v>
      </c>
      <c r="J433">
        <v>-6.6</v>
      </c>
      <c r="K433">
        <v>-23.07</v>
      </c>
      <c r="L433">
        <v>-2.27</v>
      </c>
      <c r="M433">
        <v>-14.74</v>
      </c>
      <c r="N433">
        <v>152.49</v>
      </c>
      <c r="O433">
        <v>11.8</v>
      </c>
      <c r="P433">
        <v>340.55</v>
      </c>
    </row>
    <row r="434" spans="1:16" x14ac:dyDescent="0.2">
      <c r="A434" t="s">
        <v>16</v>
      </c>
      <c r="C434" t="b">
        <v>1</v>
      </c>
      <c r="D434" t="s">
        <v>70</v>
      </c>
      <c r="E434" t="s">
        <v>20</v>
      </c>
      <c r="F434" t="b">
        <v>0</v>
      </c>
      <c r="G434">
        <v>40.21</v>
      </c>
      <c r="H434">
        <v>21.2</v>
      </c>
      <c r="I434">
        <v>89.8</v>
      </c>
      <c r="J434">
        <v>0.35</v>
      </c>
      <c r="K434">
        <v>0.88</v>
      </c>
      <c r="L434">
        <v>1.88</v>
      </c>
      <c r="M434">
        <v>0.78</v>
      </c>
      <c r="N434">
        <v>248.39</v>
      </c>
      <c r="O434">
        <v>19.23</v>
      </c>
      <c r="P434">
        <v>554.72</v>
      </c>
    </row>
    <row r="435" spans="1:16" x14ac:dyDescent="0.2">
      <c r="A435" t="s">
        <v>16</v>
      </c>
      <c r="C435" t="b">
        <v>1</v>
      </c>
      <c r="D435" t="s">
        <v>70</v>
      </c>
      <c r="E435" t="s">
        <v>21</v>
      </c>
      <c r="F435" t="b">
        <v>0</v>
      </c>
      <c r="G435">
        <v>30.8</v>
      </c>
      <c r="H435">
        <v>16.239999999999998</v>
      </c>
      <c r="I435">
        <v>68.78</v>
      </c>
      <c r="J435">
        <v>-0.28000000000000003</v>
      </c>
      <c r="K435">
        <v>-0.9</v>
      </c>
      <c r="L435">
        <v>1.17</v>
      </c>
      <c r="M435">
        <v>-0.63</v>
      </c>
      <c r="N435">
        <v>179.53</v>
      </c>
      <c r="O435">
        <v>13.9</v>
      </c>
      <c r="P435">
        <v>400.94</v>
      </c>
    </row>
    <row r="436" spans="1:16" x14ac:dyDescent="0.2">
      <c r="A436" t="s">
        <v>16</v>
      </c>
      <c r="C436" t="b">
        <v>1</v>
      </c>
      <c r="D436" t="s">
        <v>70</v>
      </c>
      <c r="E436" t="s">
        <v>22</v>
      </c>
      <c r="F436" t="b">
        <v>0</v>
      </c>
      <c r="G436">
        <v>43.96</v>
      </c>
      <c r="H436">
        <v>23.18</v>
      </c>
      <c r="I436">
        <v>98.17</v>
      </c>
      <c r="J436">
        <v>-11.28</v>
      </c>
      <c r="K436">
        <v>-20.420000000000002</v>
      </c>
      <c r="L436">
        <v>-3.6</v>
      </c>
      <c r="M436">
        <v>-25.19</v>
      </c>
      <c r="N436">
        <v>331.89</v>
      </c>
      <c r="O436">
        <v>25.69</v>
      </c>
      <c r="P436">
        <v>741.19</v>
      </c>
    </row>
    <row r="437" spans="1:16" x14ac:dyDescent="0.2">
      <c r="A437" t="s">
        <v>16</v>
      </c>
      <c r="C437" t="b">
        <v>1</v>
      </c>
      <c r="D437" t="s">
        <v>70</v>
      </c>
      <c r="E437" t="s">
        <v>23</v>
      </c>
      <c r="F437" t="b">
        <v>0</v>
      </c>
      <c r="G437">
        <v>5.33</v>
      </c>
      <c r="H437">
        <v>2.81</v>
      </c>
      <c r="I437">
        <v>11.9</v>
      </c>
      <c r="J437">
        <v>-0.28000000000000003</v>
      </c>
      <c r="K437">
        <v>-4.99</v>
      </c>
      <c r="L437">
        <v>0.09</v>
      </c>
      <c r="M437">
        <v>-0.63</v>
      </c>
      <c r="N437">
        <v>36.07</v>
      </c>
      <c r="O437">
        <v>2.79</v>
      </c>
      <c r="P437">
        <v>80.55</v>
      </c>
    </row>
    <row r="438" spans="1:16" x14ac:dyDescent="0.2">
      <c r="A438" t="s">
        <v>16</v>
      </c>
      <c r="C438" t="b">
        <v>1</v>
      </c>
      <c r="D438" t="s">
        <v>70</v>
      </c>
      <c r="E438" t="s">
        <v>24</v>
      </c>
      <c r="F438" t="b">
        <v>0</v>
      </c>
      <c r="G438">
        <v>1.33</v>
      </c>
      <c r="H438">
        <v>0.7</v>
      </c>
      <c r="I438">
        <v>2.97</v>
      </c>
      <c r="J438">
        <v>0.08</v>
      </c>
      <c r="K438">
        <v>6.4</v>
      </c>
      <c r="L438">
        <v>0.09</v>
      </c>
      <c r="M438">
        <v>0.18</v>
      </c>
      <c r="N438">
        <v>9</v>
      </c>
      <c r="O438">
        <v>0.7</v>
      </c>
      <c r="P438">
        <v>20.100000000000001</v>
      </c>
    </row>
    <row r="439" spans="1:16" x14ac:dyDescent="0.2">
      <c r="A439" t="s">
        <v>16</v>
      </c>
      <c r="C439" t="b">
        <v>1</v>
      </c>
      <c r="D439" t="s">
        <v>70</v>
      </c>
      <c r="E439" t="s">
        <v>25</v>
      </c>
      <c r="F439" t="b">
        <v>0</v>
      </c>
      <c r="G439">
        <v>16.809999999999999</v>
      </c>
      <c r="H439">
        <v>8.86</v>
      </c>
      <c r="I439">
        <v>37.54</v>
      </c>
      <c r="J439">
        <v>0.55000000000000004</v>
      </c>
      <c r="K439">
        <v>3.38</v>
      </c>
      <c r="L439">
        <v>0.98</v>
      </c>
      <c r="M439">
        <v>1.23</v>
      </c>
      <c r="N439">
        <v>72.95</v>
      </c>
      <c r="O439">
        <v>5.65</v>
      </c>
      <c r="P439">
        <v>162.91999999999999</v>
      </c>
    </row>
    <row r="440" spans="1:16" x14ac:dyDescent="0.2">
      <c r="A440" t="s">
        <v>16</v>
      </c>
      <c r="C440" t="b">
        <v>1</v>
      </c>
      <c r="D440" t="s">
        <v>70</v>
      </c>
      <c r="E440" t="s">
        <v>26</v>
      </c>
      <c r="F440" t="b">
        <v>1</v>
      </c>
      <c r="G440">
        <v>189.67</v>
      </c>
      <c r="H440">
        <v>100</v>
      </c>
      <c r="I440">
        <v>423.58</v>
      </c>
      <c r="J440">
        <v>-16.63</v>
      </c>
      <c r="K440">
        <v>-8.06</v>
      </c>
      <c r="L440">
        <v>0</v>
      </c>
      <c r="M440">
        <v>-37.14</v>
      </c>
      <c r="N440">
        <v>1291.98</v>
      </c>
      <c r="O440">
        <v>100</v>
      </c>
      <c r="P440">
        <v>2885.32</v>
      </c>
    </row>
    <row r="441" spans="1:16" x14ac:dyDescent="0.2">
      <c r="A441" t="s">
        <v>16</v>
      </c>
      <c r="C441" t="b">
        <v>1</v>
      </c>
      <c r="D441" t="s">
        <v>70</v>
      </c>
      <c r="E441" t="s">
        <v>27</v>
      </c>
      <c r="F441" t="b">
        <v>0</v>
      </c>
      <c r="G441">
        <v>20.85</v>
      </c>
      <c r="H441">
        <v>10.99</v>
      </c>
      <c r="I441">
        <v>46.56</v>
      </c>
      <c r="J441">
        <v>0.56999999999999995</v>
      </c>
      <c r="K441">
        <v>2.81</v>
      </c>
      <c r="L441">
        <v>1.1599999999999999</v>
      </c>
      <c r="M441">
        <v>1.27</v>
      </c>
      <c r="N441">
        <v>205.01</v>
      </c>
      <c r="O441">
        <v>15.87</v>
      </c>
      <c r="P441">
        <v>457.84</v>
      </c>
    </row>
    <row r="442" spans="1:16" x14ac:dyDescent="0.2">
      <c r="A442" t="s">
        <v>16</v>
      </c>
      <c r="C442" t="b">
        <v>1</v>
      </c>
      <c r="D442" t="s">
        <v>71</v>
      </c>
      <c r="E442" t="s">
        <v>18</v>
      </c>
      <c r="F442" t="b">
        <v>0</v>
      </c>
      <c r="G442">
        <v>8.3699999999999992</v>
      </c>
      <c r="H442">
        <v>4.09</v>
      </c>
      <c r="I442">
        <v>18.690000000000001</v>
      </c>
      <c r="J442">
        <v>-0.18</v>
      </c>
      <c r="K442">
        <v>-2.11</v>
      </c>
      <c r="L442">
        <v>0.17</v>
      </c>
      <c r="M442">
        <v>-0.4</v>
      </c>
      <c r="N442">
        <v>65.02</v>
      </c>
      <c r="O442">
        <v>4.34</v>
      </c>
      <c r="P442">
        <v>145.21</v>
      </c>
    </row>
    <row r="443" spans="1:16" x14ac:dyDescent="0.2">
      <c r="A443" t="s">
        <v>16</v>
      </c>
      <c r="C443" t="b">
        <v>1</v>
      </c>
      <c r="D443" t="s">
        <v>71</v>
      </c>
      <c r="E443" t="s">
        <v>19</v>
      </c>
      <c r="F443" t="b">
        <v>0</v>
      </c>
      <c r="G443">
        <v>23.87</v>
      </c>
      <c r="H443">
        <v>11.67</v>
      </c>
      <c r="I443">
        <v>53.31</v>
      </c>
      <c r="J443">
        <v>-8.2100000000000009</v>
      </c>
      <c r="K443">
        <v>-25.59</v>
      </c>
      <c r="L443">
        <v>-3.05</v>
      </c>
      <c r="M443">
        <v>-18.329999999999998</v>
      </c>
      <c r="N443">
        <v>176.36</v>
      </c>
      <c r="O443">
        <v>11.78</v>
      </c>
      <c r="P443">
        <v>393.86</v>
      </c>
    </row>
    <row r="444" spans="1:16" x14ac:dyDescent="0.2">
      <c r="A444" t="s">
        <v>16</v>
      </c>
      <c r="C444" t="b">
        <v>1</v>
      </c>
      <c r="D444" t="s">
        <v>71</v>
      </c>
      <c r="E444" t="s">
        <v>20</v>
      </c>
      <c r="F444" t="b">
        <v>0</v>
      </c>
      <c r="G444">
        <v>48.97</v>
      </c>
      <c r="H444">
        <v>23.95</v>
      </c>
      <c r="I444">
        <v>109.36</v>
      </c>
      <c r="J444">
        <v>-1.63</v>
      </c>
      <c r="K444">
        <v>-3.22</v>
      </c>
      <c r="L444">
        <v>0.73</v>
      </c>
      <c r="M444">
        <v>-3.64</v>
      </c>
      <c r="N444">
        <v>297.36</v>
      </c>
      <c r="O444">
        <v>19.87</v>
      </c>
      <c r="P444">
        <v>664.08</v>
      </c>
    </row>
    <row r="445" spans="1:16" x14ac:dyDescent="0.2">
      <c r="A445" t="s">
        <v>16</v>
      </c>
      <c r="C445" t="b">
        <v>1</v>
      </c>
      <c r="D445" t="s">
        <v>71</v>
      </c>
      <c r="E445" t="s">
        <v>21</v>
      </c>
      <c r="F445" t="b">
        <v>0</v>
      </c>
      <c r="G445">
        <v>27.42</v>
      </c>
      <c r="H445">
        <v>13.41</v>
      </c>
      <c r="I445">
        <v>61.24</v>
      </c>
      <c r="J445">
        <v>1.33</v>
      </c>
      <c r="K445">
        <v>5.0999999999999996</v>
      </c>
      <c r="L445">
        <v>1.43</v>
      </c>
      <c r="M445">
        <v>2.97</v>
      </c>
      <c r="N445">
        <v>206.95</v>
      </c>
      <c r="O445">
        <v>13.83</v>
      </c>
      <c r="P445">
        <v>462.17</v>
      </c>
    </row>
    <row r="446" spans="1:16" x14ac:dyDescent="0.2">
      <c r="A446" t="s">
        <v>16</v>
      </c>
      <c r="C446" t="b">
        <v>1</v>
      </c>
      <c r="D446" t="s">
        <v>71</v>
      </c>
      <c r="E446" t="s">
        <v>22</v>
      </c>
      <c r="F446" t="b">
        <v>0</v>
      </c>
      <c r="G446">
        <v>47.27</v>
      </c>
      <c r="H446">
        <v>23.11</v>
      </c>
      <c r="I446">
        <v>105.57</v>
      </c>
      <c r="J446">
        <v>-10.72</v>
      </c>
      <c r="K446">
        <v>-18.489999999999998</v>
      </c>
      <c r="L446">
        <v>-3.51</v>
      </c>
      <c r="M446">
        <v>-23.94</v>
      </c>
      <c r="N446">
        <v>379.16</v>
      </c>
      <c r="O446">
        <v>25.34</v>
      </c>
      <c r="P446">
        <v>846.76</v>
      </c>
    </row>
    <row r="447" spans="1:16" x14ac:dyDescent="0.2">
      <c r="A447" t="s">
        <v>16</v>
      </c>
      <c r="C447" t="b">
        <v>1</v>
      </c>
      <c r="D447" t="s">
        <v>71</v>
      </c>
      <c r="E447" t="s">
        <v>23</v>
      </c>
      <c r="F447" t="b">
        <v>0</v>
      </c>
      <c r="G447">
        <v>5.73</v>
      </c>
      <c r="H447">
        <v>2.8</v>
      </c>
      <c r="I447">
        <v>12.8</v>
      </c>
      <c r="J447">
        <v>-0.15</v>
      </c>
      <c r="K447">
        <v>-2.5499999999999998</v>
      </c>
      <c r="L447">
        <v>0.1</v>
      </c>
      <c r="M447">
        <v>-0.33</v>
      </c>
      <c r="N447">
        <v>41.8</v>
      </c>
      <c r="O447">
        <v>2.79</v>
      </c>
      <c r="P447">
        <v>93.35</v>
      </c>
    </row>
    <row r="448" spans="1:16" x14ac:dyDescent="0.2">
      <c r="A448" t="s">
        <v>16</v>
      </c>
      <c r="C448" t="b">
        <v>1</v>
      </c>
      <c r="D448" t="s">
        <v>71</v>
      </c>
      <c r="E448" t="s">
        <v>24</v>
      </c>
      <c r="F448" t="b">
        <v>0</v>
      </c>
      <c r="G448">
        <v>1.42</v>
      </c>
      <c r="H448">
        <v>0.69</v>
      </c>
      <c r="I448">
        <v>3.17</v>
      </c>
      <c r="J448">
        <v>-0.03</v>
      </c>
      <c r="K448">
        <v>-2.0699999999999998</v>
      </c>
      <c r="L448">
        <v>0.02</v>
      </c>
      <c r="M448">
        <v>-7.0000000000000007E-2</v>
      </c>
      <c r="N448">
        <v>10.42</v>
      </c>
      <c r="O448">
        <v>0.7</v>
      </c>
      <c r="P448">
        <v>23.27</v>
      </c>
    </row>
    <row r="449" spans="1:16" x14ac:dyDescent="0.2">
      <c r="A449" t="s">
        <v>16</v>
      </c>
      <c r="C449" t="b">
        <v>1</v>
      </c>
      <c r="D449" t="s">
        <v>71</v>
      </c>
      <c r="E449" t="s">
        <v>25</v>
      </c>
      <c r="F449" t="b">
        <v>0</v>
      </c>
      <c r="G449">
        <v>18.350000000000001</v>
      </c>
      <c r="H449">
        <v>8.9700000000000006</v>
      </c>
      <c r="I449">
        <v>40.98</v>
      </c>
      <c r="J449">
        <v>2.8</v>
      </c>
      <c r="K449">
        <v>18.010000000000002</v>
      </c>
      <c r="L449">
        <v>1.83</v>
      </c>
      <c r="M449">
        <v>6.25</v>
      </c>
      <c r="N449">
        <v>91.3</v>
      </c>
      <c r="O449">
        <v>6.1</v>
      </c>
      <c r="P449">
        <v>203.9</v>
      </c>
    </row>
    <row r="450" spans="1:16" x14ac:dyDescent="0.2">
      <c r="A450" t="s">
        <v>16</v>
      </c>
      <c r="C450" t="b">
        <v>1</v>
      </c>
      <c r="D450" t="s">
        <v>71</v>
      </c>
      <c r="E450" t="s">
        <v>26</v>
      </c>
      <c r="F450" t="b">
        <v>1</v>
      </c>
      <c r="G450">
        <v>204.5</v>
      </c>
      <c r="H450">
        <v>100</v>
      </c>
      <c r="I450">
        <v>456.7</v>
      </c>
      <c r="J450">
        <v>-13.37</v>
      </c>
      <c r="K450">
        <v>-6.14</v>
      </c>
      <c r="L450">
        <v>0</v>
      </c>
      <c r="M450">
        <v>-29.86</v>
      </c>
      <c r="N450">
        <v>1496.48</v>
      </c>
      <c r="O450">
        <v>100</v>
      </c>
      <c r="P450">
        <v>3342.02</v>
      </c>
    </row>
    <row r="451" spans="1:16" x14ac:dyDescent="0.2">
      <c r="A451" t="s">
        <v>16</v>
      </c>
      <c r="C451" t="b">
        <v>1</v>
      </c>
      <c r="D451" t="s">
        <v>71</v>
      </c>
      <c r="E451" t="s">
        <v>27</v>
      </c>
      <c r="F451" t="b">
        <v>0</v>
      </c>
      <c r="G451">
        <v>23.1</v>
      </c>
      <c r="H451">
        <v>11.3</v>
      </c>
      <c r="I451">
        <v>51.59</v>
      </c>
      <c r="J451">
        <v>3.42</v>
      </c>
      <c r="K451">
        <v>17.38</v>
      </c>
      <c r="L451">
        <v>2.27</v>
      </c>
      <c r="M451">
        <v>7.64</v>
      </c>
      <c r="N451">
        <v>228.11</v>
      </c>
      <c r="O451">
        <v>15.24</v>
      </c>
      <c r="P451">
        <v>509.43</v>
      </c>
    </row>
    <row r="452" spans="1:16" x14ac:dyDescent="0.2">
      <c r="A452" t="s">
        <v>16</v>
      </c>
      <c r="C452" t="b">
        <v>1</v>
      </c>
      <c r="D452" t="s">
        <v>72</v>
      </c>
      <c r="E452" t="s">
        <v>18</v>
      </c>
      <c r="F452" t="b">
        <v>0</v>
      </c>
      <c r="G452">
        <v>8.64</v>
      </c>
      <c r="H452">
        <v>4.32</v>
      </c>
      <c r="I452">
        <v>19.3</v>
      </c>
      <c r="J452">
        <v>0.03</v>
      </c>
      <c r="K452">
        <v>0.35</v>
      </c>
      <c r="L452">
        <v>0.16</v>
      </c>
      <c r="M452">
        <v>7.0000000000000007E-2</v>
      </c>
      <c r="N452">
        <v>73.66</v>
      </c>
      <c r="O452">
        <v>4.34</v>
      </c>
      <c r="P452">
        <v>164.5</v>
      </c>
    </row>
    <row r="453" spans="1:16" x14ac:dyDescent="0.2">
      <c r="A453" t="s">
        <v>16</v>
      </c>
      <c r="C453" t="b">
        <v>1</v>
      </c>
      <c r="D453" t="s">
        <v>72</v>
      </c>
      <c r="E453" t="s">
        <v>19</v>
      </c>
      <c r="F453" t="b">
        <v>0</v>
      </c>
      <c r="G453">
        <v>26.65</v>
      </c>
      <c r="H453">
        <v>13.31</v>
      </c>
      <c r="I453">
        <v>59.52</v>
      </c>
      <c r="J453">
        <v>-3.21</v>
      </c>
      <c r="K453">
        <v>-10.75</v>
      </c>
      <c r="L453">
        <v>-1.1000000000000001</v>
      </c>
      <c r="M453">
        <v>-7.17</v>
      </c>
      <c r="N453">
        <v>203.01</v>
      </c>
      <c r="O453">
        <v>11.97</v>
      </c>
      <c r="P453">
        <v>453.37</v>
      </c>
    </row>
    <row r="454" spans="1:16" x14ac:dyDescent="0.2">
      <c r="A454" t="s">
        <v>16</v>
      </c>
      <c r="C454" t="b">
        <v>1</v>
      </c>
      <c r="D454" t="s">
        <v>72</v>
      </c>
      <c r="E454" t="s">
        <v>20</v>
      </c>
      <c r="F454" t="b">
        <v>0</v>
      </c>
      <c r="G454">
        <v>45.95</v>
      </c>
      <c r="H454">
        <v>22.95</v>
      </c>
      <c r="I454">
        <v>102.62</v>
      </c>
      <c r="J454">
        <v>-2.2000000000000002</v>
      </c>
      <c r="K454">
        <v>-4.57</v>
      </c>
      <c r="L454">
        <v>-0.28999999999999998</v>
      </c>
      <c r="M454">
        <v>-4.91</v>
      </c>
      <c r="N454">
        <v>343.31</v>
      </c>
      <c r="O454">
        <v>20.23</v>
      </c>
      <c r="P454">
        <v>766.7</v>
      </c>
    </row>
    <row r="455" spans="1:16" x14ac:dyDescent="0.2">
      <c r="A455" t="s">
        <v>16</v>
      </c>
      <c r="C455" t="b">
        <v>1</v>
      </c>
      <c r="D455" t="s">
        <v>72</v>
      </c>
      <c r="E455" t="s">
        <v>21</v>
      </c>
      <c r="F455" t="b">
        <v>0</v>
      </c>
      <c r="G455">
        <v>25.79</v>
      </c>
      <c r="H455">
        <v>12.88</v>
      </c>
      <c r="I455">
        <v>57.6</v>
      </c>
      <c r="J455">
        <v>3.6</v>
      </c>
      <c r="K455">
        <v>16.22</v>
      </c>
      <c r="L455">
        <v>2.17</v>
      </c>
      <c r="M455">
        <v>8.0399999999999991</v>
      </c>
      <c r="N455">
        <v>232.74</v>
      </c>
      <c r="O455">
        <v>13.72</v>
      </c>
      <c r="P455">
        <v>519.77</v>
      </c>
    </row>
    <row r="456" spans="1:16" x14ac:dyDescent="0.2">
      <c r="A456" t="s">
        <v>16</v>
      </c>
      <c r="C456" t="b">
        <v>1</v>
      </c>
      <c r="D456" t="s">
        <v>72</v>
      </c>
      <c r="E456" t="s">
        <v>22</v>
      </c>
      <c r="F456" t="b">
        <v>0</v>
      </c>
      <c r="G456">
        <v>48.04</v>
      </c>
      <c r="H456">
        <v>24</v>
      </c>
      <c r="I456">
        <v>107.29</v>
      </c>
      <c r="J456">
        <v>-9.25</v>
      </c>
      <c r="K456">
        <v>-16.149999999999999</v>
      </c>
      <c r="L456">
        <v>-3.65</v>
      </c>
      <c r="M456">
        <v>-20.66</v>
      </c>
      <c r="N456">
        <v>427.2</v>
      </c>
      <c r="O456">
        <v>25.18</v>
      </c>
      <c r="P456">
        <v>954.05</v>
      </c>
    </row>
    <row r="457" spans="1:16" x14ac:dyDescent="0.2">
      <c r="A457" t="s">
        <v>16</v>
      </c>
      <c r="C457" t="b">
        <v>1</v>
      </c>
      <c r="D457" t="s">
        <v>72</v>
      </c>
      <c r="E457" t="s">
        <v>23</v>
      </c>
      <c r="F457" t="b">
        <v>0</v>
      </c>
      <c r="G457">
        <v>6.18</v>
      </c>
      <c r="H457">
        <v>3.09</v>
      </c>
      <c r="I457">
        <v>13.8</v>
      </c>
      <c r="J457">
        <v>-0.08</v>
      </c>
      <c r="K457">
        <v>-1.28</v>
      </c>
      <c r="L457">
        <v>7.0000000000000007E-2</v>
      </c>
      <c r="M457">
        <v>-0.18</v>
      </c>
      <c r="N457">
        <v>47.98</v>
      </c>
      <c r="O457">
        <v>2.83</v>
      </c>
      <c r="P457">
        <v>107.15</v>
      </c>
    </row>
    <row r="458" spans="1:16" x14ac:dyDescent="0.2">
      <c r="A458" t="s">
        <v>16</v>
      </c>
      <c r="C458" t="b">
        <v>1</v>
      </c>
      <c r="D458" t="s">
        <v>72</v>
      </c>
      <c r="E458" t="s">
        <v>24</v>
      </c>
      <c r="F458" t="b">
        <v>0</v>
      </c>
      <c r="G458">
        <v>1.39</v>
      </c>
      <c r="H458">
        <v>0.69</v>
      </c>
      <c r="I458">
        <v>3.1</v>
      </c>
      <c r="J458">
        <v>-0.05</v>
      </c>
      <c r="K458">
        <v>-3.47</v>
      </c>
      <c r="L458">
        <v>-0.01</v>
      </c>
      <c r="M458">
        <v>-0.11</v>
      </c>
      <c r="N458">
        <v>11.81</v>
      </c>
      <c r="O458">
        <v>0.7</v>
      </c>
      <c r="P458">
        <v>26.37</v>
      </c>
    </row>
    <row r="459" spans="1:16" x14ac:dyDescent="0.2">
      <c r="A459" t="s">
        <v>16</v>
      </c>
      <c r="C459" t="b">
        <v>1</v>
      </c>
      <c r="D459" t="s">
        <v>72</v>
      </c>
      <c r="E459" t="s">
        <v>25</v>
      </c>
      <c r="F459" t="b">
        <v>0</v>
      </c>
      <c r="G459">
        <v>16.59</v>
      </c>
      <c r="H459">
        <v>8.2899999999999991</v>
      </c>
      <c r="I459">
        <v>37.049999999999997</v>
      </c>
      <c r="J459">
        <v>1.94</v>
      </c>
      <c r="K459">
        <v>13.24</v>
      </c>
      <c r="L459">
        <v>1.22</v>
      </c>
      <c r="M459">
        <v>4.33</v>
      </c>
      <c r="N459">
        <v>107.89</v>
      </c>
      <c r="O459">
        <v>6.36</v>
      </c>
      <c r="P459">
        <v>240.95</v>
      </c>
    </row>
    <row r="460" spans="1:16" x14ac:dyDescent="0.2">
      <c r="A460" t="s">
        <v>16</v>
      </c>
      <c r="C460" t="b">
        <v>1</v>
      </c>
      <c r="D460" t="s">
        <v>72</v>
      </c>
      <c r="E460" t="s">
        <v>26</v>
      </c>
      <c r="F460" t="b">
        <v>1</v>
      </c>
      <c r="G460">
        <v>200.2</v>
      </c>
      <c r="H460">
        <v>100</v>
      </c>
      <c r="I460">
        <v>447.1</v>
      </c>
      <c r="J460">
        <v>-6.98</v>
      </c>
      <c r="K460">
        <v>-3.37</v>
      </c>
      <c r="L460">
        <v>0</v>
      </c>
      <c r="M460">
        <v>-15.59</v>
      </c>
      <c r="N460">
        <v>1696.68</v>
      </c>
      <c r="O460">
        <v>100</v>
      </c>
      <c r="P460">
        <v>3789.11</v>
      </c>
    </row>
    <row r="461" spans="1:16" x14ac:dyDescent="0.2">
      <c r="A461" t="s">
        <v>16</v>
      </c>
      <c r="C461" t="b">
        <v>1</v>
      </c>
      <c r="D461" t="s">
        <v>72</v>
      </c>
      <c r="E461" t="s">
        <v>27</v>
      </c>
      <c r="F461" t="b">
        <v>0</v>
      </c>
      <c r="G461">
        <v>20.97</v>
      </c>
      <c r="H461">
        <v>10.47</v>
      </c>
      <c r="I461">
        <v>46.83</v>
      </c>
      <c r="J461">
        <v>2.2400000000000002</v>
      </c>
      <c r="K461">
        <v>11.96</v>
      </c>
      <c r="L461">
        <v>1.43</v>
      </c>
      <c r="M461">
        <v>5</v>
      </c>
      <c r="N461">
        <v>249.08</v>
      </c>
      <c r="O461">
        <v>14.68</v>
      </c>
      <c r="P461">
        <v>556.26</v>
      </c>
    </row>
    <row r="462" spans="1:16" x14ac:dyDescent="0.2">
      <c r="A462" t="s">
        <v>16</v>
      </c>
      <c r="C462" t="b">
        <v>1</v>
      </c>
      <c r="D462" t="s">
        <v>73</v>
      </c>
      <c r="E462" t="s">
        <v>18</v>
      </c>
      <c r="F462" t="b">
        <v>0</v>
      </c>
      <c r="G462">
        <v>8.7100000000000009</v>
      </c>
      <c r="H462">
        <v>4.3499999999999996</v>
      </c>
      <c r="I462">
        <v>19.45</v>
      </c>
      <c r="J462">
        <v>0.44</v>
      </c>
      <c r="K462">
        <v>5.32</v>
      </c>
      <c r="L462">
        <v>0.35</v>
      </c>
      <c r="M462">
        <v>0.98</v>
      </c>
      <c r="N462">
        <v>82.37</v>
      </c>
      <c r="O462">
        <v>4.34</v>
      </c>
      <c r="P462">
        <v>183.95</v>
      </c>
    </row>
    <row r="463" spans="1:16" x14ac:dyDescent="0.2">
      <c r="A463" t="s">
        <v>16</v>
      </c>
      <c r="C463" t="b">
        <v>1</v>
      </c>
      <c r="D463" t="s">
        <v>73</v>
      </c>
      <c r="E463" t="s">
        <v>19</v>
      </c>
      <c r="F463" t="b">
        <v>0</v>
      </c>
      <c r="G463">
        <v>30.35</v>
      </c>
      <c r="H463">
        <v>15.14</v>
      </c>
      <c r="I463">
        <v>67.78</v>
      </c>
      <c r="J463">
        <v>0.8</v>
      </c>
      <c r="K463">
        <v>2.71</v>
      </c>
      <c r="L463">
        <v>0.84</v>
      </c>
      <c r="M463">
        <v>1.79</v>
      </c>
      <c r="N463">
        <v>233.36</v>
      </c>
      <c r="O463">
        <v>12.3</v>
      </c>
      <c r="P463">
        <v>521.15</v>
      </c>
    </row>
    <row r="464" spans="1:16" x14ac:dyDescent="0.2">
      <c r="A464" t="s">
        <v>16</v>
      </c>
      <c r="C464" t="b">
        <v>1</v>
      </c>
      <c r="D464" t="s">
        <v>73</v>
      </c>
      <c r="E464" t="s">
        <v>20</v>
      </c>
      <c r="F464" t="b">
        <v>0</v>
      </c>
      <c r="G464">
        <v>45.26</v>
      </c>
      <c r="H464">
        <v>22.58</v>
      </c>
      <c r="I464">
        <v>101.08</v>
      </c>
      <c r="J464">
        <v>-2.4500000000000002</v>
      </c>
      <c r="K464">
        <v>-5.14</v>
      </c>
      <c r="L464">
        <v>-0.51</v>
      </c>
      <c r="M464">
        <v>-5.47</v>
      </c>
      <c r="N464">
        <v>388.57</v>
      </c>
      <c r="O464">
        <v>20.48</v>
      </c>
      <c r="P464">
        <v>867.77</v>
      </c>
    </row>
    <row r="465" spans="1:16" x14ac:dyDescent="0.2">
      <c r="A465" t="s">
        <v>16</v>
      </c>
      <c r="C465" t="b">
        <v>1</v>
      </c>
      <c r="D465" t="s">
        <v>73</v>
      </c>
      <c r="E465" t="s">
        <v>21</v>
      </c>
      <c r="F465" t="b">
        <v>0</v>
      </c>
      <c r="G465">
        <v>23.22</v>
      </c>
      <c r="H465">
        <v>11.59</v>
      </c>
      <c r="I465">
        <v>51.86</v>
      </c>
      <c r="J465">
        <v>3.44</v>
      </c>
      <c r="K465">
        <v>17.39</v>
      </c>
      <c r="L465">
        <v>2.02</v>
      </c>
      <c r="M465">
        <v>7.68</v>
      </c>
      <c r="N465">
        <v>255.96</v>
      </c>
      <c r="O465">
        <v>13.49</v>
      </c>
      <c r="P465">
        <v>571.62</v>
      </c>
    </row>
    <row r="466" spans="1:16" x14ac:dyDescent="0.2">
      <c r="A466" t="s">
        <v>16</v>
      </c>
      <c r="C466" t="b">
        <v>1</v>
      </c>
      <c r="D466" t="s">
        <v>73</v>
      </c>
      <c r="E466" t="s">
        <v>22</v>
      </c>
      <c r="F466" t="b">
        <v>0</v>
      </c>
      <c r="G466">
        <v>47.42</v>
      </c>
      <c r="H466">
        <v>23.66</v>
      </c>
      <c r="I466">
        <v>105.9</v>
      </c>
      <c r="J466">
        <v>-8.4499999999999993</v>
      </c>
      <c r="K466">
        <v>-15.12</v>
      </c>
      <c r="L466">
        <v>-3.38</v>
      </c>
      <c r="M466">
        <v>-18.87</v>
      </c>
      <c r="N466">
        <v>474.62</v>
      </c>
      <c r="O466">
        <v>25.02</v>
      </c>
      <c r="P466">
        <v>1059.95</v>
      </c>
    </row>
    <row r="467" spans="1:16" x14ac:dyDescent="0.2">
      <c r="A467" t="s">
        <v>16</v>
      </c>
      <c r="C467" t="b">
        <v>1</v>
      </c>
      <c r="D467" t="s">
        <v>73</v>
      </c>
      <c r="E467" t="s">
        <v>23</v>
      </c>
      <c r="F467" t="b">
        <v>0</v>
      </c>
      <c r="G467">
        <v>6.3</v>
      </c>
      <c r="H467">
        <v>3.14</v>
      </c>
      <c r="I467">
        <v>14.07</v>
      </c>
      <c r="J467">
        <v>-0.14000000000000001</v>
      </c>
      <c r="K467">
        <v>-2.17</v>
      </c>
      <c r="L467">
        <v>0.02</v>
      </c>
      <c r="M467">
        <v>-0.31</v>
      </c>
      <c r="N467">
        <v>54.28</v>
      </c>
      <c r="O467">
        <v>2.86</v>
      </c>
      <c r="P467">
        <v>121.22</v>
      </c>
    </row>
    <row r="468" spans="1:16" x14ac:dyDescent="0.2">
      <c r="A468" t="s">
        <v>16</v>
      </c>
      <c r="C468" t="b">
        <v>1</v>
      </c>
      <c r="D468" t="s">
        <v>73</v>
      </c>
      <c r="E468" t="s">
        <v>24</v>
      </c>
      <c r="F468" t="b">
        <v>0</v>
      </c>
      <c r="G468">
        <v>1.45</v>
      </c>
      <c r="H468">
        <v>0.72</v>
      </c>
      <c r="I468">
        <v>3.24</v>
      </c>
      <c r="J468">
        <v>-0.01</v>
      </c>
      <c r="K468">
        <v>-0.68</v>
      </c>
      <c r="L468">
        <v>0.01</v>
      </c>
      <c r="M468">
        <v>-0.02</v>
      </c>
      <c r="N468">
        <v>13.26</v>
      </c>
      <c r="O468">
        <v>0.7</v>
      </c>
      <c r="P468">
        <v>29.61</v>
      </c>
    </row>
    <row r="469" spans="1:16" x14ac:dyDescent="0.2">
      <c r="A469" t="s">
        <v>16</v>
      </c>
      <c r="C469" t="b">
        <v>1</v>
      </c>
      <c r="D469" t="s">
        <v>73</v>
      </c>
      <c r="E469" t="s">
        <v>25</v>
      </c>
      <c r="F469" t="b">
        <v>0</v>
      </c>
      <c r="G469">
        <v>13.53</v>
      </c>
      <c r="H469">
        <v>6.75</v>
      </c>
      <c r="I469">
        <v>30.22</v>
      </c>
      <c r="J469">
        <v>2.33</v>
      </c>
      <c r="K469">
        <v>20.8</v>
      </c>
      <c r="L469">
        <v>1.33</v>
      </c>
      <c r="M469">
        <v>5.2</v>
      </c>
      <c r="N469">
        <v>121.42</v>
      </c>
      <c r="O469">
        <v>6.4</v>
      </c>
      <c r="P469">
        <v>271.16000000000003</v>
      </c>
    </row>
    <row r="470" spans="1:16" x14ac:dyDescent="0.2">
      <c r="A470" t="s">
        <v>16</v>
      </c>
      <c r="C470" t="b">
        <v>1</v>
      </c>
      <c r="D470" t="s">
        <v>73</v>
      </c>
      <c r="E470" t="s">
        <v>26</v>
      </c>
      <c r="F470" t="b">
        <v>1</v>
      </c>
      <c r="G470">
        <v>200.43</v>
      </c>
      <c r="H470">
        <v>100</v>
      </c>
      <c r="I470">
        <v>447.61</v>
      </c>
      <c r="J470">
        <v>-6.21</v>
      </c>
      <c r="K470">
        <v>-3.01</v>
      </c>
      <c r="L470">
        <v>0</v>
      </c>
      <c r="M470">
        <v>-13.87</v>
      </c>
      <c r="N470">
        <v>1897.11</v>
      </c>
      <c r="O470">
        <v>100</v>
      </c>
      <c r="P470">
        <v>4236.72</v>
      </c>
    </row>
    <row r="471" spans="1:16" x14ac:dyDescent="0.2">
      <c r="A471" t="s">
        <v>16</v>
      </c>
      <c r="C471" t="b">
        <v>1</v>
      </c>
      <c r="D471" t="s">
        <v>73</v>
      </c>
      <c r="E471" t="s">
        <v>27</v>
      </c>
      <c r="F471" t="b">
        <v>0</v>
      </c>
      <c r="G471">
        <v>24.19</v>
      </c>
      <c r="H471">
        <v>12.07</v>
      </c>
      <c r="I471">
        <v>54.02</v>
      </c>
      <c r="J471">
        <v>-2.17</v>
      </c>
      <c r="K471">
        <v>-8.23</v>
      </c>
      <c r="L471">
        <v>-0.69</v>
      </c>
      <c r="M471">
        <v>-4.8499999999999996</v>
      </c>
      <c r="N471">
        <v>273.27</v>
      </c>
      <c r="O471">
        <v>14.4</v>
      </c>
      <c r="P471">
        <v>610.28</v>
      </c>
    </row>
    <row r="472" spans="1:16" x14ac:dyDescent="0.2">
      <c r="A472" t="s">
        <v>16</v>
      </c>
      <c r="C472" t="b">
        <v>1</v>
      </c>
      <c r="D472" t="s">
        <v>74</v>
      </c>
      <c r="E472" t="s">
        <v>18</v>
      </c>
      <c r="F472" t="b">
        <v>0</v>
      </c>
      <c r="G472">
        <v>9.39</v>
      </c>
      <c r="H472">
        <v>4.3</v>
      </c>
      <c r="I472">
        <v>20.97</v>
      </c>
      <c r="J472">
        <v>-0.06</v>
      </c>
      <c r="K472">
        <v>-0.63</v>
      </c>
      <c r="L472">
        <v>0.04</v>
      </c>
      <c r="M472">
        <v>-0.13</v>
      </c>
      <c r="N472">
        <v>91.76</v>
      </c>
      <c r="O472">
        <v>4.34</v>
      </c>
      <c r="P472">
        <v>204.92</v>
      </c>
    </row>
    <row r="473" spans="1:16" x14ac:dyDescent="0.2">
      <c r="A473" t="s">
        <v>16</v>
      </c>
      <c r="C473" t="b">
        <v>1</v>
      </c>
      <c r="D473" t="s">
        <v>74</v>
      </c>
      <c r="E473" t="s">
        <v>19</v>
      </c>
      <c r="F473" t="b">
        <v>0</v>
      </c>
      <c r="G473">
        <v>32.119999999999997</v>
      </c>
      <c r="H473">
        <v>14.71</v>
      </c>
      <c r="I473">
        <v>71.73</v>
      </c>
      <c r="J473">
        <v>-2.91</v>
      </c>
      <c r="K473">
        <v>-8.31</v>
      </c>
      <c r="L473">
        <v>-1.07</v>
      </c>
      <c r="M473">
        <v>-6.5</v>
      </c>
      <c r="N473">
        <v>265.48</v>
      </c>
      <c r="O473">
        <v>12.55</v>
      </c>
      <c r="P473">
        <v>592.88</v>
      </c>
    </row>
    <row r="474" spans="1:16" x14ac:dyDescent="0.2">
      <c r="A474" t="s">
        <v>16</v>
      </c>
      <c r="C474" t="b">
        <v>1</v>
      </c>
      <c r="D474" t="s">
        <v>74</v>
      </c>
      <c r="E474" t="s">
        <v>20</v>
      </c>
      <c r="F474" t="b">
        <v>0</v>
      </c>
      <c r="G474">
        <v>39.590000000000003</v>
      </c>
      <c r="H474">
        <v>18.13</v>
      </c>
      <c r="I474">
        <v>88.41</v>
      </c>
      <c r="J474">
        <v>-12.42</v>
      </c>
      <c r="K474">
        <v>-23.88</v>
      </c>
      <c r="L474">
        <v>-5.3</v>
      </c>
      <c r="M474">
        <v>-27.74</v>
      </c>
      <c r="N474">
        <v>428.16</v>
      </c>
      <c r="O474">
        <v>20.239999999999998</v>
      </c>
      <c r="P474">
        <v>956.19</v>
      </c>
    </row>
    <row r="475" spans="1:16" x14ac:dyDescent="0.2">
      <c r="A475" t="s">
        <v>16</v>
      </c>
      <c r="C475" t="b">
        <v>1</v>
      </c>
      <c r="D475" t="s">
        <v>74</v>
      </c>
      <c r="E475" t="s">
        <v>21</v>
      </c>
      <c r="F475" t="b">
        <v>0</v>
      </c>
      <c r="G475">
        <v>28.2</v>
      </c>
      <c r="H475">
        <v>12.91</v>
      </c>
      <c r="I475">
        <v>62.98</v>
      </c>
      <c r="J475">
        <v>7.31</v>
      </c>
      <c r="K475">
        <v>34.99</v>
      </c>
      <c r="L475">
        <v>3.5</v>
      </c>
      <c r="M475">
        <v>16.329999999999998</v>
      </c>
      <c r="N475">
        <v>284.16000000000003</v>
      </c>
      <c r="O475">
        <v>13.43</v>
      </c>
      <c r="P475">
        <v>634.6</v>
      </c>
    </row>
    <row r="476" spans="1:16" x14ac:dyDescent="0.2">
      <c r="A476" t="s">
        <v>16</v>
      </c>
      <c r="C476" t="b">
        <v>1</v>
      </c>
      <c r="D476" t="s">
        <v>74</v>
      </c>
      <c r="E476" t="s">
        <v>22</v>
      </c>
      <c r="F476" t="b">
        <v>0</v>
      </c>
      <c r="G476">
        <v>54.19</v>
      </c>
      <c r="H476">
        <v>24.81</v>
      </c>
      <c r="I476">
        <v>121.02</v>
      </c>
      <c r="J476">
        <v>-4.58</v>
      </c>
      <c r="K476">
        <v>-7.79</v>
      </c>
      <c r="L476">
        <v>-1.66</v>
      </c>
      <c r="M476">
        <v>-10.23</v>
      </c>
      <c r="N476">
        <v>528.80999999999995</v>
      </c>
      <c r="O476">
        <v>25</v>
      </c>
      <c r="P476">
        <v>1180.97</v>
      </c>
    </row>
    <row r="477" spans="1:16" x14ac:dyDescent="0.2">
      <c r="A477" t="s">
        <v>16</v>
      </c>
      <c r="C477" t="b">
        <v>1</v>
      </c>
      <c r="D477" t="s">
        <v>74</v>
      </c>
      <c r="E477" t="s">
        <v>23</v>
      </c>
      <c r="F477" t="b">
        <v>0</v>
      </c>
      <c r="G477">
        <v>6.25</v>
      </c>
      <c r="H477">
        <v>2.86</v>
      </c>
      <c r="I477">
        <v>13.96</v>
      </c>
      <c r="J477">
        <v>-0.6</v>
      </c>
      <c r="K477">
        <v>-8.76</v>
      </c>
      <c r="L477">
        <v>-0.23</v>
      </c>
      <c r="M477">
        <v>-1.34</v>
      </c>
      <c r="N477">
        <v>60.53</v>
      </c>
      <c r="O477">
        <v>2.86</v>
      </c>
      <c r="P477">
        <v>135.18</v>
      </c>
    </row>
    <row r="478" spans="1:16" x14ac:dyDescent="0.2">
      <c r="A478" t="s">
        <v>16</v>
      </c>
      <c r="C478" t="b">
        <v>1</v>
      </c>
      <c r="D478" t="s">
        <v>74</v>
      </c>
      <c r="E478" t="s">
        <v>24</v>
      </c>
      <c r="F478" t="b">
        <v>0</v>
      </c>
      <c r="G478">
        <v>1.58</v>
      </c>
      <c r="H478">
        <v>0.72</v>
      </c>
      <c r="I478">
        <v>3.53</v>
      </c>
      <c r="J478">
        <v>0.02</v>
      </c>
      <c r="K478">
        <v>1.28</v>
      </c>
      <c r="L478">
        <v>0.02</v>
      </c>
      <c r="M478">
        <v>0.04</v>
      </c>
      <c r="N478">
        <v>14.84</v>
      </c>
      <c r="O478">
        <v>0.7</v>
      </c>
      <c r="P478">
        <v>33.14</v>
      </c>
    </row>
    <row r="479" spans="1:16" x14ac:dyDescent="0.2">
      <c r="A479" t="s">
        <v>16</v>
      </c>
      <c r="C479" t="b">
        <v>1</v>
      </c>
      <c r="D479" t="s">
        <v>74</v>
      </c>
      <c r="E479" t="s">
        <v>25</v>
      </c>
      <c r="F479" t="b">
        <v>0</v>
      </c>
      <c r="G479">
        <v>8.2100000000000009</v>
      </c>
      <c r="H479">
        <v>3.76</v>
      </c>
      <c r="I479">
        <v>18.329999999999998</v>
      </c>
      <c r="J479">
        <v>0.45</v>
      </c>
      <c r="K479">
        <v>5.8</v>
      </c>
      <c r="L479">
        <v>0.26</v>
      </c>
      <c r="M479">
        <v>1</v>
      </c>
      <c r="N479">
        <v>129.63</v>
      </c>
      <c r="O479">
        <v>6.13</v>
      </c>
      <c r="P479">
        <v>289.5</v>
      </c>
    </row>
    <row r="480" spans="1:16" x14ac:dyDescent="0.2">
      <c r="A480" t="s">
        <v>16</v>
      </c>
      <c r="C480" t="b">
        <v>1</v>
      </c>
      <c r="D480" t="s">
        <v>74</v>
      </c>
      <c r="E480" t="s">
        <v>26</v>
      </c>
      <c r="F480" t="b">
        <v>1</v>
      </c>
      <c r="G480">
        <v>218.39</v>
      </c>
      <c r="H480">
        <v>100</v>
      </c>
      <c r="I480">
        <v>487.72</v>
      </c>
      <c r="J480">
        <v>-3.6</v>
      </c>
      <c r="K480">
        <v>-1.62</v>
      </c>
      <c r="L480">
        <v>0</v>
      </c>
      <c r="M480">
        <v>-8.0399999999999991</v>
      </c>
      <c r="N480">
        <v>2115.5</v>
      </c>
      <c r="O480">
        <v>100</v>
      </c>
      <c r="P480">
        <v>4724.4399999999996</v>
      </c>
    </row>
    <row r="481" spans="1:16" x14ac:dyDescent="0.2">
      <c r="A481" t="s">
        <v>16</v>
      </c>
      <c r="C481" t="b">
        <v>1</v>
      </c>
      <c r="D481" t="s">
        <v>74</v>
      </c>
      <c r="E481" t="s">
        <v>27</v>
      </c>
      <c r="F481" t="b">
        <v>0</v>
      </c>
      <c r="G481">
        <v>38.86</v>
      </c>
      <c r="H481">
        <v>17.79</v>
      </c>
      <c r="I481">
        <v>86.78</v>
      </c>
      <c r="J481">
        <v>9.19</v>
      </c>
      <c r="K481">
        <v>30.97</v>
      </c>
      <c r="L481">
        <v>4.42</v>
      </c>
      <c r="M481">
        <v>20.52</v>
      </c>
      <c r="N481">
        <v>312.13</v>
      </c>
      <c r="O481">
        <v>14.75</v>
      </c>
      <c r="P481">
        <v>697.06</v>
      </c>
    </row>
    <row r="482" spans="1:16" x14ac:dyDescent="0.2">
      <c r="A482" t="s">
        <v>16</v>
      </c>
      <c r="C482" t="b">
        <v>1</v>
      </c>
      <c r="D482" t="s">
        <v>75</v>
      </c>
      <c r="E482" t="s">
        <v>18</v>
      </c>
      <c r="F482" t="b">
        <v>0</v>
      </c>
      <c r="G482">
        <v>9.7799999999999994</v>
      </c>
      <c r="H482">
        <v>4.33</v>
      </c>
      <c r="I482">
        <v>21.84</v>
      </c>
      <c r="J482">
        <v>-0.23</v>
      </c>
      <c r="K482">
        <v>-2.2999999999999998</v>
      </c>
      <c r="L482">
        <v>0.03</v>
      </c>
      <c r="M482">
        <v>-0.51</v>
      </c>
      <c r="N482">
        <v>101.54</v>
      </c>
      <c r="O482">
        <v>4.34</v>
      </c>
      <c r="P482">
        <v>226.76</v>
      </c>
    </row>
    <row r="483" spans="1:16" x14ac:dyDescent="0.2">
      <c r="A483" t="s">
        <v>16</v>
      </c>
      <c r="C483" t="b">
        <v>1</v>
      </c>
      <c r="D483" t="s">
        <v>75</v>
      </c>
      <c r="E483" t="s">
        <v>19</v>
      </c>
      <c r="F483" t="b">
        <v>0</v>
      </c>
      <c r="G483">
        <v>35.43</v>
      </c>
      <c r="H483">
        <v>15.7</v>
      </c>
      <c r="I483">
        <v>79.12</v>
      </c>
      <c r="J483">
        <v>-4.1500000000000004</v>
      </c>
      <c r="K483">
        <v>-10.49</v>
      </c>
      <c r="L483">
        <v>-1.3</v>
      </c>
      <c r="M483">
        <v>-9.27</v>
      </c>
      <c r="N483">
        <v>300.91000000000003</v>
      </c>
      <c r="O483">
        <v>12.85</v>
      </c>
      <c r="P483">
        <v>672.01</v>
      </c>
    </row>
    <row r="484" spans="1:16" x14ac:dyDescent="0.2">
      <c r="A484" t="s">
        <v>16</v>
      </c>
      <c r="C484" t="b">
        <v>1</v>
      </c>
      <c r="D484" t="s">
        <v>75</v>
      </c>
      <c r="E484" t="s">
        <v>20</v>
      </c>
      <c r="F484" t="b">
        <v>0</v>
      </c>
      <c r="G484">
        <v>48.54</v>
      </c>
      <c r="H484">
        <v>21.5</v>
      </c>
      <c r="I484">
        <v>108.4</v>
      </c>
      <c r="J484">
        <v>0.08</v>
      </c>
      <c r="K484">
        <v>0.17</v>
      </c>
      <c r="L484">
        <v>0.68</v>
      </c>
      <c r="M484">
        <v>0.18</v>
      </c>
      <c r="N484">
        <v>476.7</v>
      </c>
      <c r="O484">
        <v>20.36</v>
      </c>
      <c r="P484">
        <v>1064.5899999999999</v>
      </c>
    </row>
    <row r="485" spans="1:16" x14ac:dyDescent="0.2">
      <c r="A485" t="s">
        <v>16</v>
      </c>
      <c r="C485" t="b">
        <v>1</v>
      </c>
      <c r="D485" t="s">
        <v>75</v>
      </c>
      <c r="E485" t="s">
        <v>21</v>
      </c>
      <c r="F485" t="b">
        <v>0</v>
      </c>
      <c r="G485">
        <v>27.24</v>
      </c>
      <c r="H485">
        <v>12.07</v>
      </c>
      <c r="I485">
        <v>60.83</v>
      </c>
      <c r="J485">
        <v>-2.12</v>
      </c>
      <c r="K485">
        <v>-7.22</v>
      </c>
      <c r="L485">
        <v>-0.54</v>
      </c>
      <c r="M485">
        <v>-4.7300000000000004</v>
      </c>
      <c r="N485">
        <v>311.39999999999998</v>
      </c>
      <c r="O485">
        <v>13.3</v>
      </c>
      <c r="P485">
        <v>695.43</v>
      </c>
    </row>
    <row r="486" spans="1:16" x14ac:dyDescent="0.2">
      <c r="A486" t="s">
        <v>16</v>
      </c>
      <c r="C486" t="b">
        <v>1</v>
      </c>
      <c r="D486" t="s">
        <v>75</v>
      </c>
      <c r="E486" t="s">
        <v>22</v>
      </c>
      <c r="F486" t="b">
        <v>0</v>
      </c>
      <c r="G486">
        <v>57.76</v>
      </c>
      <c r="H486">
        <v>25.59</v>
      </c>
      <c r="I486">
        <v>128.99</v>
      </c>
      <c r="J486">
        <v>-0.91</v>
      </c>
      <c r="K486">
        <v>-1.55</v>
      </c>
      <c r="L486">
        <v>0.39</v>
      </c>
      <c r="M486">
        <v>-2.0299999999999998</v>
      </c>
      <c r="N486">
        <v>586.57000000000005</v>
      </c>
      <c r="O486">
        <v>25.05</v>
      </c>
      <c r="P486">
        <v>1309.96</v>
      </c>
    </row>
    <row r="487" spans="1:16" x14ac:dyDescent="0.2">
      <c r="A487" t="s">
        <v>16</v>
      </c>
      <c r="C487" t="b">
        <v>1</v>
      </c>
      <c r="D487" t="s">
        <v>75</v>
      </c>
      <c r="E487" t="s">
        <v>23</v>
      </c>
      <c r="F487" t="b">
        <v>0</v>
      </c>
      <c r="G487">
        <v>6.46</v>
      </c>
      <c r="H487">
        <v>2.86</v>
      </c>
      <c r="I487">
        <v>14.43</v>
      </c>
      <c r="J487">
        <v>-0.45</v>
      </c>
      <c r="K487">
        <v>-6.51</v>
      </c>
      <c r="L487">
        <v>-0.11</v>
      </c>
      <c r="M487">
        <v>-1</v>
      </c>
      <c r="N487">
        <v>66.989999999999995</v>
      </c>
      <c r="O487">
        <v>2.86</v>
      </c>
      <c r="P487">
        <v>149.61000000000001</v>
      </c>
    </row>
    <row r="488" spans="1:16" x14ac:dyDescent="0.2">
      <c r="A488" t="s">
        <v>16</v>
      </c>
      <c r="C488" t="b">
        <v>1</v>
      </c>
      <c r="D488" t="s">
        <v>75</v>
      </c>
      <c r="E488" t="s">
        <v>24</v>
      </c>
      <c r="F488" t="b">
        <v>0</v>
      </c>
      <c r="G488">
        <v>1.56</v>
      </c>
      <c r="H488">
        <v>0.69</v>
      </c>
      <c r="I488">
        <v>3.48</v>
      </c>
      <c r="J488">
        <v>-0.02</v>
      </c>
      <c r="K488">
        <v>-1.27</v>
      </c>
      <c r="L488">
        <v>0.01</v>
      </c>
      <c r="M488">
        <v>-0.04</v>
      </c>
      <c r="N488">
        <v>16.399999999999999</v>
      </c>
      <c r="O488">
        <v>0.7</v>
      </c>
      <c r="P488">
        <v>36.630000000000003</v>
      </c>
    </row>
    <row r="489" spans="1:16" x14ac:dyDescent="0.2">
      <c r="A489" t="s">
        <v>16</v>
      </c>
      <c r="C489" t="b">
        <v>1</v>
      </c>
      <c r="D489" t="s">
        <v>75</v>
      </c>
      <c r="E489" t="s">
        <v>25</v>
      </c>
      <c r="F489" t="b">
        <v>0</v>
      </c>
      <c r="G489">
        <v>5.59</v>
      </c>
      <c r="H489">
        <v>2.48</v>
      </c>
      <c r="I489">
        <v>12.48</v>
      </c>
      <c r="J489">
        <v>1.75</v>
      </c>
      <c r="K489">
        <v>45.57</v>
      </c>
      <c r="L489">
        <v>0.83</v>
      </c>
      <c r="M489">
        <v>3.91</v>
      </c>
      <c r="N489">
        <v>135.22</v>
      </c>
      <c r="O489">
        <v>5.78</v>
      </c>
      <c r="P489">
        <v>301.98</v>
      </c>
    </row>
    <row r="490" spans="1:16" x14ac:dyDescent="0.2">
      <c r="A490" t="s">
        <v>16</v>
      </c>
      <c r="C490" t="b">
        <v>1</v>
      </c>
      <c r="D490" t="s">
        <v>75</v>
      </c>
      <c r="E490" t="s">
        <v>26</v>
      </c>
      <c r="F490" t="b">
        <v>1</v>
      </c>
      <c r="G490">
        <v>225.72</v>
      </c>
      <c r="H490">
        <v>100</v>
      </c>
      <c r="I490">
        <v>504.09</v>
      </c>
      <c r="J490">
        <v>-7.07</v>
      </c>
      <c r="K490">
        <v>-3.04</v>
      </c>
      <c r="L490">
        <v>0</v>
      </c>
      <c r="M490">
        <v>-15.79</v>
      </c>
      <c r="N490">
        <v>2341.2199999999998</v>
      </c>
      <c r="O490">
        <v>100</v>
      </c>
      <c r="P490">
        <v>5228.53</v>
      </c>
    </row>
    <row r="491" spans="1:16" x14ac:dyDescent="0.2">
      <c r="A491" t="s">
        <v>16</v>
      </c>
      <c r="C491" t="b">
        <v>1</v>
      </c>
      <c r="D491" t="s">
        <v>75</v>
      </c>
      <c r="E491" t="s">
        <v>27</v>
      </c>
      <c r="F491" t="b">
        <v>0</v>
      </c>
      <c r="G491">
        <v>33.36</v>
      </c>
      <c r="H491">
        <v>14.78</v>
      </c>
      <c r="I491">
        <v>74.5</v>
      </c>
      <c r="J491">
        <v>-1.02</v>
      </c>
      <c r="K491">
        <v>-2.97</v>
      </c>
      <c r="L491">
        <v>0.01</v>
      </c>
      <c r="M491">
        <v>-2.2799999999999998</v>
      </c>
      <c r="N491">
        <v>345.49</v>
      </c>
      <c r="O491">
        <v>14.76</v>
      </c>
      <c r="P491">
        <v>771.57</v>
      </c>
    </row>
    <row r="492" spans="1:16" x14ac:dyDescent="0.2">
      <c r="A492" t="s">
        <v>16</v>
      </c>
      <c r="C492" t="b">
        <v>1</v>
      </c>
      <c r="D492" t="s">
        <v>76</v>
      </c>
      <c r="E492" t="s">
        <v>18</v>
      </c>
      <c r="F492" t="b">
        <v>0</v>
      </c>
      <c r="G492">
        <v>10.79</v>
      </c>
      <c r="H492">
        <v>4.47</v>
      </c>
      <c r="I492">
        <v>24.1</v>
      </c>
      <c r="J492">
        <v>0.28999999999999998</v>
      </c>
      <c r="K492">
        <v>2.76</v>
      </c>
      <c r="L492">
        <v>0.1</v>
      </c>
      <c r="M492">
        <v>0.65</v>
      </c>
      <c r="N492">
        <v>112.33</v>
      </c>
      <c r="O492">
        <v>4.3499999999999996</v>
      </c>
      <c r="P492">
        <v>250.86</v>
      </c>
    </row>
    <row r="493" spans="1:16" x14ac:dyDescent="0.2">
      <c r="A493" t="s">
        <v>16</v>
      </c>
      <c r="C493" t="b">
        <v>1</v>
      </c>
      <c r="D493" t="s">
        <v>76</v>
      </c>
      <c r="E493" t="s">
        <v>19</v>
      </c>
      <c r="F493" t="b">
        <v>0</v>
      </c>
      <c r="G493">
        <v>34.979999999999997</v>
      </c>
      <c r="H493">
        <v>14.49</v>
      </c>
      <c r="I493">
        <v>78.12</v>
      </c>
      <c r="J493">
        <v>0.4</v>
      </c>
      <c r="K493">
        <v>1.1599999999999999</v>
      </c>
      <c r="L493">
        <v>0.11</v>
      </c>
      <c r="M493">
        <v>0.89</v>
      </c>
      <c r="N493">
        <v>335.89</v>
      </c>
      <c r="O493">
        <v>13.01</v>
      </c>
      <c r="P493">
        <v>750.13</v>
      </c>
    </row>
    <row r="494" spans="1:16" x14ac:dyDescent="0.2">
      <c r="A494" t="s">
        <v>16</v>
      </c>
      <c r="C494" t="b">
        <v>1</v>
      </c>
      <c r="D494" t="s">
        <v>76</v>
      </c>
      <c r="E494" t="s">
        <v>20</v>
      </c>
      <c r="F494" t="b">
        <v>0</v>
      </c>
      <c r="G494">
        <v>50.07</v>
      </c>
      <c r="H494">
        <v>20.74</v>
      </c>
      <c r="I494">
        <v>111.82</v>
      </c>
      <c r="J494">
        <v>7.16</v>
      </c>
      <c r="K494">
        <v>16.690000000000001</v>
      </c>
      <c r="L494">
        <v>2.89</v>
      </c>
      <c r="M494">
        <v>15.99</v>
      </c>
      <c r="N494">
        <v>526.77</v>
      </c>
      <c r="O494">
        <v>20.399999999999999</v>
      </c>
      <c r="P494">
        <v>1176.4100000000001</v>
      </c>
    </row>
    <row r="495" spans="1:16" x14ac:dyDescent="0.2">
      <c r="A495" t="s">
        <v>16</v>
      </c>
      <c r="C495" t="b">
        <v>1</v>
      </c>
      <c r="D495" t="s">
        <v>76</v>
      </c>
      <c r="E495" t="s">
        <v>21</v>
      </c>
      <c r="F495" t="b">
        <v>0</v>
      </c>
      <c r="G495">
        <v>30.12</v>
      </c>
      <c r="H495">
        <v>12.47</v>
      </c>
      <c r="I495">
        <v>67.27</v>
      </c>
      <c r="J495">
        <v>-3.72</v>
      </c>
      <c r="K495">
        <v>-10.99</v>
      </c>
      <c r="L495">
        <v>-1.6</v>
      </c>
      <c r="M495">
        <v>-8.31</v>
      </c>
      <c r="N495">
        <v>341.52</v>
      </c>
      <c r="O495">
        <v>13.22</v>
      </c>
      <c r="P495">
        <v>762.7</v>
      </c>
    </row>
    <row r="496" spans="1:16" x14ac:dyDescent="0.2">
      <c r="A496" t="s">
        <v>16</v>
      </c>
      <c r="C496" t="b">
        <v>1</v>
      </c>
      <c r="D496" t="s">
        <v>76</v>
      </c>
      <c r="E496" t="s">
        <v>22</v>
      </c>
      <c r="F496" t="b">
        <v>0</v>
      </c>
      <c r="G496">
        <v>63.96</v>
      </c>
      <c r="H496">
        <v>26.49</v>
      </c>
      <c r="I496">
        <v>142.84</v>
      </c>
      <c r="J496">
        <v>-0.35</v>
      </c>
      <c r="K496">
        <v>-0.54</v>
      </c>
      <c r="L496">
        <v>-0.26</v>
      </c>
      <c r="M496">
        <v>-0.78</v>
      </c>
      <c r="N496">
        <v>650.53</v>
      </c>
      <c r="O496">
        <v>25.19</v>
      </c>
      <c r="P496">
        <v>1452.8</v>
      </c>
    </row>
    <row r="497" spans="1:16" x14ac:dyDescent="0.2">
      <c r="A497" t="s">
        <v>16</v>
      </c>
      <c r="C497" t="b">
        <v>1</v>
      </c>
      <c r="D497" t="s">
        <v>76</v>
      </c>
      <c r="E497" t="s">
        <v>23</v>
      </c>
      <c r="F497" t="b">
        <v>0</v>
      </c>
      <c r="G497">
        <v>6.61</v>
      </c>
      <c r="H497">
        <v>2.74</v>
      </c>
      <c r="I497">
        <v>14.76</v>
      </c>
      <c r="J497">
        <v>-0.34</v>
      </c>
      <c r="K497">
        <v>-4.8899999999999997</v>
      </c>
      <c r="L497">
        <v>-0.15</v>
      </c>
      <c r="M497">
        <v>-0.76</v>
      </c>
      <c r="N497">
        <v>73.599999999999994</v>
      </c>
      <c r="O497">
        <v>2.85</v>
      </c>
      <c r="P497">
        <v>164.37</v>
      </c>
    </row>
    <row r="498" spans="1:16" x14ac:dyDescent="0.2">
      <c r="A498" t="s">
        <v>16</v>
      </c>
      <c r="C498" t="b">
        <v>1</v>
      </c>
      <c r="D498" t="s">
        <v>76</v>
      </c>
      <c r="E498" t="s">
        <v>24</v>
      </c>
      <c r="F498" t="b">
        <v>0</v>
      </c>
      <c r="G498">
        <v>1.64</v>
      </c>
      <c r="H498">
        <v>0.68</v>
      </c>
      <c r="I498">
        <v>3.66</v>
      </c>
      <c r="J498">
        <v>0</v>
      </c>
      <c r="K498">
        <v>0</v>
      </c>
      <c r="L498">
        <v>0</v>
      </c>
      <c r="M498">
        <v>0</v>
      </c>
      <c r="N498">
        <v>18.04</v>
      </c>
      <c r="O498">
        <v>0.7</v>
      </c>
      <c r="P498">
        <v>40.29</v>
      </c>
    </row>
    <row r="499" spans="1:16" x14ac:dyDescent="0.2">
      <c r="A499" t="s">
        <v>16</v>
      </c>
      <c r="C499" t="b">
        <v>1</v>
      </c>
      <c r="D499" t="s">
        <v>76</v>
      </c>
      <c r="E499" t="s">
        <v>25</v>
      </c>
      <c r="F499" t="b">
        <v>0</v>
      </c>
      <c r="G499">
        <v>3.39</v>
      </c>
      <c r="H499">
        <v>1.4</v>
      </c>
      <c r="I499">
        <v>7.57</v>
      </c>
      <c r="J499">
        <v>-0.18</v>
      </c>
      <c r="K499">
        <v>-5.04</v>
      </c>
      <c r="L499">
        <v>-0.08</v>
      </c>
      <c r="M499">
        <v>-0.4</v>
      </c>
      <c r="N499">
        <v>138.61000000000001</v>
      </c>
      <c r="O499">
        <v>5.37</v>
      </c>
      <c r="P499">
        <v>309.55</v>
      </c>
    </row>
    <row r="500" spans="1:16" x14ac:dyDescent="0.2">
      <c r="A500" t="s">
        <v>16</v>
      </c>
      <c r="C500" t="b">
        <v>1</v>
      </c>
      <c r="D500" t="s">
        <v>76</v>
      </c>
      <c r="E500" t="s">
        <v>26</v>
      </c>
      <c r="F500" t="b">
        <v>1</v>
      </c>
      <c r="G500">
        <v>241.47</v>
      </c>
      <c r="H500">
        <v>100</v>
      </c>
      <c r="I500">
        <v>539.26</v>
      </c>
      <c r="J500">
        <v>1.02</v>
      </c>
      <c r="K500">
        <v>0.42</v>
      </c>
      <c r="L500">
        <v>0</v>
      </c>
      <c r="M500">
        <v>2.2799999999999998</v>
      </c>
      <c r="N500">
        <v>2582.69</v>
      </c>
      <c r="O500">
        <v>100</v>
      </c>
      <c r="P500">
        <v>5767.8</v>
      </c>
    </row>
    <row r="501" spans="1:16" x14ac:dyDescent="0.2">
      <c r="A501" t="s">
        <v>16</v>
      </c>
      <c r="C501" t="b">
        <v>1</v>
      </c>
      <c r="D501" t="s">
        <v>76</v>
      </c>
      <c r="E501" t="s">
        <v>27</v>
      </c>
      <c r="F501" t="b">
        <v>0</v>
      </c>
      <c r="G501">
        <v>39.909999999999997</v>
      </c>
      <c r="H501">
        <v>16.53</v>
      </c>
      <c r="I501">
        <v>89.13</v>
      </c>
      <c r="J501">
        <v>-2.2400000000000002</v>
      </c>
      <c r="K501">
        <v>-5.31</v>
      </c>
      <c r="L501">
        <v>-1</v>
      </c>
      <c r="M501">
        <v>-5</v>
      </c>
      <c r="N501">
        <v>385.4</v>
      </c>
      <c r="O501">
        <v>14.92</v>
      </c>
      <c r="P501">
        <v>860.7</v>
      </c>
    </row>
    <row r="502" spans="1:16" x14ac:dyDescent="0.2">
      <c r="A502" t="s">
        <v>16</v>
      </c>
      <c r="C502" t="b">
        <v>1</v>
      </c>
      <c r="D502" t="s">
        <v>77</v>
      </c>
      <c r="E502" t="s">
        <v>18</v>
      </c>
      <c r="F502" t="b">
        <v>0</v>
      </c>
      <c r="G502">
        <v>11.37</v>
      </c>
      <c r="H502">
        <v>4.43</v>
      </c>
      <c r="I502">
        <v>25.4</v>
      </c>
      <c r="J502">
        <v>0.97</v>
      </c>
      <c r="K502">
        <v>9.33</v>
      </c>
      <c r="L502">
        <v>0.34</v>
      </c>
      <c r="M502">
        <v>2.17</v>
      </c>
      <c r="N502">
        <v>11.37</v>
      </c>
      <c r="O502">
        <v>4.43</v>
      </c>
      <c r="P502">
        <v>25.4</v>
      </c>
    </row>
    <row r="503" spans="1:16" x14ac:dyDescent="0.2">
      <c r="A503" t="s">
        <v>16</v>
      </c>
      <c r="C503" t="b">
        <v>1</v>
      </c>
      <c r="D503" t="s">
        <v>77</v>
      </c>
      <c r="E503" t="s">
        <v>19</v>
      </c>
      <c r="F503" t="b">
        <v>0</v>
      </c>
      <c r="G503">
        <v>39.81</v>
      </c>
      <c r="H503">
        <v>15.5</v>
      </c>
      <c r="I503">
        <v>88.92</v>
      </c>
      <c r="J503">
        <v>4.5</v>
      </c>
      <c r="K503">
        <v>12.74</v>
      </c>
      <c r="L503">
        <v>1.61</v>
      </c>
      <c r="M503">
        <v>10.050000000000001</v>
      </c>
      <c r="N503">
        <v>39.81</v>
      </c>
      <c r="O503">
        <v>15.5</v>
      </c>
      <c r="P503">
        <v>88.92</v>
      </c>
    </row>
    <row r="504" spans="1:16" x14ac:dyDescent="0.2">
      <c r="A504" t="s">
        <v>16</v>
      </c>
      <c r="C504" t="b">
        <v>1</v>
      </c>
      <c r="D504" t="s">
        <v>77</v>
      </c>
      <c r="E504" t="s">
        <v>20</v>
      </c>
      <c r="F504" t="b">
        <v>0</v>
      </c>
      <c r="G504">
        <v>52.18</v>
      </c>
      <c r="H504">
        <v>20.32</v>
      </c>
      <c r="I504">
        <v>116.55</v>
      </c>
      <c r="J504">
        <v>-3.87</v>
      </c>
      <c r="K504">
        <v>-6.9</v>
      </c>
      <c r="L504">
        <v>-1.72</v>
      </c>
      <c r="M504">
        <v>-8.64</v>
      </c>
      <c r="N504">
        <v>52.18</v>
      </c>
      <c r="O504">
        <v>20.32</v>
      </c>
      <c r="P504">
        <v>116.55</v>
      </c>
    </row>
    <row r="505" spans="1:16" x14ac:dyDescent="0.2">
      <c r="A505" t="s">
        <v>16</v>
      </c>
      <c r="C505" t="b">
        <v>1</v>
      </c>
      <c r="D505" t="s">
        <v>77</v>
      </c>
      <c r="E505" t="s">
        <v>21</v>
      </c>
      <c r="F505" t="b">
        <v>0</v>
      </c>
      <c r="G505">
        <v>34.729999999999997</v>
      </c>
      <c r="H505">
        <v>13.52</v>
      </c>
      <c r="I505">
        <v>77.569999999999993</v>
      </c>
      <c r="J505">
        <v>5.3</v>
      </c>
      <c r="K505">
        <v>18.010000000000002</v>
      </c>
      <c r="L505">
        <v>1.95</v>
      </c>
      <c r="M505">
        <v>11.84</v>
      </c>
      <c r="N505">
        <v>34.729999999999997</v>
      </c>
      <c r="O505">
        <v>13.52</v>
      </c>
      <c r="P505">
        <v>77.569999999999993</v>
      </c>
    </row>
    <row r="506" spans="1:16" x14ac:dyDescent="0.2">
      <c r="A506" t="s">
        <v>16</v>
      </c>
      <c r="C506" t="b">
        <v>1</v>
      </c>
      <c r="D506" t="s">
        <v>77</v>
      </c>
      <c r="E506" t="s">
        <v>22</v>
      </c>
      <c r="F506" t="b">
        <v>0</v>
      </c>
      <c r="G506">
        <v>67.98</v>
      </c>
      <c r="H506">
        <v>26.47</v>
      </c>
      <c r="I506">
        <v>151.84</v>
      </c>
      <c r="J506">
        <v>-0.06</v>
      </c>
      <c r="K506">
        <v>-0.09</v>
      </c>
      <c r="L506">
        <v>-0.28999999999999998</v>
      </c>
      <c r="M506">
        <v>-0.13</v>
      </c>
      <c r="N506">
        <v>67.98</v>
      </c>
      <c r="O506">
        <v>26.47</v>
      </c>
      <c r="P506">
        <v>151.84</v>
      </c>
    </row>
    <row r="507" spans="1:16" x14ac:dyDescent="0.2">
      <c r="A507" t="s">
        <v>16</v>
      </c>
      <c r="C507" t="b">
        <v>1</v>
      </c>
      <c r="D507" t="s">
        <v>77</v>
      </c>
      <c r="E507" t="s">
        <v>23</v>
      </c>
      <c r="F507" t="b">
        <v>0</v>
      </c>
      <c r="G507">
        <v>6.84</v>
      </c>
      <c r="H507">
        <v>2.66</v>
      </c>
      <c r="I507">
        <v>15.28</v>
      </c>
      <c r="J507">
        <v>-0.06</v>
      </c>
      <c r="K507">
        <v>-0.87</v>
      </c>
      <c r="L507">
        <v>-0.05</v>
      </c>
      <c r="M507">
        <v>-0.13</v>
      </c>
      <c r="N507">
        <v>6.84</v>
      </c>
      <c r="O507">
        <v>2.66</v>
      </c>
      <c r="P507">
        <v>15.28</v>
      </c>
    </row>
    <row r="508" spans="1:16" x14ac:dyDescent="0.2">
      <c r="A508" t="s">
        <v>16</v>
      </c>
      <c r="C508" t="b">
        <v>1</v>
      </c>
      <c r="D508" t="s">
        <v>77</v>
      </c>
      <c r="E508" t="s">
        <v>24</v>
      </c>
      <c r="F508" t="b">
        <v>0</v>
      </c>
      <c r="G508">
        <v>1.69</v>
      </c>
      <c r="H508">
        <v>0.66</v>
      </c>
      <c r="I508">
        <v>3.77</v>
      </c>
      <c r="J508">
        <v>0.05</v>
      </c>
      <c r="K508">
        <v>3.05</v>
      </c>
      <c r="L508">
        <v>0.02</v>
      </c>
      <c r="M508">
        <v>0.11</v>
      </c>
      <c r="N508">
        <v>1.69</v>
      </c>
      <c r="O508">
        <v>0.66</v>
      </c>
      <c r="P508">
        <v>3.77</v>
      </c>
    </row>
    <row r="509" spans="1:16" x14ac:dyDescent="0.2">
      <c r="A509" t="s">
        <v>16</v>
      </c>
      <c r="C509" t="b">
        <v>1</v>
      </c>
      <c r="D509" t="s">
        <v>77</v>
      </c>
      <c r="E509" t="s">
        <v>25</v>
      </c>
      <c r="F509" t="b">
        <v>0</v>
      </c>
      <c r="G509">
        <v>4.08</v>
      </c>
      <c r="H509">
        <v>1.59</v>
      </c>
      <c r="I509">
        <v>9.11</v>
      </c>
      <c r="J509">
        <v>-0.38</v>
      </c>
      <c r="K509">
        <v>-8.52</v>
      </c>
      <c r="L509">
        <v>-0.16</v>
      </c>
      <c r="M509">
        <v>-0.85</v>
      </c>
      <c r="N509">
        <v>4.08</v>
      </c>
      <c r="O509">
        <v>1.59</v>
      </c>
      <c r="P509">
        <v>9.11</v>
      </c>
    </row>
    <row r="510" spans="1:16" x14ac:dyDescent="0.2">
      <c r="A510" t="s">
        <v>16</v>
      </c>
      <c r="C510" t="b">
        <v>1</v>
      </c>
      <c r="D510" t="s">
        <v>77</v>
      </c>
      <c r="E510" t="s">
        <v>26</v>
      </c>
      <c r="F510" t="b">
        <v>1</v>
      </c>
      <c r="G510">
        <v>256.83</v>
      </c>
      <c r="H510">
        <v>100</v>
      </c>
      <c r="I510">
        <v>573.66</v>
      </c>
      <c r="J510">
        <v>2.5299999999999998</v>
      </c>
      <c r="K510">
        <v>0.99</v>
      </c>
      <c r="L510">
        <v>0</v>
      </c>
      <c r="M510">
        <v>5.65</v>
      </c>
      <c r="N510">
        <v>256.83</v>
      </c>
      <c r="O510">
        <v>100</v>
      </c>
      <c r="P510">
        <v>573.66</v>
      </c>
    </row>
    <row r="511" spans="1:16" x14ac:dyDescent="0.2">
      <c r="A511" t="s">
        <v>16</v>
      </c>
      <c r="C511" t="b">
        <v>1</v>
      </c>
      <c r="D511" t="s">
        <v>77</v>
      </c>
      <c r="E511" t="s">
        <v>27</v>
      </c>
      <c r="F511" t="b">
        <v>0</v>
      </c>
      <c r="G511">
        <v>38.15</v>
      </c>
      <c r="H511">
        <v>14.85</v>
      </c>
      <c r="I511">
        <v>85.21</v>
      </c>
      <c r="J511">
        <v>-3.92</v>
      </c>
      <c r="K511">
        <v>-9.32</v>
      </c>
      <c r="L511">
        <v>-1.69</v>
      </c>
      <c r="M511">
        <v>-8.76</v>
      </c>
      <c r="N511">
        <v>38.15</v>
      </c>
      <c r="O511">
        <v>14.85</v>
      </c>
      <c r="P511">
        <v>85.21</v>
      </c>
    </row>
    <row r="512" spans="1:16" x14ac:dyDescent="0.2">
      <c r="A512" t="s">
        <v>16</v>
      </c>
      <c r="C512" t="b">
        <v>1</v>
      </c>
      <c r="D512" t="s">
        <v>78</v>
      </c>
      <c r="E512" t="s">
        <v>18</v>
      </c>
      <c r="F512" t="b">
        <v>0</v>
      </c>
      <c r="G512">
        <v>10.220000000000001</v>
      </c>
      <c r="H512">
        <v>4.45</v>
      </c>
      <c r="I512">
        <v>22.83</v>
      </c>
      <c r="J512">
        <v>0.95</v>
      </c>
      <c r="K512">
        <v>10.25</v>
      </c>
      <c r="L512">
        <v>0.51</v>
      </c>
      <c r="M512">
        <v>2.12</v>
      </c>
      <c r="N512">
        <v>21.59</v>
      </c>
      <c r="O512">
        <v>4.4400000000000004</v>
      </c>
      <c r="P512">
        <v>48.22</v>
      </c>
    </row>
    <row r="513" spans="1:16" x14ac:dyDescent="0.2">
      <c r="A513" t="s">
        <v>16</v>
      </c>
      <c r="C513" t="b">
        <v>1</v>
      </c>
      <c r="D513" t="s">
        <v>78</v>
      </c>
      <c r="E513" t="s">
        <v>19</v>
      </c>
      <c r="F513" t="b">
        <v>0</v>
      </c>
      <c r="G513">
        <v>31.25</v>
      </c>
      <c r="H513">
        <v>13.62</v>
      </c>
      <c r="I513">
        <v>69.8</v>
      </c>
      <c r="J513">
        <v>3.88</v>
      </c>
      <c r="K513">
        <v>14.18</v>
      </c>
      <c r="L513">
        <v>1.98</v>
      </c>
      <c r="M513">
        <v>8.67</v>
      </c>
      <c r="N513">
        <v>71.06</v>
      </c>
      <c r="O513">
        <v>14.61</v>
      </c>
      <c r="P513">
        <v>158.72</v>
      </c>
    </row>
    <row r="514" spans="1:16" x14ac:dyDescent="0.2">
      <c r="A514" t="s">
        <v>16</v>
      </c>
      <c r="C514" t="b">
        <v>1</v>
      </c>
      <c r="D514" t="s">
        <v>78</v>
      </c>
      <c r="E514" t="s">
        <v>20</v>
      </c>
      <c r="F514" t="b">
        <v>0</v>
      </c>
      <c r="G514">
        <v>42.3</v>
      </c>
      <c r="H514">
        <v>18.440000000000001</v>
      </c>
      <c r="I514">
        <v>94.48</v>
      </c>
      <c r="J514">
        <v>-3.01</v>
      </c>
      <c r="K514">
        <v>-6.64</v>
      </c>
      <c r="L514">
        <v>-0.82</v>
      </c>
      <c r="M514">
        <v>-6.72</v>
      </c>
      <c r="N514">
        <v>94.48</v>
      </c>
      <c r="O514">
        <v>19.43</v>
      </c>
      <c r="P514">
        <v>211.03</v>
      </c>
    </row>
    <row r="515" spans="1:16" x14ac:dyDescent="0.2">
      <c r="A515" t="s">
        <v>16</v>
      </c>
      <c r="C515" t="b">
        <v>1</v>
      </c>
      <c r="D515" t="s">
        <v>78</v>
      </c>
      <c r="E515" t="s">
        <v>21</v>
      </c>
      <c r="F515" t="b">
        <v>0</v>
      </c>
      <c r="G515">
        <v>35</v>
      </c>
      <c r="H515">
        <v>15.25</v>
      </c>
      <c r="I515">
        <v>78.180000000000007</v>
      </c>
      <c r="J515">
        <v>6.38</v>
      </c>
      <c r="K515">
        <v>22.29</v>
      </c>
      <c r="L515">
        <v>3.08</v>
      </c>
      <c r="M515">
        <v>14.25</v>
      </c>
      <c r="N515">
        <v>69.73</v>
      </c>
      <c r="O515">
        <v>14.34</v>
      </c>
      <c r="P515">
        <v>155.75</v>
      </c>
    </row>
    <row r="516" spans="1:16" x14ac:dyDescent="0.2">
      <c r="A516" t="s">
        <v>16</v>
      </c>
      <c r="C516" t="b">
        <v>1</v>
      </c>
      <c r="D516" t="s">
        <v>78</v>
      </c>
      <c r="E516" t="s">
        <v>22</v>
      </c>
      <c r="F516" t="b">
        <v>0</v>
      </c>
      <c r="G516">
        <v>58.64</v>
      </c>
      <c r="H516">
        <v>25.56</v>
      </c>
      <c r="I516">
        <v>130.97999999999999</v>
      </c>
      <c r="J516">
        <v>-1.94</v>
      </c>
      <c r="K516">
        <v>-3.2</v>
      </c>
      <c r="L516">
        <v>-0.2</v>
      </c>
      <c r="M516">
        <v>-4.33</v>
      </c>
      <c r="N516">
        <v>126.62</v>
      </c>
      <c r="O516">
        <v>26.04</v>
      </c>
      <c r="P516">
        <v>282.82</v>
      </c>
    </row>
    <row r="517" spans="1:16" x14ac:dyDescent="0.2">
      <c r="A517" t="s">
        <v>16</v>
      </c>
      <c r="C517" t="b">
        <v>1</v>
      </c>
      <c r="D517" t="s">
        <v>78</v>
      </c>
      <c r="E517" t="s">
        <v>23</v>
      </c>
      <c r="F517" t="b">
        <v>0</v>
      </c>
      <c r="G517">
        <v>6.2</v>
      </c>
      <c r="H517">
        <v>2.7</v>
      </c>
      <c r="I517">
        <v>13.85</v>
      </c>
      <c r="J517">
        <v>-0.17</v>
      </c>
      <c r="K517">
        <v>-2.67</v>
      </c>
      <c r="L517">
        <v>-0.01</v>
      </c>
      <c r="M517">
        <v>-0.38</v>
      </c>
      <c r="N517">
        <v>13.04</v>
      </c>
      <c r="O517">
        <v>2.68</v>
      </c>
      <c r="P517">
        <v>29.13</v>
      </c>
    </row>
    <row r="518" spans="1:16" x14ac:dyDescent="0.2">
      <c r="A518" t="s">
        <v>16</v>
      </c>
      <c r="C518" t="b">
        <v>1</v>
      </c>
      <c r="D518" t="s">
        <v>78</v>
      </c>
      <c r="E518" t="s">
        <v>24</v>
      </c>
      <c r="F518" t="b">
        <v>0</v>
      </c>
      <c r="G518">
        <v>1.48</v>
      </c>
      <c r="H518">
        <v>0.65</v>
      </c>
      <c r="I518">
        <v>3.31</v>
      </c>
      <c r="J518">
        <v>-0.01</v>
      </c>
      <c r="K518">
        <v>-0.67</v>
      </c>
      <c r="L518">
        <v>0.02</v>
      </c>
      <c r="M518">
        <v>-0.02</v>
      </c>
      <c r="N518">
        <v>3.17</v>
      </c>
      <c r="O518">
        <v>0.65</v>
      </c>
      <c r="P518">
        <v>7.08</v>
      </c>
    </row>
    <row r="519" spans="1:16" x14ac:dyDescent="0.2">
      <c r="A519" t="s">
        <v>16</v>
      </c>
      <c r="C519" t="b">
        <v>1</v>
      </c>
      <c r="D519" t="s">
        <v>78</v>
      </c>
      <c r="E519" t="s">
        <v>25</v>
      </c>
      <c r="F519" t="b">
        <v>0</v>
      </c>
      <c r="G519">
        <v>7.29</v>
      </c>
      <c r="H519">
        <v>3.18</v>
      </c>
      <c r="I519">
        <v>16.28</v>
      </c>
      <c r="J519">
        <v>0.56000000000000005</v>
      </c>
      <c r="K519">
        <v>8.32</v>
      </c>
      <c r="L519">
        <v>0.32</v>
      </c>
      <c r="M519">
        <v>1.25</v>
      </c>
      <c r="N519">
        <v>11.37</v>
      </c>
      <c r="O519">
        <v>2.34</v>
      </c>
      <c r="P519">
        <v>25.4</v>
      </c>
    </row>
    <row r="520" spans="1:16" x14ac:dyDescent="0.2">
      <c r="A520" t="s">
        <v>16</v>
      </c>
      <c r="C520" t="b">
        <v>1</v>
      </c>
      <c r="D520" t="s">
        <v>78</v>
      </c>
      <c r="E520" t="s">
        <v>26</v>
      </c>
      <c r="F520" t="b">
        <v>1</v>
      </c>
      <c r="G520">
        <v>229.44</v>
      </c>
      <c r="H520">
        <v>100</v>
      </c>
      <c r="I520">
        <v>512.48</v>
      </c>
      <c r="J520">
        <v>-5.77</v>
      </c>
      <c r="K520">
        <v>-2.4500000000000002</v>
      </c>
      <c r="L520">
        <v>0</v>
      </c>
      <c r="M520">
        <v>-12.89</v>
      </c>
      <c r="N520">
        <v>486.27</v>
      </c>
      <c r="O520">
        <v>100</v>
      </c>
      <c r="P520">
        <v>1086.1400000000001</v>
      </c>
    </row>
    <row r="521" spans="1:16" x14ac:dyDescent="0.2">
      <c r="A521" t="s">
        <v>16</v>
      </c>
      <c r="C521" t="b">
        <v>1</v>
      </c>
      <c r="D521" t="s">
        <v>78</v>
      </c>
      <c r="E521" t="s">
        <v>27</v>
      </c>
      <c r="F521" t="b">
        <v>0</v>
      </c>
      <c r="G521">
        <v>37.06</v>
      </c>
      <c r="H521">
        <v>16.149999999999999</v>
      </c>
      <c r="I521">
        <v>82.78</v>
      </c>
      <c r="J521">
        <v>-12.41</v>
      </c>
      <c r="K521">
        <v>-25.09</v>
      </c>
      <c r="L521">
        <v>-4.88</v>
      </c>
      <c r="M521">
        <v>-27.72</v>
      </c>
      <c r="N521">
        <v>75.209999999999994</v>
      </c>
      <c r="O521">
        <v>15.47</v>
      </c>
      <c r="P521">
        <v>167.99</v>
      </c>
    </row>
    <row r="522" spans="1:16" x14ac:dyDescent="0.2">
      <c r="A522" t="s">
        <v>16</v>
      </c>
      <c r="C522" t="b">
        <v>1</v>
      </c>
      <c r="D522" t="s">
        <v>79</v>
      </c>
      <c r="E522" t="s">
        <v>18</v>
      </c>
      <c r="F522" t="b">
        <v>0</v>
      </c>
      <c r="G522">
        <v>10.66</v>
      </c>
      <c r="H522">
        <v>4.4400000000000004</v>
      </c>
      <c r="I522">
        <v>23.81</v>
      </c>
      <c r="J522">
        <v>0.53</v>
      </c>
      <c r="K522">
        <v>5.23</v>
      </c>
      <c r="L522">
        <v>0.06</v>
      </c>
      <c r="M522">
        <v>1.18</v>
      </c>
      <c r="N522">
        <v>32.25</v>
      </c>
      <c r="O522">
        <v>4.4400000000000004</v>
      </c>
      <c r="P522">
        <v>72.03</v>
      </c>
    </row>
    <row r="523" spans="1:16" x14ac:dyDescent="0.2">
      <c r="A523" t="s">
        <v>16</v>
      </c>
      <c r="C523" t="b">
        <v>1</v>
      </c>
      <c r="D523" t="s">
        <v>79</v>
      </c>
      <c r="E523" t="s">
        <v>19</v>
      </c>
      <c r="F523" t="b">
        <v>0</v>
      </c>
      <c r="G523">
        <v>31.75</v>
      </c>
      <c r="H523">
        <v>13.23</v>
      </c>
      <c r="I523">
        <v>70.92</v>
      </c>
      <c r="J523">
        <v>3.87</v>
      </c>
      <c r="K523">
        <v>13.88</v>
      </c>
      <c r="L523">
        <v>1.17</v>
      </c>
      <c r="M523">
        <v>8.64</v>
      </c>
      <c r="N523">
        <v>102.81</v>
      </c>
      <c r="O523">
        <v>14.16</v>
      </c>
      <c r="P523">
        <v>229.64</v>
      </c>
    </row>
    <row r="524" spans="1:16" x14ac:dyDescent="0.2">
      <c r="A524" t="s">
        <v>16</v>
      </c>
      <c r="C524" t="b">
        <v>1</v>
      </c>
      <c r="D524" t="s">
        <v>79</v>
      </c>
      <c r="E524" t="s">
        <v>20</v>
      </c>
      <c r="F524" t="b">
        <v>0</v>
      </c>
      <c r="G524">
        <v>46.72</v>
      </c>
      <c r="H524">
        <v>19.47</v>
      </c>
      <c r="I524">
        <v>104.35</v>
      </c>
      <c r="J524">
        <v>5.22</v>
      </c>
      <c r="K524">
        <v>12.58</v>
      </c>
      <c r="L524">
        <v>1.52</v>
      </c>
      <c r="M524">
        <v>11.66</v>
      </c>
      <c r="N524">
        <v>141.19999999999999</v>
      </c>
      <c r="O524">
        <v>19.440000000000001</v>
      </c>
      <c r="P524">
        <v>315.39</v>
      </c>
    </row>
    <row r="525" spans="1:16" x14ac:dyDescent="0.2">
      <c r="A525" t="s">
        <v>16</v>
      </c>
      <c r="C525" t="b">
        <v>1</v>
      </c>
      <c r="D525" t="s">
        <v>79</v>
      </c>
      <c r="E525" t="s">
        <v>21</v>
      </c>
      <c r="F525" t="b">
        <v>0</v>
      </c>
      <c r="G525">
        <v>30.55</v>
      </c>
      <c r="H525">
        <v>12.73</v>
      </c>
      <c r="I525">
        <v>68.239999999999995</v>
      </c>
      <c r="J525">
        <v>-1.21</v>
      </c>
      <c r="K525">
        <v>-3.81</v>
      </c>
      <c r="L525">
        <v>-1.01</v>
      </c>
      <c r="M525">
        <v>-2.7</v>
      </c>
      <c r="N525">
        <v>100.28</v>
      </c>
      <c r="O525">
        <v>13.81</v>
      </c>
      <c r="P525">
        <v>223.99</v>
      </c>
    </row>
    <row r="526" spans="1:16" x14ac:dyDescent="0.2">
      <c r="A526" t="s">
        <v>16</v>
      </c>
      <c r="C526" t="b">
        <v>1</v>
      </c>
      <c r="D526" t="s">
        <v>79</v>
      </c>
      <c r="E526" t="s">
        <v>22</v>
      </c>
      <c r="F526" t="b">
        <v>0</v>
      </c>
      <c r="G526">
        <v>62.14</v>
      </c>
      <c r="H526">
        <v>25.9</v>
      </c>
      <c r="I526">
        <v>138.80000000000001</v>
      </c>
      <c r="J526">
        <v>2.29</v>
      </c>
      <c r="K526">
        <v>3.83</v>
      </c>
      <c r="L526">
        <v>0.02</v>
      </c>
      <c r="M526">
        <v>5.1100000000000003</v>
      </c>
      <c r="N526">
        <v>188.76</v>
      </c>
      <c r="O526">
        <v>25.99</v>
      </c>
      <c r="P526">
        <v>421.62</v>
      </c>
    </row>
    <row r="527" spans="1:16" x14ac:dyDescent="0.2">
      <c r="A527" t="s">
        <v>16</v>
      </c>
      <c r="C527" t="b">
        <v>1</v>
      </c>
      <c r="D527" t="s">
        <v>79</v>
      </c>
      <c r="E527" t="s">
        <v>23</v>
      </c>
      <c r="F527" t="b">
        <v>0</v>
      </c>
      <c r="G527">
        <v>6.21</v>
      </c>
      <c r="H527">
        <v>2.59</v>
      </c>
      <c r="I527">
        <v>13.87</v>
      </c>
      <c r="J527">
        <v>-0.21</v>
      </c>
      <c r="K527">
        <v>-3.27</v>
      </c>
      <c r="L527">
        <v>-0.19</v>
      </c>
      <c r="M527">
        <v>-0.47</v>
      </c>
      <c r="N527">
        <v>19.25</v>
      </c>
      <c r="O527">
        <v>2.65</v>
      </c>
      <c r="P527">
        <v>43</v>
      </c>
    </row>
    <row r="528" spans="1:16" x14ac:dyDescent="0.2">
      <c r="A528" t="s">
        <v>16</v>
      </c>
      <c r="C528" t="b">
        <v>1</v>
      </c>
      <c r="D528" t="s">
        <v>79</v>
      </c>
      <c r="E528" t="s">
        <v>24</v>
      </c>
      <c r="F528" t="b">
        <v>0</v>
      </c>
      <c r="G528">
        <v>1.63</v>
      </c>
      <c r="H528">
        <v>0.68</v>
      </c>
      <c r="I528">
        <v>3.64</v>
      </c>
      <c r="J528">
        <v>0.03</v>
      </c>
      <c r="K528">
        <v>1.88</v>
      </c>
      <c r="L528">
        <v>-0.01</v>
      </c>
      <c r="M528">
        <v>7.0000000000000007E-2</v>
      </c>
      <c r="N528">
        <v>4.8</v>
      </c>
      <c r="O528">
        <v>0.66</v>
      </c>
      <c r="P528">
        <v>10.72</v>
      </c>
    </row>
    <row r="529" spans="1:16" x14ac:dyDescent="0.2">
      <c r="A529" t="s">
        <v>16</v>
      </c>
      <c r="C529" t="b">
        <v>1</v>
      </c>
      <c r="D529" t="s">
        <v>79</v>
      </c>
      <c r="E529" t="s">
        <v>25</v>
      </c>
      <c r="F529" t="b">
        <v>0</v>
      </c>
      <c r="G529">
        <v>13.52</v>
      </c>
      <c r="H529">
        <v>5.64</v>
      </c>
      <c r="I529">
        <v>30.2</v>
      </c>
      <c r="J529">
        <v>2.09</v>
      </c>
      <c r="K529">
        <v>18.29</v>
      </c>
      <c r="L529">
        <v>0.7</v>
      </c>
      <c r="M529">
        <v>4.67</v>
      </c>
      <c r="N529">
        <v>24.89</v>
      </c>
      <c r="O529">
        <v>3.43</v>
      </c>
      <c r="P529">
        <v>55.59</v>
      </c>
    </row>
    <row r="530" spans="1:16" x14ac:dyDescent="0.2">
      <c r="A530" t="s">
        <v>16</v>
      </c>
      <c r="C530" t="b">
        <v>1</v>
      </c>
      <c r="D530" t="s">
        <v>79</v>
      </c>
      <c r="E530" t="s">
        <v>26</v>
      </c>
      <c r="F530" t="b">
        <v>1</v>
      </c>
      <c r="G530">
        <v>239.91</v>
      </c>
      <c r="H530">
        <v>100</v>
      </c>
      <c r="I530">
        <v>535.86</v>
      </c>
      <c r="J530">
        <v>8.69</v>
      </c>
      <c r="K530">
        <v>3.76</v>
      </c>
      <c r="L530">
        <v>0</v>
      </c>
      <c r="M530">
        <v>19.41</v>
      </c>
      <c r="N530">
        <v>726.18</v>
      </c>
      <c r="O530">
        <v>100</v>
      </c>
      <c r="P530">
        <v>1622</v>
      </c>
    </row>
    <row r="531" spans="1:16" x14ac:dyDescent="0.2">
      <c r="A531" t="s">
        <v>16</v>
      </c>
      <c r="C531" t="b">
        <v>1</v>
      </c>
      <c r="D531" t="s">
        <v>79</v>
      </c>
      <c r="E531" t="s">
        <v>27</v>
      </c>
      <c r="F531" t="b">
        <v>0</v>
      </c>
      <c r="G531">
        <v>36.729999999999997</v>
      </c>
      <c r="H531">
        <v>15.31</v>
      </c>
      <c r="I531">
        <v>82.04</v>
      </c>
      <c r="J531">
        <v>-3.92</v>
      </c>
      <c r="K531">
        <v>-9.64</v>
      </c>
      <c r="L531">
        <v>-2.27</v>
      </c>
      <c r="M531">
        <v>-8.76</v>
      </c>
      <c r="N531">
        <v>111.94</v>
      </c>
      <c r="O531">
        <v>15.41</v>
      </c>
      <c r="P531">
        <v>250.03</v>
      </c>
    </row>
    <row r="532" spans="1:16" x14ac:dyDescent="0.2">
      <c r="A532" t="s">
        <v>16</v>
      </c>
      <c r="C532" t="b">
        <v>1</v>
      </c>
      <c r="D532" t="s">
        <v>80</v>
      </c>
      <c r="E532" t="s">
        <v>18</v>
      </c>
      <c r="F532" t="b">
        <v>0</v>
      </c>
      <c r="G532">
        <v>10.14</v>
      </c>
      <c r="H532">
        <v>4.7</v>
      </c>
      <c r="I532">
        <v>22.65</v>
      </c>
      <c r="J532">
        <v>0.92</v>
      </c>
      <c r="K532">
        <v>9.98</v>
      </c>
      <c r="L532">
        <v>-0.14000000000000001</v>
      </c>
      <c r="M532">
        <v>2.0499999999999998</v>
      </c>
      <c r="N532">
        <v>42.39</v>
      </c>
      <c r="O532">
        <v>4.5</v>
      </c>
      <c r="P532">
        <v>94.68</v>
      </c>
    </row>
    <row r="533" spans="1:16" x14ac:dyDescent="0.2">
      <c r="A533" t="s">
        <v>16</v>
      </c>
      <c r="C533" t="b">
        <v>1</v>
      </c>
      <c r="D533" t="s">
        <v>80</v>
      </c>
      <c r="E533" t="s">
        <v>19</v>
      </c>
      <c r="F533" t="b">
        <v>0</v>
      </c>
      <c r="G533">
        <v>28.73</v>
      </c>
      <c r="H533">
        <v>13.31</v>
      </c>
      <c r="I533">
        <v>64.17</v>
      </c>
      <c r="J533">
        <v>8.61</v>
      </c>
      <c r="K533">
        <v>42.79</v>
      </c>
      <c r="L533">
        <v>2.74</v>
      </c>
      <c r="M533">
        <v>19.23</v>
      </c>
      <c r="N533">
        <v>131.54</v>
      </c>
      <c r="O533">
        <v>13.96</v>
      </c>
      <c r="P533">
        <v>293.81</v>
      </c>
    </row>
    <row r="534" spans="1:16" x14ac:dyDescent="0.2">
      <c r="A534" t="s">
        <v>16</v>
      </c>
      <c r="C534" t="b">
        <v>1</v>
      </c>
      <c r="D534" t="s">
        <v>80</v>
      </c>
      <c r="E534" t="s">
        <v>20</v>
      </c>
      <c r="F534" t="b">
        <v>0</v>
      </c>
      <c r="G534">
        <v>43.02</v>
      </c>
      <c r="H534">
        <v>19.940000000000001</v>
      </c>
      <c r="I534">
        <v>96.09</v>
      </c>
      <c r="J534">
        <v>10.67</v>
      </c>
      <c r="K534">
        <v>32.979999999999997</v>
      </c>
      <c r="L534">
        <v>2.94</v>
      </c>
      <c r="M534">
        <v>23.83</v>
      </c>
      <c r="N534">
        <v>184.22</v>
      </c>
      <c r="O534">
        <v>19.559999999999999</v>
      </c>
      <c r="P534">
        <v>411.48</v>
      </c>
    </row>
    <row r="535" spans="1:16" x14ac:dyDescent="0.2">
      <c r="A535" t="s">
        <v>16</v>
      </c>
      <c r="C535" t="b">
        <v>1</v>
      </c>
      <c r="D535" t="s">
        <v>80</v>
      </c>
      <c r="E535" t="s">
        <v>21</v>
      </c>
      <c r="F535" t="b">
        <v>0</v>
      </c>
      <c r="G535">
        <v>26.54</v>
      </c>
      <c r="H535">
        <v>12.3</v>
      </c>
      <c r="I535">
        <v>59.28</v>
      </c>
      <c r="J535">
        <v>-1.02</v>
      </c>
      <c r="K535">
        <v>-3.7</v>
      </c>
      <c r="L535">
        <v>-2.1800000000000002</v>
      </c>
      <c r="M535">
        <v>-2.2799999999999998</v>
      </c>
      <c r="N535">
        <v>126.82</v>
      </c>
      <c r="O535">
        <v>13.46</v>
      </c>
      <c r="P535">
        <v>283.27</v>
      </c>
    </row>
    <row r="536" spans="1:16" x14ac:dyDescent="0.2">
      <c r="A536" t="s">
        <v>16</v>
      </c>
      <c r="C536" t="b">
        <v>1</v>
      </c>
      <c r="D536" t="s">
        <v>80</v>
      </c>
      <c r="E536" t="s">
        <v>22</v>
      </c>
      <c r="F536" t="b">
        <v>0</v>
      </c>
      <c r="G536">
        <v>54.03</v>
      </c>
      <c r="H536">
        <v>25.04</v>
      </c>
      <c r="I536">
        <v>120.68</v>
      </c>
      <c r="J536">
        <v>2.44</v>
      </c>
      <c r="K536">
        <v>4.7300000000000004</v>
      </c>
      <c r="L536">
        <v>-2.06</v>
      </c>
      <c r="M536">
        <v>5.45</v>
      </c>
      <c r="N536">
        <v>242.79</v>
      </c>
      <c r="O536">
        <v>25.77</v>
      </c>
      <c r="P536">
        <v>542.29999999999995</v>
      </c>
    </row>
    <row r="537" spans="1:16" x14ac:dyDescent="0.2">
      <c r="A537" t="s">
        <v>16</v>
      </c>
      <c r="C537" t="b">
        <v>1</v>
      </c>
      <c r="D537" t="s">
        <v>80</v>
      </c>
      <c r="E537" t="s">
        <v>23</v>
      </c>
      <c r="F537" t="b">
        <v>0</v>
      </c>
      <c r="G537">
        <v>5.78</v>
      </c>
      <c r="H537">
        <v>2.68</v>
      </c>
      <c r="I537">
        <v>12.91</v>
      </c>
      <c r="J537">
        <v>0.26</v>
      </c>
      <c r="K537">
        <v>4.71</v>
      </c>
      <c r="L537">
        <v>-0.22</v>
      </c>
      <c r="M537">
        <v>0.57999999999999996</v>
      </c>
      <c r="N537">
        <v>25.03</v>
      </c>
      <c r="O537">
        <v>2.66</v>
      </c>
      <c r="P537">
        <v>55.91</v>
      </c>
    </row>
    <row r="538" spans="1:16" x14ac:dyDescent="0.2">
      <c r="A538" t="s">
        <v>16</v>
      </c>
      <c r="C538" t="b">
        <v>1</v>
      </c>
      <c r="D538" t="s">
        <v>80</v>
      </c>
      <c r="E538" t="s">
        <v>24</v>
      </c>
      <c r="F538" t="b">
        <v>0</v>
      </c>
      <c r="G538">
        <v>1.46</v>
      </c>
      <c r="H538">
        <v>0.68</v>
      </c>
      <c r="I538">
        <v>3.26</v>
      </c>
      <c r="J538">
        <v>-0.01</v>
      </c>
      <c r="K538">
        <v>-0.68</v>
      </c>
      <c r="L538">
        <v>-0.09</v>
      </c>
      <c r="M538">
        <v>-0.02</v>
      </c>
      <c r="N538">
        <v>6.26</v>
      </c>
      <c r="O538">
        <v>0.66</v>
      </c>
      <c r="P538">
        <v>13.98</v>
      </c>
    </row>
    <row r="539" spans="1:16" x14ac:dyDescent="0.2">
      <c r="A539" t="s">
        <v>16</v>
      </c>
      <c r="C539" t="b">
        <v>1</v>
      </c>
      <c r="D539" t="s">
        <v>80</v>
      </c>
      <c r="E539" t="s">
        <v>25</v>
      </c>
      <c r="F539" t="b">
        <v>0</v>
      </c>
      <c r="G539">
        <v>16.190000000000001</v>
      </c>
      <c r="H539">
        <v>7.5</v>
      </c>
      <c r="I539">
        <v>36.159999999999997</v>
      </c>
      <c r="J539">
        <v>0.16</v>
      </c>
      <c r="K539">
        <v>1</v>
      </c>
      <c r="L539">
        <v>-0.92</v>
      </c>
      <c r="M539">
        <v>0.36</v>
      </c>
      <c r="N539">
        <v>41.08</v>
      </c>
      <c r="O539">
        <v>4.3600000000000003</v>
      </c>
      <c r="P539">
        <v>91.76</v>
      </c>
    </row>
    <row r="540" spans="1:16" x14ac:dyDescent="0.2">
      <c r="A540" t="s">
        <v>16</v>
      </c>
      <c r="C540" t="b">
        <v>1</v>
      </c>
      <c r="D540" t="s">
        <v>80</v>
      </c>
      <c r="E540" t="s">
        <v>26</v>
      </c>
      <c r="F540" t="b">
        <v>1</v>
      </c>
      <c r="G540">
        <v>215.8</v>
      </c>
      <c r="H540">
        <v>100</v>
      </c>
      <c r="I540">
        <v>482.01</v>
      </c>
      <c r="J540">
        <v>25.46</v>
      </c>
      <c r="K540">
        <v>13.38</v>
      </c>
      <c r="L540">
        <v>0</v>
      </c>
      <c r="M540">
        <v>56.87</v>
      </c>
      <c r="N540">
        <v>941.98</v>
      </c>
      <c r="O540">
        <v>100</v>
      </c>
      <c r="P540">
        <v>2104.0100000000002</v>
      </c>
    </row>
    <row r="541" spans="1:16" x14ac:dyDescent="0.2">
      <c r="A541" t="s">
        <v>16</v>
      </c>
      <c r="C541" t="b">
        <v>1</v>
      </c>
      <c r="D541" t="s">
        <v>80</v>
      </c>
      <c r="E541" t="s">
        <v>27</v>
      </c>
      <c r="F541" t="b">
        <v>0</v>
      </c>
      <c r="G541">
        <v>29.91</v>
      </c>
      <c r="H541">
        <v>13.86</v>
      </c>
      <c r="I541">
        <v>66.81</v>
      </c>
      <c r="J541">
        <v>3.43</v>
      </c>
      <c r="K541">
        <v>12.95</v>
      </c>
      <c r="L541">
        <v>-0.05</v>
      </c>
      <c r="M541">
        <v>7.66</v>
      </c>
      <c r="N541">
        <v>141.85</v>
      </c>
      <c r="O541">
        <v>15.06</v>
      </c>
      <c r="P541">
        <v>316.83999999999997</v>
      </c>
    </row>
    <row r="542" spans="1:16" x14ac:dyDescent="0.2">
      <c r="A542" t="s">
        <v>16</v>
      </c>
      <c r="C542" t="b">
        <v>1</v>
      </c>
      <c r="D542" t="s">
        <v>81</v>
      </c>
      <c r="E542" t="s">
        <v>18</v>
      </c>
      <c r="F542" t="b">
        <v>0</v>
      </c>
      <c r="G542">
        <v>9.64</v>
      </c>
      <c r="H542">
        <v>4.62</v>
      </c>
      <c r="I542">
        <v>21.53</v>
      </c>
      <c r="J542">
        <v>0.38</v>
      </c>
      <c r="K542">
        <v>4.0999999999999996</v>
      </c>
      <c r="L542">
        <v>-0.22</v>
      </c>
      <c r="M542">
        <v>0.85</v>
      </c>
      <c r="N542">
        <v>52.03</v>
      </c>
      <c r="O542">
        <v>4.5199999999999996</v>
      </c>
      <c r="P542">
        <v>116.21</v>
      </c>
    </row>
    <row r="543" spans="1:16" x14ac:dyDescent="0.2">
      <c r="A543" t="s">
        <v>16</v>
      </c>
      <c r="C543" t="b">
        <v>1</v>
      </c>
      <c r="D543" t="s">
        <v>81</v>
      </c>
      <c r="E543" t="s">
        <v>19</v>
      </c>
      <c r="F543" t="b">
        <v>0</v>
      </c>
      <c r="G543">
        <v>23.5</v>
      </c>
      <c r="H543">
        <v>11.25</v>
      </c>
      <c r="I543">
        <v>52.49</v>
      </c>
      <c r="J543">
        <v>3.7</v>
      </c>
      <c r="K543">
        <v>18.690000000000001</v>
      </c>
      <c r="L543">
        <v>0.9</v>
      </c>
      <c r="M543">
        <v>8.26</v>
      </c>
      <c r="N543">
        <v>155.04</v>
      </c>
      <c r="O543">
        <v>13.47</v>
      </c>
      <c r="P543">
        <v>346.3</v>
      </c>
    </row>
    <row r="544" spans="1:16" x14ac:dyDescent="0.2">
      <c r="A544" t="s">
        <v>16</v>
      </c>
      <c r="C544" t="b">
        <v>1</v>
      </c>
      <c r="D544" t="s">
        <v>81</v>
      </c>
      <c r="E544" t="s">
        <v>20</v>
      </c>
      <c r="F544" t="b">
        <v>0</v>
      </c>
      <c r="G544">
        <v>31.72</v>
      </c>
      <c r="H544">
        <v>15.19</v>
      </c>
      <c r="I544">
        <v>70.849999999999994</v>
      </c>
      <c r="J544">
        <v>-1.25</v>
      </c>
      <c r="K544">
        <v>-3.79</v>
      </c>
      <c r="L544">
        <v>-2.0499999999999998</v>
      </c>
      <c r="M544">
        <v>-2.79</v>
      </c>
      <c r="N544">
        <v>215.94</v>
      </c>
      <c r="O544">
        <v>18.760000000000002</v>
      </c>
      <c r="P544">
        <v>482.33</v>
      </c>
    </row>
    <row r="545" spans="1:16" x14ac:dyDescent="0.2">
      <c r="A545" t="s">
        <v>16</v>
      </c>
      <c r="C545" t="b">
        <v>1</v>
      </c>
      <c r="D545" t="s">
        <v>81</v>
      </c>
      <c r="E545" t="s">
        <v>21</v>
      </c>
      <c r="F545" t="b">
        <v>0</v>
      </c>
      <c r="G545">
        <v>33.24</v>
      </c>
      <c r="H545">
        <v>15.92</v>
      </c>
      <c r="I545">
        <v>74.25</v>
      </c>
      <c r="J545">
        <v>1.88</v>
      </c>
      <c r="K545">
        <v>5.99</v>
      </c>
      <c r="L545">
        <v>-0.48</v>
      </c>
      <c r="M545">
        <v>4.2</v>
      </c>
      <c r="N545">
        <v>160.06</v>
      </c>
      <c r="O545">
        <v>13.91</v>
      </c>
      <c r="P545">
        <v>357.51</v>
      </c>
    </row>
    <row r="546" spans="1:16" x14ac:dyDescent="0.2">
      <c r="A546" t="s">
        <v>16</v>
      </c>
      <c r="C546" t="b">
        <v>1</v>
      </c>
      <c r="D546" t="s">
        <v>81</v>
      </c>
      <c r="E546" t="s">
        <v>22</v>
      </c>
      <c r="F546" t="b">
        <v>0</v>
      </c>
      <c r="G546">
        <v>52.94</v>
      </c>
      <c r="H546">
        <v>25.35</v>
      </c>
      <c r="I546">
        <v>118.25</v>
      </c>
      <c r="J546">
        <v>5.07</v>
      </c>
      <c r="K546">
        <v>10.59</v>
      </c>
      <c r="L546">
        <v>0.32</v>
      </c>
      <c r="M546">
        <v>11.32</v>
      </c>
      <c r="N546">
        <v>295.73</v>
      </c>
      <c r="O546">
        <v>25.7</v>
      </c>
      <c r="P546">
        <v>660.55</v>
      </c>
    </row>
    <row r="547" spans="1:16" x14ac:dyDescent="0.2">
      <c r="A547" t="s">
        <v>16</v>
      </c>
      <c r="C547" t="b">
        <v>1</v>
      </c>
      <c r="D547" t="s">
        <v>81</v>
      </c>
      <c r="E547" t="s">
        <v>23</v>
      </c>
      <c r="F547" t="b">
        <v>0</v>
      </c>
      <c r="G547">
        <v>5.87</v>
      </c>
      <c r="H547">
        <v>2.81</v>
      </c>
      <c r="I547">
        <v>13.11</v>
      </c>
      <c r="J547">
        <v>0.34</v>
      </c>
      <c r="K547">
        <v>6.15</v>
      </c>
      <c r="L547">
        <v>-0.08</v>
      </c>
      <c r="M547">
        <v>0.76</v>
      </c>
      <c r="N547">
        <v>30.9</v>
      </c>
      <c r="O547">
        <v>2.69</v>
      </c>
      <c r="P547">
        <v>69.02</v>
      </c>
    </row>
    <row r="548" spans="1:16" x14ac:dyDescent="0.2">
      <c r="A548" t="s">
        <v>16</v>
      </c>
      <c r="C548" t="b">
        <v>1</v>
      </c>
      <c r="D548" t="s">
        <v>81</v>
      </c>
      <c r="E548" t="s">
        <v>24</v>
      </c>
      <c r="F548" t="b">
        <v>0</v>
      </c>
      <c r="G548">
        <v>1.48</v>
      </c>
      <c r="H548">
        <v>0.71</v>
      </c>
      <c r="I548">
        <v>3.31</v>
      </c>
      <c r="J548">
        <v>0.01</v>
      </c>
      <c r="K548">
        <v>0.68</v>
      </c>
      <c r="L548">
        <v>-0.06</v>
      </c>
      <c r="M548">
        <v>0.02</v>
      </c>
      <c r="N548">
        <v>7.74</v>
      </c>
      <c r="O548">
        <v>0.67</v>
      </c>
      <c r="P548">
        <v>17.29</v>
      </c>
    </row>
    <row r="549" spans="1:16" x14ac:dyDescent="0.2">
      <c r="A549" t="s">
        <v>16</v>
      </c>
      <c r="C549" t="b">
        <v>1</v>
      </c>
      <c r="D549" t="s">
        <v>81</v>
      </c>
      <c r="E549" t="s">
        <v>25</v>
      </c>
      <c r="F549" t="b">
        <v>0</v>
      </c>
      <c r="G549">
        <v>19.02</v>
      </c>
      <c r="H549">
        <v>9.11</v>
      </c>
      <c r="I549">
        <v>42.48</v>
      </c>
      <c r="J549">
        <v>1.53</v>
      </c>
      <c r="K549">
        <v>8.75</v>
      </c>
      <c r="L549">
        <v>-0.04</v>
      </c>
      <c r="M549">
        <v>3.42</v>
      </c>
      <c r="N549">
        <v>60.1</v>
      </c>
      <c r="O549">
        <v>5.22</v>
      </c>
      <c r="P549">
        <v>134.24</v>
      </c>
    </row>
    <row r="550" spans="1:16" x14ac:dyDescent="0.2">
      <c r="A550" t="s">
        <v>16</v>
      </c>
      <c r="C550" t="b">
        <v>1</v>
      </c>
      <c r="D550" t="s">
        <v>81</v>
      </c>
      <c r="E550" t="s">
        <v>26</v>
      </c>
      <c r="F550" t="b">
        <v>1</v>
      </c>
      <c r="G550">
        <v>208.83</v>
      </c>
      <c r="H550">
        <v>100</v>
      </c>
      <c r="I550">
        <v>466.44</v>
      </c>
      <c r="J550">
        <v>17.59</v>
      </c>
      <c r="K550">
        <v>9.1999999999999993</v>
      </c>
      <c r="L550">
        <v>0</v>
      </c>
      <c r="M550">
        <v>39.29</v>
      </c>
      <c r="N550">
        <v>1150.81</v>
      </c>
      <c r="O550">
        <v>100</v>
      </c>
      <c r="P550">
        <v>2570.46</v>
      </c>
    </row>
    <row r="551" spans="1:16" x14ac:dyDescent="0.2">
      <c r="A551" t="s">
        <v>16</v>
      </c>
      <c r="C551" t="b">
        <v>1</v>
      </c>
      <c r="D551" t="s">
        <v>81</v>
      </c>
      <c r="E551" t="s">
        <v>27</v>
      </c>
      <c r="F551" t="b">
        <v>0</v>
      </c>
      <c r="G551">
        <v>31.42</v>
      </c>
      <c r="H551">
        <v>15.05</v>
      </c>
      <c r="I551">
        <v>70.180000000000007</v>
      </c>
      <c r="J551">
        <v>5.93</v>
      </c>
      <c r="K551">
        <v>23.26</v>
      </c>
      <c r="L551">
        <v>1.72</v>
      </c>
      <c r="M551">
        <v>13.25</v>
      </c>
      <c r="N551">
        <v>173.27</v>
      </c>
      <c r="O551">
        <v>15.06</v>
      </c>
      <c r="P551">
        <v>387.02</v>
      </c>
    </row>
    <row r="552" spans="1:16" x14ac:dyDescent="0.2">
      <c r="A552" t="s">
        <v>16</v>
      </c>
      <c r="C552" t="b">
        <v>1</v>
      </c>
      <c r="D552" t="s">
        <v>82</v>
      </c>
      <c r="E552" t="s">
        <v>18</v>
      </c>
      <c r="F552" t="b">
        <v>0</v>
      </c>
      <c r="G552">
        <v>8.42</v>
      </c>
      <c r="H552">
        <v>4.1100000000000003</v>
      </c>
      <c r="I552">
        <v>18.809999999999999</v>
      </c>
      <c r="J552">
        <v>0.05</v>
      </c>
      <c r="K552">
        <v>0.6</v>
      </c>
      <c r="L552">
        <v>-0.3</v>
      </c>
      <c r="M552">
        <v>0.11</v>
      </c>
      <c r="N552">
        <v>60.45</v>
      </c>
      <c r="O552">
        <v>4.46</v>
      </c>
      <c r="P552">
        <v>135.02000000000001</v>
      </c>
    </row>
    <row r="553" spans="1:16" x14ac:dyDescent="0.2">
      <c r="A553" t="s">
        <v>16</v>
      </c>
      <c r="C553" t="b">
        <v>1</v>
      </c>
      <c r="D553" t="s">
        <v>82</v>
      </c>
      <c r="E553" t="s">
        <v>19</v>
      </c>
      <c r="F553" t="b">
        <v>0</v>
      </c>
      <c r="G553">
        <v>27.07</v>
      </c>
      <c r="H553">
        <v>13.2</v>
      </c>
      <c r="I553">
        <v>60.46</v>
      </c>
      <c r="J553">
        <v>5.0599999999999996</v>
      </c>
      <c r="K553">
        <v>22.99</v>
      </c>
      <c r="L553">
        <v>1.6</v>
      </c>
      <c r="M553">
        <v>11.3</v>
      </c>
      <c r="N553">
        <v>182.11</v>
      </c>
      <c r="O553">
        <v>13.43</v>
      </c>
      <c r="P553">
        <v>406.76</v>
      </c>
    </row>
    <row r="554" spans="1:16" x14ac:dyDescent="0.2">
      <c r="A554" t="s">
        <v>16</v>
      </c>
      <c r="C554" t="b">
        <v>1</v>
      </c>
      <c r="D554" t="s">
        <v>82</v>
      </c>
      <c r="E554" t="s">
        <v>20</v>
      </c>
      <c r="F554" t="b">
        <v>0</v>
      </c>
      <c r="G554">
        <v>38.68</v>
      </c>
      <c r="H554">
        <v>18.87</v>
      </c>
      <c r="I554">
        <v>86.4</v>
      </c>
      <c r="J554">
        <v>-1.53</v>
      </c>
      <c r="K554">
        <v>-3.81</v>
      </c>
      <c r="L554">
        <v>-2.33</v>
      </c>
      <c r="M554">
        <v>-3.42</v>
      </c>
      <c r="N554">
        <v>254.62</v>
      </c>
      <c r="O554">
        <v>18.78</v>
      </c>
      <c r="P554">
        <v>568.72</v>
      </c>
    </row>
    <row r="555" spans="1:16" x14ac:dyDescent="0.2">
      <c r="A555" t="s">
        <v>16</v>
      </c>
      <c r="C555" t="b">
        <v>1</v>
      </c>
      <c r="D555" t="s">
        <v>82</v>
      </c>
      <c r="E555" t="s">
        <v>21</v>
      </c>
      <c r="F555" t="b">
        <v>0</v>
      </c>
      <c r="G555">
        <v>32.4</v>
      </c>
      <c r="H555">
        <v>15.8</v>
      </c>
      <c r="I555">
        <v>72.37</v>
      </c>
      <c r="J555">
        <v>1.6</v>
      </c>
      <c r="K555">
        <v>5.19</v>
      </c>
      <c r="L555">
        <v>-0.44</v>
      </c>
      <c r="M555">
        <v>3.57</v>
      </c>
      <c r="N555">
        <v>192.46</v>
      </c>
      <c r="O555">
        <v>14.19</v>
      </c>
      <c r="P555">
        <v>429.88</v>
      </c>
    </row>
    <row r="556" spans="1:16" x14ac:dyDescent="0.2">
      <c r="A556" t="s">
        <v>16</v>
      </c>
      <c r="C556" t="b">
        <v>1</v>
      </c>
      <c r="D556" t="s">
        <v>82</v>
      </c>
      <c r="E556" t="s">
        <v>22</v>
      </c>
      <c r="F556" t="b">
        <v>0</v>
      </c>
      <c r="G556">
        <v>52.65</v>
      </c>
      <c r="H556">
        <v>25.68</v>
      </c>
      <c r="I556">
        <v>117.6</v>
      </c>
      <c r="J556">
        <v>8.69</v>
      </c>
      <c r="K556">
        <v>19.77</v>
      </c>
      <c r="L556">
        <v>2.5</v>
      </c>
      <c r="M556">
        <v>19.41</v>
      </c>
      <c r="N556">
        <v>348.38</v>
      </c>
      <c r="O556">
        <v>25.69</v>
      </c>
      <c r="P556">
        <v>778.14</v>
      </c>
    </row>
    <row r="557" spans="1:16" x14ac:dyDescent="0.2">
      <c r="A557" t="s">
        <v>16</v>
      </c>
      <c r="C557" t="b">
        <v>1</v>
      </c>
      <c r="D557" t="s">
        <v>82</v>
      </c>
      <c r="E557" t="s">
        <v>23</v>
      </c>
      <c r="F557" t="b">
        <v>0</v>
      </c>
      <c r="G557">
        <v>5.71</v>
      </c>
      <c r="H557">
        <v>2.79</v>
      </c>
      <c r="I557">
        <v>12.75</v>
      </c>
      <c r="J557">
        <v>0.38</v>
      </c>
      <c r="K557">
        <v>7.13</v>
      </c>
      <c r="L557">
        <v>-0.02</v>
      </c>
      <c r="M557">
        <v>0.85</v>
      </c>
      <c r="N557">
        <v>36.61</v>
      </c>
      <c r="O557">
        <v>2.7</v>
      </c>
      <c r="P557">
        <v>81.77</v>
      </c>
    </row>
    <row r="558" spans="1:16" x14ac:dyDescent="0.2">
      <c r="A558" t="s">
        <v>16</v>
      </c>
      <c r="C558" t="b">
        <v>1</v>
      </c>
      <c r="D558" t="s">
        <v>82</v>
      </c>
      <c r="E558" t="s">
        <v>24</v>
      </c>
      <c r="F558" t="b">
        <v>0</v>
      </c>
      <c r="G558">
        <v>1.39</v>
      </c>
      <c r="H558">
        <v>0.68</v>
      </c>
      <c r="I558">
        <v>3.1</v>
      </c>
      <c r="J558">
        <v>0.06</v>
      </c>
      <c r="K558">
        <v>4.51</v>
      </c>
      <c r="L558">
        <v>-0.02</v>
      </c>
      <c r="M558">
        <v>0.13</v>
      </c>
      <c r="N558">
        <v>9.1300000000000008</v>
      </c>
      <c r="O558">
        <v>0.67</v>
      </c>
      <c r="P558">
        <v>20.39</v>
      </c>
    </row>
    <row r="559" spans="1:16" x14ac:dyDescent="0.2">
      <c r="A559" t="s">
        <v>16</v>
      </c>
      <c r="C559" t="b">
        <v>1</v>
      </c>
      <c r="D559" t="s">
        <v>82</v>
      </c>
      <c r="E559" t="s">
        <v>25</v>
      </c>
      <c r="F559" t="b">
        <v>0</v>
      </c>
      <c r="G559">
        <v>21.28</v>
      </c>
      <c r="H559">
        <v>10.38</v>
      </c>
      <c r="I559">
        <v>47.53</v>
      </c>
      <c r="J559">
        <v>4.47</v>
      </c>
      <c r="K559">
        <v>26.59</v>
      </c>
      <c r="L559">
        <v>1.52</v>
      </c>
      <c r="M559">
        <v>9.98</v>
      </c>
      <c r="N559">
        <v>81.38</v>
      </c>
      <c r="O559">
        <v>6</v>
      </c>
      <c r="P559">
        <v>181.77</v>
      </c>
    </row>
    <row r="560" spans="1:16" x14ac:dyDescent="0.2">
      <c r="A560" t="s">
        <v>16</v>
      </c>
      <c r="C560" t="b">
        <v>1</v>
      </c>
      <c r="D560" t="s">
        <v>82</v>
      </c>
      <c r="E560" t="s">
        <v>26</v>
      </c>
      <c r="F560" t="b">
        <v>1</v>
      </c>
      <c r="G560">
        <v>205.02</v>
      </c>
      <c r="H560">
        <v>100</v>
      </c>
      <c r="I560">
        <v>457.93</v>
      </c>
      <c r="J560">
        <v>15.35</v>
      </c>
      <c r="K560">
        <v>8.09</v>
      </c>
      <c r="L560">
        <v>0</v>
      </c>
      <c r="M560">
        <v>34.29</v>
      </c>
      <c r="N560">
        <v>1355.83</v>
      </c>
      <c r="O560">
        <v>100</v>
      </c>
      <c r="P560">
        <v>3028.39</v>
      </c>
    </row>
    <row r="561" spans="1:16" x14ac:dyDescent="0.2">
      <c r="A561" t="s">
        <v>16</v>
      </c>
      <c r="C561" t="b">
        <v>1</v>
      </c>
      <c r="D561" t="s">
        <v>82</v>
      </c>
      <c r="E561" t="s">
        <v>27</v>
      </c>
      <c r="F561" t="b">
        <v>0</v>
      </c>
      <c r="G561">
        <v>17.420000000000002</v>
      </c>
      <c r="H561">
        <v>8.5</v>
      </c>
      <c r="I561">
        <v>38.909999999999997</v>
      </c>
      <c r="J561">
        <v>-3.43</v>
      </c>
      <c r="K561">
        <v>-16.45</v>
      </c>
      <c r="L561">
        <v>-2.4900000000000002</v>
      </c>
      <c r="M561">
        <v>-7.66</v>
      </c>
      <c r="N561">
        <v>190.69</v>
      </c>
      <c r="O561">
        <v>14.06</v>
      </c>
      <c r="P561">
        <v>425.93</v>
      </c>
    </row>
    <row r="562" spans="1:16" x14ac:dyDescent="0.2">
      <c r="A562" t="s">
        <v>16</v>
      </c>
      <c r="C562" t="b">
        <v>1</v>
      </c>
      <c r="D562" t="s">
        <v>83</v>
      </c>
      <c r="E562" t="s">
        <v>18</v>
      </c>
      <c r="F562" t="b">
        <v>0</v>
      </c>
      <c r="G562">
        <v>8.77</v>
      </c>
      <c r="H562">
        <v>4.0599999999999996</v>
      </c>
      <c r="I562">
        <v>19.59</v>
      </c>
      <c r="J562">
        <v>0.4</v>
      </c>
      <c r="K562">
        <v>4.78</v>
      </c>
      <c r="L562">
        <v>-0.03</v>
      </c>
      <c r="M562">
        <v>0.89</v>
      </c>
      <c r="N562">
        <v>69.22</v>
      </c>
      <c r="O562">
        <v>4.4000000000000004</v>
      </c>
      <c r="P562">
        <v>154.61000000000001</v>
      </c>
    </row>
    <row r="563" spans="1:16" x14ac:dyDescent="0.2">
      <c r="A563" t="s">
        <v>16</v>
      </c>
      <c r="C563" t="b">
        <v>1</v>
      </c>
      <c r="D563" t="s">
        <v>83</v>
      </c>
      <c r="E563" t="s">
        <v>19</v>
      </c>
      <c r="F563" t="b">
        <v>0</v>
      </c>
      <c r="G563">
        <v>30.26</v>
      </c>
      <c r="H563">
        <v>14.01</v>
      </c>
      <c r="I563">
        <v>67.59</v>
      </c>
      <c r="J563">
        <v>6.39</v>
      </c>
      <c r="K563">
        <v>26.77</v>
      </c>
      <c r="L563">
        <v>2.34</v>
      </c>
      <c r="M563">
        <v>14.27</v>
      </c>
      <c r="N563">
        <v>212.37</v>
      </c>
      <c r="O563">
        <v>13.51</v>
      </c>
      <c r="P563">
        <v>474.35</v>
      </c>
    </row>
    <row r="564" spans="1:16" x14ac:dyDescent="0.2">
      <c r="A564" t="s">
        <v>16</v>
      </c>
      <c r="C564" t="b">
        <v>1</v>
      </c>
      <c r="D564" t="s">
        <v>83</v>
      </c>
      <c r="E564" t="s">
        <v>20</v>
      </c>
      <c r="F564" t="b">
        <v>0</v>
      </c>
      <c r="G564">
        <v>39.51</v>
      </c>
      <c r="H564">
        <v>18.29</v>
      </c>
      <c r="I564">
        <v>88.25</v>
      </c>
      <c r="J564">
        <v>-9.4600000000000009</v>
      </c>
      <c r="K564">
        <v>-19.32</v>
      </c>
      <c r="L564">
        <v>-5.66</v>
      </c>
      <c r="M564">
        <v>-21.13</v>
      </c>
      <c r="N564">
        <v>294.13</v>
      </c>
      <c r="O564">
        <v>18.71</v>
      </c>
      <c r="P564">
        <v>656.97</v>
      </c>
    </row>
    <row r="565" spans="1:16" x14ac:dyDescent="0.2">
      <c r="A565" t="s">
        <v>16</v>
      </c>
      <c r="C565" t="b">
        <v>1</v>
      </c>
      <c r="D565" t="s">
        <v>83</v>
      </c>
      <c r="E565" t="s">
        <v>21</v>
      </c>
      <c r="F565" t="b">
        <v>0</v>
      </c>
      <c r="G565">
        <v>30.26</v>
      </c>
      <c r="H565">
        <v>14.01</v>
      </c>
      <c r="I565">
        <v>67.59</v>
      </c>
      <c r="J565">
        <v>2.84</v>
      </c>
      <c r="K565">
        <v>10.36</v>
      </c>
      <c r="L565">
        <v>0.6</v>
      </c>
      <c r="M565">
        <v>6.34</v>
      </c>
      <c r="N565">
        <v>222.72</v>
      </c>
      <c r="O565">
        <v>14.17</v>
      </c>
      <c r="P565">
        <v>497.47</v>
      </c>
    </row>
    <row r="566" spans="1:16" x14ac:dyDescent="0.2">
      <c r="A566" t="s">
        <v>16</v>
      </c>
      <c r="C566" t="b">
        <v>1</v>
      </c>
      <c r="D566" t="s">
        <v>83</v>
      </c>
      <c r="E566" t="s">
        <v>22</v>
      </c>
      <c r="F566" t="b">
        <v>0</v>
      </c>
      <c r="G566">
        <v>56.69</v>
      </c>
      <c r="H566">
        <v>26.25</v>
      </c>
      <c r="I566">
        <v>126.62</v>
      </c>
      <c r="J566">
        <v>9.42</v>
      </c>
      <c r="K566">
        <v>19.93</v>
      </c>
      <c r="L566">
        <v>3.14</v>
      </c>
      <c r="M566">
        <v>21.04</v>
      </c>
      <c r="N566">
        <v>405.07</v>
      </c>
      <c r="O566">
        <v>25.77</v>
      </c>
      <c r="P566">
        <v>904.77</v>
      </c>
    </row>
    <row r="567" spans="1:16" x14ac:dyDescent="0.2">
      <c r="A567" t="s">
        <v>16</v>
      </c>
      <c r="C567" t="b">
        <v>1</v>
      </c>
      <c r="D567" t="s">
        <v>83</v>
      </c>
      <c r="E567" t="s">
        <v>23</v>
      </c>
      <c r="F567" t="b">
        <v>0</v>
      </c>
      <c r="G567">
        <v>6.19</v>
      </c>
      <c r="H567">
        <v>2.87</v>
      </c>
      <c r="I567">
        <v>13.83</v>
      </c>
      <c r="J567">
        <v>0.46</v>
      </c>
      <c r="K567">
        <v>8.0299999999999994</v>
      </c>
      <c r="L567">
        <v>7.0000000000000007E-2</v>
      </c>
      <c r="M567">
        <v>1.03</v>
      </c>
      <c r="N567">
        <v>42.8</v>
      </c>
      <c r="O567">
        <v>2.72</v>
      </c>
      <c r="P567">
        <v>95.6</v>
      </c>
    </row>
    <row r="568" spans="1:16" x14ac:dyDescent="0.2">
      <c r="A568" t="s">
        <v>16</v>
      </c>
      <c r="C568" t="b">
        <v>1</v>
      </c>
      <c r="D568" t="s">
        <v>83</v>
      </c>
      <c r="E568" t="s">
        <v>24</v>
      </c>
      <c r="F568" t="b">
        <v>0</v>
      </c>
      <c r="G568">
        <v>1.44</v>
      </c>
      <c r="H568">
        <v>0.67</v>
      </c>
      <c r="I568">
        <v>3.22</v>
      </c>
      <c r="J568">
        <v>0.02</v>
      </c>
      <c r="K568">
        <v>1.41</v>
      </c>
      <c r="L568">
        <v>-0.02</v>
      </c>
      <c r="M568">
        <v>0.04</v>
      </c>
      <c r="N568">
        <v>10.57</v>
      </c>
      <c r="O568">
        <v>0.67</v>
      </c>
      <c r="P568">
        <v>23.61</v>
      </c>
    </row>
    <row r="569" spans="1:16" x14ac:dyDescent="0.2">
      <c r="A569" t="s">
        <v>16</v>
      </c>
      <c r="C569" t="b">
        <v>1</v>
      </c>
      <c r="D569" t="s">
        <v>83</v>
      </c>
      <c r="E569" t="s">
        <v>25</v>
      </c>
      <c r="F569" t="b">
        <v>0</v>
      </c>
      <c r="G569">
        <v>20.55</v>
      </c>
      <c r="H569">
        <v>9.51</v>
      </c>
      <c r="I569">
        <v>45.9</v>
      </c>
      <c r="J569">
        <v>2.2000000000000002</v>
      </c>
      <c r="K569">
        <v>11.99</v>
      </c>
      <c r="L569">
        <v>0.54</v>
      </c>
      <c r="M569">
        <v>4.91</v>
      </c>
      <c r="N569">
        <v>101.93</v>
      </c>
      <c r="O569">
        <v>6.48</v>
      </c>
      <c r="P569">
        <v>227.67</v>
      </c>
    </row>
    <row r="570" spans="1:16" x14ac:dyDescent="0.2">
      <c r="A570" t="s">
        <v>16</v>
      </c>
      <c r="C570" t="b">
        <v>1</v>
      </c>
      <c r="D570" t="s">
        <v>83</v>
      </c>
      <c r="E570" t="s">
        <v>26</v>
      </c>
      <c r="F570" t="b">
        <v>1</v>
      </c>
      <c r="G570">
        <v>215.99</v>
      </c>
      <c r="H570">
        <v>100</v>
      </c>
      <c r="I570">
        <v>482.44</v>
      </c>
      <c r="J570">
        <v>11.49</v>
      </c>
      <c r="K570">
        <v>5.62</v>
      </c>
      <c r="L570">
        <v>0</v>
      </c>
      <c r="M570">
        <v>25.66</v>
      </c>
      <c r="N570">
        <v>1571.82</v>
      </c>
      <c r="O570">
        <v>100</v>
      </c>
      <c r="P570">
        <v>3510.83</v>
      </c>
    </row>
    <row r="571" spans="1:16" x14ac:dyDescent="0.2">
      <c r="A571" t="s">
        <v>16</v>
      </c>
      <c r="C571" t="b">
        <v>1</v>
      </c>
      <c r="D571" t="s">
        <v>83</v>
      </c>
      <c r="E571" t="s">
        <v>27</v>
      </c>
      <c r="F571" t="b">
        <v>0</v>
      </c>
      <c r="G571">
        <v>22.32</v>
      </c>
      <c r="H571">
        <v>10.33</v>
      </c>
      <c r="I571">
        <v>49.85</v>
      </c>
      <c r="J571">
        <v>-0.78</v>
      </c>
      <c r="K571">
        <v>-3.38</v>
      </c>
      <c r="L571">
        <v>-0.97</v>
      </c>
      <c r="M571">
        <v>-1.74</v>
      </c>
      <c r="N571">
        <v>213.01</v>
      </c>
      <c r="O571">
        <v>13.55</v>
      </c>
      <c r="P571">
        <v>475.78</v>
      </c>
    </row>
    <row r="572" spans="1:16" x14ac:dyDescent="0.2">
      <c r="A572" t="s">
        <v>16</v>
      </c>
      <c r="C572" t="b">
        <v>1</v>
      </c>
      <c r="D572" t="s">
        <v>84</v>
      </c>
      <c r="E572" t="s">
        <v>18</v>
      </c>
      <c r="F572" t="b">
        <v>0</v>
      </c>
      <c r="G572">
        <v>9.0399999999999991</v>
      </c>
      <c r="H572">
        <v>4.33</v>
      </c>
      <c r="I572">
        <v>20.190000000000001</v>
      </c>
      <c r="J572">
        <v>0.4</v>
      </c>
      <c r="K572">
        <v>4.63</v>
      </c>
      <c r="L572">
        <v>0.01</v>
      </c>
      <c r="M572">
        <v>0.89</v>
      </c>
      <c r="N572">
        <v>78.260000000000005</v>
      </c>
      <c r="O572">
        <v>4.3899999999999997</v>
      </c>
      <c r="P572">
        <v>174.8</v>
      </c>
    </row>
    <row r="573" spans="1:16" x14ac:dyDescent="0.2">
      <c r="A573" t="s">
        <v>16</v>
      </c>
      <c r="C573" t="b">
        <v>1</v>
      </c>
      <c r="D573" t="s">
        <v>84</v>
      </c>
      <c r="E573" t="s">
        <v>19</v>
      </c>
      <c r="F573" t="b">
        <v>0</v>
      </c>
      <c r="G573">
        <v>30.17</v>
      </c>
      <c r="H573">
        <v>14.45</v>
      </c>
      <c r="I573">
        <v>67.39</v>
      </c>
      <c r="J573">
        <v>3.52</v>
      </c>
      <c r="K573">
        <v>13.21</v>
      </c>
      <c r="L573">
        <v>1.1399999999999999</v>
      </c>
      <c r="M573">
        <v>7.86</v>
      </c>
      <c r="N573">
        <v>242.54</v>
      </c>
      <c r="O573">
        <v>13.62</v>
      </c>
      <c r="P573">
        <v>541.74</v>
      </c>
    </row>
    <row r="574" spans="1:16" x14ac:dyDescent="0.2">
      <c r="A574" t="s">
        <v>16</v>
      </c>
      <c r="C574" t="b">
        <v>1</v>
      </c>
      <c r="D574" t="s">
        <v>84</v>
      </c>
      <c r="E574" t="s">
        <v>20</v>
      </c>
      <c r="F574" t="b">
        <v>0</v>
      </c>
      <c r="G574">
        <v>33.01</v>
      </c>
      <c r="H574">
        <v>15.8</v>
      </c>
      <c r="I574">
        <v>73.73</v>
      </c>
      <c r="J574">
        <v>-12.94</v>
      </c>
      <c r="K574">
        <v>-28.16</v>
      </c>
      <c r="L574">
        <v>-7.15</v>
      </c>
      <c r="M574">
        <v>-28.9</v>
      </c>
      <c r="N574">
        <v>327.14</v>
      </c>
      <c r="O574">
        <v>18.37</v>
      </c>
      <c r="P574">
        <v>730.7</v>
      </c>
    </row>
    <row r="575" spans="1:16" x14ac:dyDescent="0.2">
      <c r="A575" t="s">
        <v>16</v>
      </c>
      <c r="C575" t="b">
        <v>1</v>
      </c>
      <c r="D575" t="s">
        <v>84</v>
      </c>
      <c r="E575" t="s">
        <v>21</v>
      </c>
      <c r="F575" t="b">
        <v>0</v>
      </c>
      <c r="G575">
        <v>27.85</v>
      </c>
      <c r="H575">
        <v>13.33</v>
      </c>
      <c r="I575">
        <v>62.21</v>
      </c>
      <c r="J575">
        <v>2.06</v>
      </c>
      <c r="K575">
        <v>7.99</v>
      </c>
      <c r="L575">
        <v>0.45</v>
      </c>
      <c r="M575">
        <v>4.5999999999999996</v>
      </c>
      <c r="N575">
        <v>250.57</v>
      </c>
      <c r="O575">
        <v>14.07</v>
      </c>
      <c r="P575">
        <v>559.67999999999995</v>
      </c>
    </row>
    <row r="576" spans="1:16" x14ac:dyDescent="0.2">
      <c r="A576" t="s">
        <v>16</v>
      </c>
      <c r="C576" t="b">
        <v>1</v>
      </c>
      <c r="D576" t="s">
        <v>84</v>
      </c>
      <c r="E576" t="s">
        <v>22</v>
      </c>
      <c r="F576" t="b">
        <v>0</v>
      </c>
      <c r="G576">
        <v>57.38</v>
      </c>
      <c r="H576">
        <v>27.47</v>
      </c>
      <c r="I576">
        <v>128.16</v>
      </c>
      <c r="J576">
        <v>9.34</v>
      </c>
      <c r="K576">
        <v>19.440000000000001</v>
      </c>
      <c r="L576">
        <v>3.47</v>
      </c>
      <c r="M576">
        <v>20.86</v>
      </c>
      <c r="N576">
        <v>462.45</v>
      </c>
      <c r="O576">
        <v>25.97</v>
      </c>
      <c r="P576">
        <v>1032.93</v>
      </c>
    </row>
    <row r="577" spans="1:16" x14ac:dyDescent="0.2">
      <c r="A577" t="s">
        <v>16</v>
      </c>
      <c r="C577" t="b">
        <v>1</v>
      </c>
      <c r="D577" t="s">
        <v>84</v>
      </c>
      <c r="E577" t="s">
        <v>23</v>
      </c>
      <c r="F577" t="b">
        <v>0</v>
      </c>
      <c r="G577">
        <v>6.29</v>
      </c>
      <c r="H577">
        <v>3.01</v>
      </c>
      <c r="I577">
        <v>14.05</v>
      </c>
      <c r="J577">
        <v>0.11</v>
      </c>
      <c r="K577">
        <v>1.78</v>
      </c>
      <c r="L577">
        <v>-0.08</v>
      </c>
      <c r="M577">
        <v>0.25</v>
      </c>
      <c r="N577">
        <v>49.09</v>
      </c>
      <c r="O577">
        <v>2.76</v>
      </c>
      <c r="P577">
        <v>109.65</v>
      </c>
    </row>
    <row r="578" spans="1:16" x14ac:dyDescent="0.2">
      <c r="A578" t="s">
        <v>16</v>
      </c>
      <c r="C578" t="b">
        <v>1</v>
      </c>
      <c r="D578" t="s">
        <v>84</v>
      </c>
      <c r="E578" t="s">
        <v>24</v>
      </c>
      <c r="F578" t="b">
        <v>0</v>
      </c>
      <c r="G578">
        <v>1.41</v>
      </c>
      <c r="H578">
        <v>0.68</v>
      </c>
      <c r="I578">
        <v>3.15</v>
      </c>
      <c r="J578">
        <v>0.02</v>
      </c>
      <c r="K578">
        <v>1.44</v>
      </c>
      <c r="L578">
        <v>-0.01</v>
      </c>
      <c r="M578">
        <v>0.04</v>
      </c>
      <c r="N578">
        <v>11.98</v>
      </c>
      <c r="O578">
        <v>0.67</v>
      </c>
      <c r="P578">
        <v>26.76</v>
      </c>
    </row>
    <row r="579" spans="1:16" x14ac:dyDescent="0.2">
      <c r="A579" t="s">
        <v>16</v>
      </c>
      <c r="C579" t="b">
        <v>1</v>
      </c>
      <c r="D579" t="s">
        <v>84</v>
      </c>
      <c r="E579" t="s">
        <v>25</v>
      </c>
      <c r="F579" t="b">
        <v>0</v>
      </c>
      <c r="G579">
        <v>18.350000000000001</v>
      </c>
      <c r="H579">
        <v>8.7899999999999991</v>
      </c>
      <c r="I579">
        <v>40.99</v>
      </c>
      <c r="J579">
        <v>1.76</v>
      </c>
      <c r="K579">
        <v>10.61</v>
      </c>
      <c r="L579">
        <v>0.5</v>
      </c>
      <c r="M579">
        <v>3.93</v>
      </c>
      <c r="N579">
        <v>120.28</v>
      </c>
      <c r="O579">
        <v>6.75</v>
      </c>
      <c r="P579">
        <v>268.66000000000003</v>
      </c>
    </row>
    <row r="580" spans="1:16" x14ac:dyDescent="0.2">
      <c r="A580" t="s">
        <v>16</v>
      </c>
      <c r="C580" t="b">
        <v>1</v>
      </c>
      <c r="D580" t="s">
        <v>84</v>
      </c>
      <c r="E580" t="s">
        <v>26</v>
      </c>
      <c r="F580" t="b">
        <v>1</v>
      </c>
      <c r="G580">
        <v>208.86</v>
      </c>
      <c r="H580">
        <v>100</v>
      </c>
      <c r="I580">
        <v>466.51</v>
      </c>
      <c r="J580">
        <v>8.66</v>
      </c>
      <c r="K580">
        <v>4.33</v>
      </c>
      <c r="L580">
        <v>0</v>
      </c>
      <c r="M580">
        <v>19.34</v>
      </c>
      <c r="N580">
        <v>1780.68</v>
      </c>
      <c r="O580">
        <v>100</v>
      </c>
      <c r="P580">
        <v>3977.34</v>
      </c>
    </row>
    <row r="581" spans="1:16" x14ac:dyDescent="0.2">
      <c r="A581" t="s">
        <v>16</v>
      </c>
      <c r="C581" t="b">
        <v>1</v>
      </c>
      <c r="D581" t="s">
        <v>84</v>
      </c>
      <c r="E581" t="s">
        <v>27</v>
      </c>
      <c r="F581" t="b">
        <v>0</v>
      </c>
      <c r="G581">
        <v>25.36</v>
      </c>
      <c r="H581">
        <v>12.14</v>
      </c>
      <c r="I581">
        <v>56.64</v>
      </c>
      <c r="J581">
        <v>4.3899999999999997</v>
      </c>
      <c r="K581">
        <v>20.93</v>
      </c>
      <c r="L581">
        <v>1.67</v>
      </c>
      <c r="M581">
        <v>9.81</v>
      </c>
      <c r="N581">
        <v>238.37</v>
      </c>
      <c r="O581">
        <v>13.39</v>
      </c>
      <c r="P581">
        <v>532.42999999999995</v>
      </c>
    </row>
    <row r="582" spans="1:16" x14ac:dyDescent="0.2">
      <c r="A582" t="s">
        <v>16</v>
      </c>
      <c r="C582" t="b">
        <v>1</v>
      </c>
      <c r="D582" t="s">
        <v>85</v>
      </c>
      <c r="E582" t="s">
        <v>18</v>
      </c>
      <c r="F582" t="b">
        <v>0</v>
      </c>
      <c r="G582">
        <v>9.2100000000000009</v>
      </c>
      <c r="H582">
        <v>4.43</v>
      </c>
      <c r="I582">
        <v>20.57</v>
      </c>
      <c r="J582">
        <v>0.5</v>
      </c>
      <c r="K582">
        <v>5.74</v>
      </c>
      <c r="L582">
        <v>0.08</v>
      </c>
      <c r="M582">
        <v>1.1200000000000001</v>
      </c>
      <c r="N582">
        <v>87.47</v>
      </c>
      <c r="O582">
        <v>4.4000000000000004</v>
      </c>
      <c r="P582">
        <v>195.37</v>
      </c>
    </row>
    <row r="583" spans="1:16" x14ac:dyDescent="0.2">
      <c r="A583" t="s">
        <v>16</v>
      </c>
      <c r="C583" t="b">
        <v>1</v>
      </c>
      <c r="D583" t="s">
        <v>85</v>
      </c>
      <c r="E583" t="s">
        <v>19</v>
      </c>
      <c r="F583" t="b">
        <v>0</v>
      </c>
      <c r="G583">
        <v>36.74</v>
      </c>
      <c r="H583">
        <v>17.670000000000002</v>
      </c>
      <c r="I583">
        <v>82.06</v>
      </c>
      <c r="J583">
        <v>6.39</v>
      </c>
      <c r="K583">
        <v>21.05</v>
      </c>
      <c r="L583">
        <v>2.5299999999999998</v>
      </c>
      <c r="M583">
        <v>14.27</v>
      </c>
      <c r="N583">
        <v>279.27999999999997</v>
      </c>
      <c r="O583">
        <v>14.04</v>
      </c>
      <c r="P583">
        <v>623.79999999999995</v>
      </c>
    </row>
    <row r="584" spans="1:16" x14ac:dyDescent="0.2">
      <c r="A584" t="s">
        <v>16</v>
      </c>
      <c r="C584" t="b">
        <v>1</v>
      </c>
      <c r="D584" t="s">
        <v>85</v>
      </c>
      <c r="E584" t="s">
        <v>20</v>
      </c>
      <c r="F584" t="b">
        <v>0</v>
      </c>
      <c r="G584">
        <v>40.07</v>
      </c>
      <c r="H584">
        <v>19.27</v>
      </c>
      <c r="I584">
        <v>89.5</v>
      </c>
      <c r="J584">
        <v>-5.19</v>
      </c>
      <c r="K584">
        <v>-11.47</v>
      </c>
      <c r="L584">
        <v>-3.31</v>
      </c>
      <c r="M584">
        <v>-11.59</v>
      </c>
      <c r="N584">
        <v>367.21</v>
      </c>
      <c r="O584">
        <v>18.47</v>
      </c>
      <c r="P584">
        <v>820.2</v>
      </c>
    </row>
    <row r="585" spans="1:16" x14ac:dyDescent="0.2">
      <c r="A585" t="s">
        <v>16</v>
      </c>
      <c r="C585" t="b">
        <v>1</v>
      </c>
      <c r="D585" t="s">
        <v>85</v>
      </c>
      <c r="E585" t="s">
        <v>21</v>
      </c>
      <c r="F585" t="b">
        <v>0</v>
      </c>
      <c r="G585">
        <v>21.6</v>
      </c>
      <c r="H585">
        <v>10.39</v>
      </c>
      <c r="I585">
        <v>48.25</v>
      </c>
      <c r="J585">
        <v>-1.62</v>
      </c>
      <c r="K585">
        <v>-6.98</v>
      </c>
      <c r="L585">
        <v>-1.2</v>
      </c>
      <c r="M585">
        <v>-3.62</v>
      </c>
      <c r="N585">
        <v>272.17</v>
      </c>
      <c r="O585">
        <v>13.69</v>
      </c>
      <c r="P585">
        <v>607.91999999999996</v>
      </c>
    </row>
    <row r="586" spans="1:16" x14ac:dyDescent="0.2">
      <c r="A586" t="s">
        <v>16</v>
      </c>
      <c r="C586" t="b">
        <v>1</v>
      </c>
      <c r="D586" t="s">
        <v>85</v>
      </c>
      <c r="E586" t="s">
        <v>22</v>
      </c>
      <c r="F586" t="b">
        <v>0</v>
      </c>
      <c r="G586">
        <v>56.54</v>
      </c>
      <c r="H586">
        <v>27.19</v>
      </c>
      <c r="I586">
        <v>126.29</v>
      </c>
      <c r="J586">
        <v>9.1199999999999992</v>
      </c>
      <c r="K586">
        <v>19.23</v>
      </c>
      <c r="L586">
        <v>3.53</v>
      </c>
      <c r="M586">
        <v>20.37</v>
      </c>
      <c r="N586">
        <v>518.99</v>
      </c>
      <c r="O586">
        <v>26.1</v>
      </c>
      <c r="P586">
        <v>1159.22</v>
      </c>
    </row>
    <row r="587" spans="1:16" x14ac:dyDescent="0.2">
      <c r="A587" t="s">
        <v>16</v>
      </c>
      <c r="C587" t="b">
        <v>1</v>
      </c>
      <c r="D587" t="s">
        <v>85</v>
      </c>
      <c r="E587" t="s">
        <v>23</v>
      </c>
      <c r="F587" t="b">
        <v>0</v>
      </c>
      <c r="G587">
        <v>5.97</v>
      </c>
      <c r="H587">
        <v>2.87</v>
      </c>
      <c r="I587">
        <v>13.33</v>
      </c>
      <c r="J587">
        <v>-0.33</v>
      </c>
      <c r="K587">
        <v>-5.24</v>
      </c>
      <c r="L587">
        <v>-0.27</v>
      </c>
      <c r="M587">
        <v>-0.74</v>
      </c>
      <c r="N587">
        <v>55.06</v>
      </c>
      <c r="O587">
        <v>2.77</v>
      </c>
      <c r="P587">
        <v>122.98</v>
      </c>
    </row>
    <row r="588" spans="1:16" x14ac:dyDescent="0.2">
      <c r="A588" t="s">
        <v>16</v>
      </c>
      <c r="C588" t="b">
        <v>1</v>
      </c>
      <c r="D588" t="s">
        <v>85</v>
      </c>
      <c r="E588" t="s">
        <v>24</v>
      </c>
      <c r="F588" t="b">
        <v>0</v>
      </c>
      <c r="G588">
        <v>1.39</v>
      </c>
      <c r="H588">
        <v>0.67</v>
      </c>
      <c r="I588">
        <v>3.1</v>
      </c>
      <c r="J588">
        <v>-0.06</v>
      </c>
      <c r="K588">
        <v>-4.1399999999999997</v>
      </c>
      <c r="L588">
        <v>-0.05</v>
      </c>
      <c r="M588">
        <v>-0.13</v>
      </c>
      <c r="N588">
        <v>13.37</v>
      </c>
      <c r="O588">
        <v>0.67</v>
      </c>
      <c r="P588">
        <v>29.86</v>
      </c>
    </row>
    <row r="589" spans="1:16" x14ac:dyDescent="0.2">
      <c r="A589" t="s">
        <v>16</v>
      </c>
      <c r="C589" t="b">
        <v>1</v>
      </c>
      <c r="D589" t="s">
        <v>85</v>
      </c>
      <c r="E589" t="s">
        <v>25</v>
      </c>
      <c r="F589" t="b">
        <v>0</v>
      </c>
      <c r="G589">
        <v>15.47</v>
      </c>
      <c r="H589">
        <v>7.44</v>
      </c>
      <c r="I589">
        <v>34.549999999999997</v>
      </c>
      <c r="J589">
        <v>1.94</v>
      </c>
      <c r="K589">
        <v>14.34</v>
      </c>
      <c r="L589">
        <v>0.69</v>
      </c>
      <c r="M589">
        <v>4.33</v>
      </c>
      <c r="N589">
        <v>135.75</v>
      </c>
      <c r="O589">
        <v>6.83</v>
      </c>
      <c r="P589">
        <v>303.20999999999998</v>
      </c>
    </row>
    <row r="590" spans="1:16" x14ac:dyDescent="0.2">
      <c r="A590" t="s">
        <v>16</v>
      </c>
      <c r="C590" t="b">
        <v>1</v>
      </c>
      <c r="D590" t="s">
        <v>85</v>
      </c>
      <c r="E590" t="s">
        <v>26</v>
      </c>
      <c r="F590" t="b">
        <v>1</v>
      </c>
      <c r="G590">
        <v>207.96</v>
      </c>
      <c r="H590">
        <v>100</v>
      </c>
      <c r="I590">
        <v>464.5</v>
      </c>
      <c r="J590">
        <v>7.53</v>
      </c>
      <c r="K590">
        <v>3.76</v>
      </c>
      <c r="L590">
        <v>0</v>
      </c>
      <c r="M590">
        <v>16.82</v>
      </c>
      <c r="N590">
        <v>1988.64</v>
      </c>
      <c r="O590">
        <v>100</v>
      </c>
      <c r="P590">
        <v>4441.84</v>
      </c>
    </row>
    <row r="591" spans="1:16" x14ac:dyDescent="0.2">
      <c r="A591" t="s">
        <v>16</v>
      </c>
      <c r="C591" t="b">
        <v>1</v>
      </c>
      <c r="D591" t="s">
        <v>85</v>
      </c>
      <c r="E591" t="s">
        <v>27</v>
      </c>
      <c r="F591" t="b">
        <v>0</v>
      </c>
      <c r="G591">
        <v>20.97</v>
      </c>
      <c r="H591">
        <v>10.08</v>
      </c>
      <c r="I591">
        <v>46.84</v>
      </c>
      <c r="J591">
        <v>-3.22</v>
      </c>
      <c r="K591">
        <v>-13.31</v>
      </c>
      <c r="L591">
        <v>-1.99</v>
      </c>
      <c r="M591">
        <v>-7.19</v>
      </c>
      <c r="N591">
        <v>259.33999999999997</v>
      </c>
      <c r="O591">
        <v>13.04</v>
      </c>
      <c r="P591">
        <v>579.26</v>
      </c>
    </row>
    <row r="592" spans="1:16" x14ac:dyDescent="0.2">
      <c r="A592" t="s">
        <v>16</v>
      </c>
      <c r="C592" t="b">
        <v>1</v>
      </c>
      <c r="D592" t="s">
        <v>86</v>
      </c>
      <c r="E592" t="s">
        <v>18</v>
      </c>
      <c r="F592" t="b">
        <v>0</v>
      </c>
      <c r="G592">
        <v>10.01</v>
      </c>
      <c r="H592">
        <v>4.49</v>
      </c>
      <c r="I592">
        <v>22.36</v>
      </c>
      <c r="J592">
        <v>0.62</v>
      </c>
      <c r="K592">
        <v>6.6</v>
      </c>
      <c r="L592">
        <v>0.19</v>
      </c>
      <c r="M592">
        <v>1.38</v>
      </c>
      <c r="N592">
        <v>97.48</v>
      </c>
      <c r="O592">
        <v>4.41</v>
      </c>
      <c r="P592">
        <v>217.73</v>
      </c>
    </row>
    <row r="593" spans="1:16" x14ac:dyDescent="0.2">
      <c r="A593" t="s">
        <v>16</v>
      </c>
      <c r="C593" t="b">
        <v>1</v>
      </c>
      <c r="D593" t="s">
        <v>86</v>
      </c>
      <c r="E593" t="s">
        <v>19</v>
      </c>
      <c r="F593" t="b">
        <v>0</v>
      </c>
      <c r="G593">
        <v>36.71</v>
      </c>
      <c r="H593">
        <v>16.47</v>
      </c>
      <c r="I593">
        <v>82</v>
      </c>
      <c r="J593">
        <v>4.59</v>
      </c>
      <c r="K593">
        <v>14.29</v>
      </c>
      <c r="L593">
        <v>1.76</v>
      </c>
      <c r="M593">
        <v>10.25</v>
      </c>
      <c r="N593">
        <v>315.99</v>
      </c>
      <c r="O593">
        <v>14.29</v>
      </c>
      <c r="P593">
        <v>705.8</v>
      </c>
    </row>
    <row r="594" spans="1:16" x14ac:dyDescent="0.2">
      <c r="A594" t="s">
        <v>16</v>
      </c>
      <c r="C594" t="b">
        <v>1</v>
      </c>
      <c r="D594" t="s">
        <v>86</v>
      </c>
      <c r="E594" t="s">
        <v>20</v>
      </c>
      <c r="F594" t="b">
        <v>0</v>
      </c>
      <c r="G594">
        <v>39.07</v>
      </c>
      <c r="H594">
        <v>17.53</v>
      </c>
      <c r="I594">
        <v>87.27</v>
      </c>
      <c r="J594">
        <v>-0.52</v>
      </c>
      <c r="K594">
        <v>-1.31</v>
      </c>
      <c r="L594">
        <v>-0.6</v>
      </c>
      <c r="M594">
        <v>-1.1599999999999999</v>
      </c>
      <c r="N594">
        <v>406.28</v>
      </c>
      <c r="O594">
        <v>18.37</v>
      </c>
      <c r="P594">
        <v>907.47</v>
      </c>
    </row>
    <row r="595" spans="1:16" x14ac:dyDescent="0.2">
      <c r="A595" t="s">
        <v>16</v>
      </c>
      <c r="C595" t="b">
        <v>1</v>
      </c>
      <c r="D595" t="s">
        <v>86</v>
      </c>
      <c r="E595" t="s">
        <v>21</v>
      </c>
      <c r="F595" t="b">
        <v>0</v>
      </c>
      <c r="G595">
        <v>20.309999999999999</v>
      </c>
      <c r="H595">
        <v>9.11</v>
      </c>
      <c r="I595">
        <v>45.36</v>
      </c>
      <c r="J595">
        <v>-7.89</v>
      </c>
      <c r="K595">
        <v>-27.98</v>
      </c>
      <c r="L595">
        <v>-3.8</v>
      </c>
      <c r="M595">
        <v>-17.62</v>
      </c>
      <c r="N595">
        <v>292.48</v>
      </c>
      <c r="O595">
        <v>13.23</v>
      </c>
      <c r="P595">
        <v>653.29</v>
      </c>
    </row>
    <row r="596" spans="1:16" x14ac:dyDescent="0.2">
      <c r="A596" t="s">
        <v>16</v>
      </c>
      <c r="C596" t="b">
        <v>1</v>
      </c>
      <c r="D596" t="s">
        <v>86</v>
      </c>
      <c r="E596" t="s">
        <v>22</v>
      </c>
      <c r="F596" t="b">
        <v>0</v>
      </c>
      <c r="G596">
        <v>59.28</v>
      </c>
      <c r="H596">
        <v>26.6</v>
      </c>
      <c r="I596">
        <v>132.41</v>
      </c>
      <c r="J596">
        <v>5.09</v>
      </c>
      <c r="K596">
        <v>9.39</v>
      </c>
      <c r="L596">
        <v>1.79</v>
      </c>
      <c r="M596">
        <v>11.37</v>
      </c>
      <c r="N596">
        <v>578.27</v>
      </c>
      <c r="O596">
        <v>26.15</v>
      </c>
      <c r="P596">
        <v>1291.6300000000001</v>
      </c>
    </row>
    <row r="597" spans="1:16" x14ac:dyDescent="0.2">
      <c r="A597" t="s">
        <v>16</v>
      </c>
      <c r="C597" t="b">
        <v>1</v>
      </c>
      <c r="D597" t="s">
        <v>86</v>
      </c>
      <c r="E597" t="s">
        <v>23</v>
      </c>
      <c r="F597" t="b">
        <v>0</v>
      </c>
      <c r="G597">
        <v>6.26</v>
      </c>
      <c r="H597">
        <v>2.81</v>
      </c>
      <c r="I597">
        <v>13.98</v>
      </c>
      <c r="J597">
        <v>0.01</v>
      </c>
      <c r="K597">
        <v>0.16</v>
      </c>
      <c r="L597">
        <v>-0.05</v>
      </c>
      <c r="M597">
        <v>0.02</v>
      </c>
      <c r="N597">
        <v>61.32</v>
      </c>
      <c r="O597">
        <v>2.77</v>
      </c>
      <c r="P597">
        <v>136.96</v>
      </c>
    </row>
    <row r="598" spans="1:16" x14ac:dyDescent="0.2">
      <c r="A598" t="s">
        <v>16</v>
      </c>
      <c r="C598" t="b">
        <v>1</v>
      </c>
      <c r="D598" t="s">
        <v>86</v>
      </c>
      <c r="E598" t="s">
        <v>24</v>
      </c>
      <c r="F598" t="b">
        <v>0</v>
      </c>
      <c r="G598">
        <v>1.51</v>
      </c>
      <c r="H598">
        <v>0.68</v>
      </c>
      <c r="I598">
        <v>3.37</v>
      </c>
      <c r="J598">
        <v>-7.0000000000000007E-2</v>
      </c>
      <c r="K598">
        <v>-4.43</v>
      </c>
      <c r="L598">
        <v>-0.04</v>
      </c>
      <c r="M598">
        <v>-0.16</v>
      </c>
      <c r="N598">
        <v>14.88</v>
      </c>
      <c r="O598">
        <v>0.67</v>
      </c>
      <c r="P598">
        <v>33.24</v>
      </c>
    </row>
    <row r="599" spans="1:16" x14ac:dyDescent="0.2">
      <c r="A599" t="s">
        <v>16</v>
      </c>
      <c r="C599" t="b">
        <v>1</v>
      </c>
      <c r="D599" t="s">
        <v>86</v>
      </c>
      <c r="E599" t="s">
        <v>25</v>
      </c>
      <c r="F599" t="b">
        <v>0</v>
      </c>
      <c r="G599">
        <v>11.45</v>
      </c>
      <c r="H599">
        <v>5.14</v>
      </c>
      <c r="I599">
        <v>25.57</v>
      </c>
      <c r="J599">
        <v>3.24</v>
      </c>
      <c r="K599">
        <v>39.46</v>
      </c>
      <c r="L599">
        <v>1.38</v>
      </c>
      <c r="M599">
        <v>7.24</v>
      </c>
      <c r="N599">
        <v>147.19999999999999</v>
      </c>
      <c r="O599">
        <v>6.66</v>
      </c>
      <c r="P599">
        <v>328.79</v>
      </c>
    </row>
    <row r="600" spans="1:16" x14ac:dyDescent="0.2">
      <c r="A600" t="s">
        <v>16</v>
      </c>
      <c r="C600" t="b">
        <v>1</v>
      </c>
      <c r="D600" t="s">
        <v>86</v>
      </c>
      <c r="E600" t="s">
        <v>26</v>
      </c>
      <c r="F600" t="b">
        <v>1</v>
      </c>
      <c r="G600">
        <v>222.85</v>
      </c>
      <c r="H600">
        <v>100</v>
      </c>
      <c r="I600">
        <v>497.76</v>
      </c>
      <c r="J600">
        <v>4.46</v>
      </c>
      <c r="K600">
        <v>2.04</v>
      </c>
      <c r="L600">
        <v>0</v>
      </c>
      <c r="M600">
        <v>9.9600000000000009</v>
      </c>
      <c r="N600">
        <v>2211.4899999999998</v>
      </c>
      <c r="O600">
        <v>100</v>
      </c>
      <c r="P600">
        <v>4939.6000000000004</v>
      </c>
    </row>
    <row r="601" spans="1:16" x14ac:dyDescent="0.2">
      <c r="A601" t="s">
        <v>16</v>
      </c>
      <c r="C601" t="b">
        <v>1</v>
      </c>
      <c r="D601" t="s">
        <v>86</v>
      </c>
      <c r="E601" t="s">
        <v>27</v>
      </c>
      <c r="F601" t="b">
        <v>0</v>
      </c>
      <c r="G601">
        <v>38.25</v>
      </c>
      <c r="H601">
        <v>17.16</v>
      </c>
      <c r="I601">
        <v>85.44</v>
      </c>
      <c r="J601">
        <v>-0.61</v>
      </c>
      <c r="K601">
        <v>-1.57</v>
      </c>
      <c r="L601">
        <v>-0.63</v>
      </c>
      <c r="M601">
        <v>-1.36</v>
      </c>
      <c r="N601">
        <v>297.58999999999997</v>
      </c>
      <c r="O601">
        <v>13.46</v>
      </c>
      <c r="P601">
        <v>664.7</v>
      </c>
    </row>
    <row r="602" spans="1:16" x14ac:dyDescent="0.2">
      <c r="A602" t="s">
        <v>16</v>
      </c>
      <c r="C602" t="b">
        <v>1</v>
      </c>
      <c r="D602" t="s">
        <v>87</v>
      </c>
      <c r="E602" t="s">
        <v>18</v>
      </c>
      <c r="F602" t="b">
        <v>0</v>
      </c>
      <c r="G602">
        <v>10.61</v>
      </c>
      <c r="H602">
        <v>4.49</v>
      </c>
      <c r="I602">
        <v>23.7</v>
      </c>
      <c r="J602">
        <v>0.83</v>
      </c>
      <c r="K602">
        <v>8.49</v>
      </c>
      <c r="L602">
        <v>0.16</v>
      </c>
      <c r="M602">
        <v>1.85</v>
      </c>
      <c r="N602">
        <v>108.09</v>
      </c>
      <c r="O602">
        <v>4.42</v>
      </c>
      <c r="P602">
        <v>241.43</v>
      </c>
    </row>
    <row r="603" spans="1:16" x14ac:dyDescent="0.2">
      <c r="A603" t="s">
        <v>16</v>
      </c>
      <c r="C603" t="b">
        <v>1</v>
      </c>
      <c r="D603" t="s">
        <v>87</v>
      </c>
      <c r="E603" t="s">
        <v>19</v>
      </c>
      <c r="F603" t="b">
        <v>0</v>
      </c>
      <c r="G603">
        <v>40.49</v>
      </c>
      <c r="H603">
        <v>17.149999999999999</v>
      </c>
      <c r="I603">
        <v>90.44</v>
      </c>
      <c r="J603">
        <v>5.0599999999999996</v>
      </c>
      <c r="K603">
        <v>14.28</v>
      </c>
      <c r="L603">
        <v>1.45</v>
      </c>
      <c r="M603">
        <v>11.3</v>
      </c>
      <c r="N603">
        <v>356.48</v>
      </c>
      <c r="O603">
        <v>14.56</v>
      </c>
      <c r="P603">
        <v>796.24</v>
      </c>
    </row>
    <row r="604" spans="1:16" x14ac:dyDescent="0.2">
      <c r="A604" t="s">
        <v>16</v>
      </c>
      <c r="C604" t="b">
        <v>1</v>
      </c>
      <c r="D604" t="s">
        <v>87</v>
      </c>
      <c r="E604" t="s">
        <v>20</v>
      </c>
      <c r="F604" t="b">
        <v>0</v>
      </c>
      <c r="G604">
        <v>54.94</v>
      </c>
      <c r="H604">
        <v>23.27</v>
      </c>
      <c r="I604">
        <v>122.71</v>
      </c>
      <c r="J604">
        <v>6.4</v>
      </c>
      <c r="K604">
        <v>13.19</v>
      </c>
      <c r="L604">
        <v>1.77</v>
      </c>
      <c r="M604">
        <v>14.3</v>
      </c>
      <c r="N604">
        <v>461.22</v>
      </c>
      <c r="O604">
        <v>18.84</v>
      </c>
      <c r="P604">
        <v>1030.18</v>
      </c>
    </row>
    <row r="605" spans="1:16" x14ac:dyDescent="0.2">
      <c r="A605" t="s">
        <v>16</v>
      </c>
      <c r="C605" t="b">
        <v>1</v>
      </c>
      <c r="D605" t="s">
        <v>87</v>
      </c>
      <c r="E605" t="s">
        <v>21</v>
      </c>
      <c r="F605" t="b">
        <v>0</v>
      </c>
      <c r="G605">
        <v>22.27</v>
      </c>
      <c r="H605">
        <v>9.43</v>
      </c>
      <c r="I605">
        <v>49.74</v>
      </c>
      <c r="J605">
        <v>-4.97</v>
      </c>
      <c r="K605">
        <v>-18.25</v>
      </c>
      <c r="L605">
        <v>-2.64</v>
      </c>
      <c r="M605">
        <v>-11.1</v>
      </c>
      <c r="N605">
        <v>314.75</v>
      </c>
      <c r="O605">
        <v>12.86</v>
      </c>
      <c r="P605">
        <v>703.03</v>
      </c>
    </row>
    <row r="606" spans="1:16" x14ac:dyDescent="0.2">
      <c r="A606" t="s">
        <v>16</v>
      </c>
      <c r="C606" t="b">
        <v>1</v>
      </c>
      <c r="D606" t="s">
        <v>87</v>
      </c>
      <c r="E606" t="s">
        <v>22</v>
      </c>
      <c r="F606" t="b">
        <v>0</v>
      </c>
      <c r="G606">
        <v>58.55</v>
      </c>
      <c r="H606">
        <v>24.8</v>
      </c>
      <c r="I606">
        <v>130.78</v>
      </c>
      <c r="J606">
        <v>0.79</v>
      </c>
      <c r="K606">
        <v>1.37</v>
      </c>
      <c r="L606">
        <v>-0.79</v>
      </c>
      <c r="M606">
        <v>1.76</v>
      </c>
      <c r="N606">
        <v>636.82000000000005</v>
      </c>
      <c r="O606">
        <v>26.02</v>
      </c>
      <c r="P606">
        <v>1422.41</v>
      </c>
    </row>
    <row r="607" spans="1:16" x14ac:dyDescent="0.2">
      <c r="A607" t="s">
        <v>16</v>
      </c>
      <c r="C607" t="b">
        <v>1</v>
      </c>
      <c r="D607" t="s">
        <v>87</v>
      </c>
      <c r="E607" t="s">
        <v>23</v>
      </c>
      <c r="F607" t="b">
        <v>0</v>
      </c>
      <c r="G607">
        <v>6.74</v>
      </c>
      <c r="H607">
        <v>2.86</v>
      </c>
      <c r="I607">
        <v>15.05</v>
      </c>
      <c r="J607">
        <v>0.28000000000000003</v>
      </c>
      <c r="K607">
        <v>4.33</v>
      </c>
      <c r="L607">
        <v>0</v>
      </c>
      <c r="M607">
        <v>0.63</v>
      </c>
      <c r="N607">
        <v>68.06</v>
      </c>
      <c r="O607">
        <v>2.78</v>
      </c>
      <c r="P607">
        <v>152.02000000000001</v>
      </c>
    </row>
    <row r="608" spans="1:16" x14ac:dyDescent="0.2">
      <c r="A608" t="s">
        <v>16</v>
      </c>
      <c r="C608" t="b">
        <v>1</v>
      </c>
      <c r="D608" t="s">
        <v>87</v>
      </c>
      <c r="E608" t="s">
        <v>24</v>
      </c>
      <c r="F608" t="b">
        <v>0</v>
      </c>
      <c r="G608">
        <v>1.53</v>
      </c>
      <c r="H608">
        <v>0.65</v>
      </c>
      <c r="I608">
        <v>3.42</v>
      </c>
      <c r="J608">
        <v>-0.03</v>
      </c>
      <c r="K608">
        <v>-1.92</v>
      </c>
      <c r="L608">
        <v>-0.04</v>
      </c>
      <c r="M608">
        <v>-7.0000000000000007E-2</v>
      </c>
      <c r="N608">
        <v>16.41</v>
      </c>
      <c r="O608">
        <v>0.67</v>
      </c>
      <c r="P608">
        <v>36.65</v>
      </c>
    </row>
    <row r="609" spans="1:16" x14ac:dyDescent="0.2">
      <c r="A609" t="s">
        <v>16</v>
      </c>
      <c r="C609" t="b">
        <v>1</v>
      </c>
      <c r="D609" t="s">
        <v>87</v>
      </c>
      <c r="E609" t="s">
        <v>25</v>
      </c>
      <c r="F609" t="b">
        <v>0</v>
      </c>
      <c r="G609">
        <v>5.83</v>
      </c>
      <c r="H609">
        <v>2.4700000000000002</v>
      </c>
      <c r="I609">
        <v>13.02</v>
      </c>
      <c r="J609">
        <v>0.24</v>
      </c>
      <c r="K609">
        <v>4.29</v>
      </c>
      <c r="L609">
        <v>-0.01</v>
      </c>
      <c r="M609">
        <v>0.54</v>
      </c>
      <c r="N609">
        <v>153.03</v>
      </c>
      <c r="O609">
        <v>6.25</v>
      </c>
      <c r="P609">
        <v>341.81</v>
      </c>
    </row>
    <row r="610" spans="1:16" x14ac:dyDescent="0.2">
      <c r="A610" t="s">
        <v>16</v>
      </c>
      <c r="C610" t="b">
        <v>1</v>
      </c>
      <c r="D610" t="s">
        <v>87</v>
      </c>
      <c r="E610" t="s">
        <v>26</v>
      </c>
      <c r="F610" t="b">
        <v>1</v>
      </c>
      <c r="G610">
        <v>236.07</v>
      </c>
      <c r="H610">
        <v>100</v>
      </c>
      <c r="I610">
        <v>527.29</v>
      </c>
      <c r="J610">
        <v>10.35</v>
      </c>
      <c r="K610">
        <v>4.59</v>
      </c>
      <c r="L610">
        <v>0</v>
      </c>
      <c r="M610">
        <v>23.12</v>
      </c>
      <c r="N610">
        <v>2447.56</v>
      </c>
      <c r="O610">
        <v>100</v>
      </c>
      <c r="P610">
        <v>5466.89</v>
      </c>
    </row>
    <row r="611" spans="1:16" x14ac:dyDescent="0.2">
      <c r="A611" t="s">
        <v>16</v>
      </c>
      <c r="C611" t="b">
        <v>1</v>
      </c>
      <c r="D611" t="s">
        <v>87</v>
      </c>
      <c r="E611" t="s">
        <v>27</v>
      </c>
      <c r="F611" t="b">
        <v>0</v>
      </c>
      <c r="G611">
        <v>35.11</v>
      </c>
      <c r="H611">
        <v>14.87</v>
      </c>
      <c r="I611">
        <v>78.42</v>
      </c>
      <c r="J611">
        <v>1.75</v>
      </c>
      <c r="K611">
        <v>5.25</v>
      </c>
      <c r="L611">
        <v>0.09</v>
      </c>
      <c r="M611">
        <v>3.91</v>
      </c>
      <c r="N611">
        <v>332.7</v>
      </c>
      <c r="O611">
        <v>13.59</v>
      </c>
      <c r="P611">
        <v>743.12</v>
      </c>
    </row>
    <row r="612" spans="1:16" x14ac:dyDescent="0.2">
      <c r="A612" t="s">
        <v>16</v>
      </c>
      <c r="C612" t="b">
        <v>1</v>
      </c>
      <c r="D612" t="s">
        <v>88</v>
      </c>
      <c r="E612" t="s">
        <v>18</v>
      </c>
      <c r="F612" t="b">
        <v>0</v>
      </c>
      <c r="G612">
        <v>11.71</v>
      </c>
      <c r="H612">
        <v>4.6399999999999997</v>
      </c>
      <c r="I612">
        <v>26.16</v>
      </c>
      <c r="J612">
        <v>0.92</v>
      </c>
      <c r="K612">
        <v>8.5299999999999994</v>
      </c>
      <c r="L612">
        <v>0.17</v>
      </c>
      <c r="M612">
        <v>2.0499999999999998</v>
      </c>
      <c r="N612">
        <v>119.8</v>
      </c>
      <c r="O612">
        <v>4.4400000000000004</v>
      </c>
      <c r="P612">
        <v>267.58999999999997</v>
      </c>
    </row>
    <row r="613" spans="1:16" x14ac:dyDescent="0.2">
      <c r="A613" t="s">
        <v>16</v>
      </c>
      <c r="C613" t="b">
        <v>1</v>
      </c>
      <c r="D613" t="s">
        <v>88</v>
      </c>
      <c r="E613" t="s">
        <v>19</v>
      </c>
      <c r="F613" t="b">
        <v>0</v>
      </c>
      <c r="G613">
        <v>42.48</v>
      </c>
      <c r="H613">
        <v>16.82</v>
      </c>
      <c r="I613">
        <v>94.88</v>
      </c>
      <c r="J613">
        <v>7.5</v>
      </c>
      <c r="K613">
        <v>21.44</v>
      </c>
      <c r="L613">
        <v>2.33</v>
      </c>
      <c r="M613">
        <v>16.75</v>
      </c>
      <c r="N613">
        <v>398.96</v>
      </c>
      <c r="O613">
        <v>14.78</v>
      </c>
      <c r="P613">
        <v>891.12</v>
      </c>
    </row>
    <row r="614" spans="1:16" x14ac:dyDescent="0.2">
      <c r="A614" t="s">
        <v>16</v>
      </c>
      <c r="C614" t="b">
        <v>1</v>
      </c>
      <c r="D614" t="s">
        <v>88</v>
      </c>
      <c r="E614" t="s">
        <v>20</v>
      </c>
      <c r="F614" t="b">
        <v>0</v>
      </c>
      <c r="G614">
        <v>52.83</v>
      </c>
      <c r="H614">
        <v>20.92</v>
      </c>
      <c r="I614">
        <v>118</v>
      </c>
      <c r="J614">
        <v>2.76</v>
      </c>
      <c r="K614">
        <v>5.51</v>
      </c>
      <c r="L614">
        <v>0.18</v>
      </c>
      <c r="M614">
        <v>6.16</v>
      </c>
      <c r="N614">
        <v>514.04999999999995</v>
      </c>
      <c r="O614">
        <v>19.04</v>
      </c>
      <c r="P614">
        <v>1148.19</v>
      </c>
    </row>
    <row r="615" spans="1:16" x14ac:dyDescent="0.2">
      <c r="A615" t="s">
        <v>16</v>
      </c>
      <c r="C615" t="b">
        <v>1</v>
      </c>
      <c r="D615" t="s">
        <v>88</v>
      </c>
      <c r="E615" t="s">
        <v>21</v>
      </c>
      <c r="F615" t="b">
        <v>0</v>
      </c>
      <c r="G615">
        <v>27.87</v>
      </c>
      <c r="H615">
        <v>11.03</v>
      </c>
      <c r="I615">
        <v>62.25</v>
      </c>
      <c r="J615">
        <v>-2.25</v>
      </c>
      <c r="K615">
        <v>-7.47</v>
      </c>
      <c r="L615">
        <v>-1.44</v>
      </c>
      <c r="M615">
        <v>-5.03</v>
      </c>
      <c r="N615">
        <v>342.62</v>
      </c>
      <c r="O615">
        <v>12.69</v>
      </c>
      <c r="P615">
        <v>765.28</v>
      </c>
    </row>
    <row r="616" spans="1:16" x14ac:dyDescent="0.2">
      <c r="A616" t="s">
        <v>16</v>
      </c>
      <c r="C616" t="b">
        <v>1</v>
      </c>
      <c r="D616" t="s">
        <v>88</v>
      </c>
      <c r="E616" t="s">
        <v>22</v>
      </c>
      <c r="F616" t="b">
        <v>0</v>
      </c>
      <c r="G616">
        <v>61.27</v>
      </c>
      <c r="H616">
        <v>24.26</v>
      </c>
      <c r="I616">
        <v>136.85</v>
      </c>
      <c r="J616">
        <v>-2.69</v>
      </c>
      <c r="K616">
        <v>-4.21</v>
      </c>
      <c r="L616">
        <v>-2.23</v>
      </c>
      <c r="M616">
        <v>-6.01</v>
      </c>
      <c r="N616">
        <v>698.09</v>
      </c>
      <c r="O616">
        <v>25.85</v>
      </c>
      <c r="P616">
        <v>1559.26</v>
      </c>
    </row>
    <row r="617" spans="1:16" x14ac:dyDescent="0.2">
      <c r="A617" t="s">
        <v>16</v>
      </c>
      <c r="C617" t="b">
        <v>1</v>
      </c>
      <c r="D617" t="s">
        <v>88</v>
      </c>
      <c r="E617" t="s">
        <v>23</v>
      </c>
      <c r="F617" t="b">
        <v>0</v>
      </c>
      <c r="G617">
        <v>7.41</v>
      </c>
      <c r="H617">
        <v>2.93</v>
      </c>
      <c r="I617">
        <v>16.55</v>
      </c>
      <c r="J617">
        <v>0.8</v>
      </c>
      <c r="K617">
        <v>12.1</v>
      </c>
      <c r="L617">
        <v>0.19</v>
      </c>
      <c r="M617">
        <v>1.79</v>
      </c>
      <c r="N617">
        <v>75.47</v>
      </c>
      <c r="O617">
        <v>2.8</v>
      </c>
      <c r="P617">
        <v>168.57</v>
      </c>
    </row>
    <row r="618" spans="1:16" x14ac:dyDescent="0.2">
      <c r="A618" t="s">
        <v>16</v>
      </c>
      <c r="C618" t="b">
        <v>1</v>
      </c>
      <c r="D618" t="s">
        <v>88</v>
      </c>
      <c r="E618" t="s">
        <v>24</v>
      </c>
      <c r="F618" t="b">
        <v>0</v>
      </c>
      <c r="G618">
        <v>1.57</v>
      </c>
      <c r="H618">
        <v>0.62</v>
      </c>
      <c r="I618">
        <v>3.51</v>
      </c>
      <c r="J618">
        <v>-7.0000000000000007E-2</v>
      </c>
      <c r="K618">
        <v>-4.2699999999999996</v>
      </c>
      <c r="L618">
        <v>-0.06</v>
      </c>
      <c r="M618">
        <v>-0.16</v>
      </c>
      <c r="N618">
        <v>17.98</v>
      </c>
      <c r="O618">
        <v>0.67</v>
      </c>
      <c r="P618">
        <v>40.159999999999997</v>
      </c>
    </row>
    <row r="619" spans="1:16" x14ac:dyDescent="0.2">
      <c r="A619" t="s">
        <v>16</v>
      </c>
      <c r="C619" t="b">
        <v>1</v>
      </c>
      <c r="D619" t="s">
        <v>88</v>
      </c>
      <c r="E619" t="s">
        <v>25</v>
      </c>
      <c r="F619" t="b">
        <v>0</v>
      </c>
      <c r="G619">
        <v>4.5</v>
      </c>
      <c r="H619">
        <v>1.78</v>
      </c>
      <c r="I619">
        <v>10.050000000000001</v>
      </c>
      <c r="J619">
        <v>1.1100000000000001</v>
      </c>
      <c r="K619">
        <v>32.74</v>
      </c>
      <c r="L619">
        <v>0.38</v>
      </c>
      <c r="M619">
        <v>2.48</v>
      </c>
      <c r="N619">
        <v>157.53</v>
      </c>
      <c r="O619">
        <v>5.83</v>
      </c>
      <c r="P619">
        <v>351.86</v>
      </c>
    </row>
    <row r="620" spans="1:16" x14ac:dyDescent="0.2">
      <c r="A620" t="s">
        <v>16</v>
      </c>
      <c r="C620" t="b">
        <v>1</v>
      </c>
      <c r="D620" t="s">
        <v>88</v>
      </c>
      <c r="E620" t="s">
        <v>26</v>
      </c>
      <c r="F620" t="b">
        <v>1</v>
      </c>
      <c r="G620">
        <v>252.58</v>
      </c>
      <c r="H620">
        <v>100</v>
      </c>
      <c r="I620">
        <v>564.16</v>
      </c>
      <c r="J620">
        <v>11.11</v>
      </c>
      <c r="K620">
        <v>4.5999999999999996</v>
      </c>
      <c r="L620">
        <v>0</v>
      </c>
      <c r="M620">
        <v>24.82</v>
      </c>
      <c r="N620">
        <v>2700.14</v>
      </c>
      <c r="O620">
        <v>100</v>
      </c>
      <c r="P620">
        <v>6031.06</v>
      </c>
    </row>
    <row r="621" spans="1:16" x14ac:dyDescent="0.2">
      <c r="A621" t="s">
        <v>16</v>
      </c>
      <c r="C621" t="b">
        <v>1</v>
      </c>
      <c r="D621" t="s">
        <v>88</v>
      </c>
      <c r="E621" t="s">
        <v>27</v>
      </c>
      <c r="F621" t="b">
        <v>0</v>
      </c>
      <c r="G621">
        <v>42.94</v>
      </c>
      <c r="H621">
        <v>17</v>
      </c>
      <c r="I621">
        <v>95.91</v>
      </c>
      <c r="J621">
        <v>3.03</v>
      </c>
      <c r="K621">
        <v>7.59</v>
      </c>
      <c r="L621">
        <v>0.47</v>
      </c>
      <c r="M621">
        <v>6.77</v>
      </c>
      <c r="N621">
        <v>375.64</v>
      </c>
      <c r="O621">
        <v>13.91</v>
      </c>
      <c r="P621">
        <v>839.03</v>
      </c>
    </row>
    <row r="622" spans="1:16" x14ac:dyDescent="0.2">
      <c r="A622" t="s">
        <v>16</v>
      </c>
      <c r="C622" t="b">
        <v>1</v>
      </c>
      <c r="D622" t="s">
        <v>89</v>
      </c>
      <c r="E622" t="s">
        <v>18</v>
      </c>
      <c r="F622" t="b">
        <v>0</v>
      </c>
      <c r="G622">
        <v>11.39</v>
      </c>
      <c r="H622">
        <v>4.41</v>
      </c>
      <c r="I622">
        <v>25.36</v>
      </c>
      <c r="J622">
        <v>0.02</v>
      </c>
      <c r="K622">
        <v>0.18</v>
      </c>
      <c r="L622">
        <v>-0.02</v>
      </c>
      <c r="M622">
        <v>0.04</v>
      </c>
      <c r="N622">
        <v>11.39</v>
      </c>
      <c r="O622">
        <v>4.41</v>
      </c>
      <c r="P622">
        <v>25.36</v>
      </c>
    </row>
    <row r="623" spans="1:16" x14ac:dyDescent="0.2">
      <c r="A623" t="s">
        <v>16</v>
      </c>
      <c r="C623" t="b">
        <v>1</v>
      </c>
      <c r="D623" t="s">
        <v>89</v>
      </c>
      <c r="E623" t="s">
        <v>19</v>
      </c>
      <c r="F623" t="b">
        <v>0</v>
      </c>
      <c r="G623">
        <v>40.090000000000003</v>
      </c>
      <c r="H623">
        <v>15.52</v>
      </c>
      <c r="I623">
        <v>89.26</v>
      </c>
      <c r="J623">
        <v>0.28000000000000003</v>
      </c>
      <c r="K623">
        <v>0.7</v>
      </c>
      <c r="L623">
        <v>0.02</v>
      </c>
      <c r="M623">
        <v>0.62</v>
      </c>
      <c r="N623">
        <v>40.090000000000003</v>
      </c>
      <c r="O623">
        <v>15.52</v>
      </c>
      <c r="P623">
        <v>89.26</v>
      </c>
    </row>
    <row r="624" spans="1:16" x14ac:dyDescent="0.2">
      <c r="A624" t="s">
        <v>16</v>
      </c>
      <c r="C624" t="b">
        <v>1</v>
      </c>
      <c r="D624" t="s">
        <v>89</v>
      </c>
      <c r="E624" t="s">
        <v>20</v>
      </c>
      <c r="F624" t="b">
        <v>0</v>
      </c>
      <c r="G624">
        <v>54.66</v>
      </c>
      <c r="H624">
        <v>21.16</v>
      </c>
      <c r="I624">
        <v>121.71</v>
      </c>
      <c r="J624">
        <v>2.48</v>
      </c>
      <c r="K624">
        <v>4.75</v>
      </c>
      <c r="L624">
        <v>0.84</v>
      </c>
      <c r="M624">
        <v>5.52</v>
      </c>
      <c r="N624">
        <v>54.66</v>
      </c>
      <c r="O624">
        <v>21.16</v>
      </c>
      <c r="P624">
        <v>121.71</v>
      </c>
    </row>
    <row r="625" spans="1:16" x14ac:dyDescent="0.2">
      <c r="A625" t="s">
        <v>16</v>
      </c>
      <c r="C625" t="b">
        <v>1</v>
      </c>
      <c r="D625" t="s">
        <v>89</v>
      </c>
      <c r="E625" t="s">
        <v>21</v>
      </c>
      <c r="F625" t="b">
        <v>0</v>
      </c>
      <c r="G625">
        <v>26.68</v>
      </c>
      <c r="H625">
        <v>10.33</v>
      </c>
      <c r="I625">
        <v>59.41</v>
      </c>
      <c r="J625">
        <v>-8.0500000000000007</v>
      </c>
      <c r="K625">
        <v>-23.18</v>
      </c>
      <c r="L625">
        <v>-3.19</v>
      </c>
      <c r="M625">
        <v>-17.920000000000002</v>
      </c>
      <c r="N625">
        <v>26.68</v>
      </c>
      <c r="O625">
        <v>10.33</v>
      </c>
      <c r="P625">
        <v>59.41</v>
      </c>
    </row>
    <row r="626" spans="1:16" x14ac:dyDescent="0.2">
      <c r="A626" t="s">
        <v>16</v>
      </c>
      <c r="C626" t="b">
        <v>1</v>
      </c>
      <c r="D626" t="s">
        <v>89</v>
      </c>
      <c r="E626" t="s">
        <v>22</v>
      </c>
      <c r="F626" t="b">
        <v>0</v>
      </c>
      <c r="G626">
        <v>63.61</v>
      </c>
      <c r="H626">
        <v>24.62</v>
      </c>
      <c r="I626">
        <v>141.63</v>
      </c>
      <c r="J626">
        <v>-4.37</v>
      </c>
      <c r="K626">
        <v>-6.43</v>
      </c>
      <c r="L626">
        <v>-1.85</v>
      </c>
      <c r="M626">
        <v>-9.73</v>
      </c>
      <c r="N626">
        <v>63.61</v>
      </c>
      <c r="O626">
        <v>24.62</v>
      </c>
      <c r="P626">
        <v>141.63</v>
      </c>
    </row>
    <row r="627" spans="1:16" x14ac:dyDescent="0.2">
      <c r="A627" t="s">
        <v>16</v>
      </c>
      <c r="C627" t="b">
        <v>1</v>
      </c>
      <c r="D627" t="s">
        <v>89</v>
      </c>
      <c r="E627" t="s">
        <v>23</v>
      </c>
      <c r="F627" t="b">
        <v>0</v>
      </c>
      <c r="G627">
        <v>7.29</v>
      </c>
      <c r="H627">
        <v>2.82</v>
      </c>
      <c r="I627">
        <v>16.23</v>
      </c>
      <c r="J627">
        <v>0.45</v>
      </c>
      <c r="K627">
        <v>6.58</v>
      </c>
      <c r="L627">
        <v>0.16</v>
      </c>
      <c r="M627">
        <v>1</v>
      </c>
      <c r="N627">
        <v>7.29</v>
      </c>
      <c r="O627">
        <v>2.82</v>
      </c>
      <c r="P627">
        <v>16.23</v>
      </c>
    </row>
    <row r="628" spans="1:16" x14ac:dyDescent="0.2">
      <c r="A628" t="s">
        <v>16</v>
      </c>
      <c r="C628" t="b">
        <v>1</v>
      </c>
      <c r="D628" t="s">
        <v>89</v>
      </c>
      <c r="E628" t="s">
        <v>24</v>
      </c>
      <c r="F628" t="b">
        <v>0</v>
      </c>
      <c r="G628">
        <v>1.71</v>
      </c>
      <c r="H628">
        <v>0.66</v>
      </c>
      <c r="I628">
        <v>3.81</v>
      </c>
      <c r="J628">
        <v>0.02</v>
      </c>
      <c r="K628">
        <v>1.18</v>
      </c>
      <c r="L628">
        <v>0</v>
      </c>
      <c r="M628">
        <v>0.04</v>
      </c>
      <c r="N628">
        <v>1.71</v>
      </c>
      <c r="O628">
        <v>0.66</v>
      </c>
      <c r="P628">
        <v>3.81</v>
      </c>
    </row>
    <row r="629" spans="1:16" x14ac:dyDescent="0.2">
      <c r="A629" t="s">
        <v>16</v>
      </c>
      <c r="C629" t="b">
        <v>1</v>
      </c>
      <c r="D629" t="s">
        <v>89</v>
      </c>
      <c r="E629" t="s">
        <v>25</v>
      </c>
      <c r="F629" t="b">
        <v>0</v>
      </c>
      <c r="G629">
        <v>6.68</v>
      </c>
      <c r="H629">
        <v>2.59</v>
      </c>
      <c r="I629">
        <v>14.87</v>
      </c>
      <c r="J629">
        <v>2.6</v>
      </c>
      <c r="K629">
        <v>63.73</v>
      </c>
      <c r="L629">
        <v>1</v>
      </c>
      <c r="M629">
        <v>5.79</v>
      </c>
      <c r="N629">
        <v>6.68</v>
      </c>
      <c r="O629">
        <v>2.59</v>
      </c>
      <c r="P629">
        <v>14.87</v>
      </c>
    </row>
    <row r="630" spans="1:16" x14ac:dyDescent="0.2">
      <c r="A630" t="s">
        <v>16</v>
      </c>
      <c r="C630" t="b">
        <v>1</v>
      </c>
      <c r="D630" t="s">
        <v>89</v>
      </c>
      <c r="E630" t="s">
        <v>26</v>
      </c>
      <c r="F630" t="b">
        <v>1</v>
      </c>
      <c r="G630">
        <v>258.37</v>
      </c>
      <c r="H630">
        <v>100</v>
      </c>
      <c r="I630">
        <v>575.29</v>
      </c>
      <c r="J630">
        <v>1.54</v>
      </c>
      <c r="K630">
        <v>0.6</v>
      </c>
      <c r="L630">
        <v>0</v>
      </c>
      <c r="M630">
        <v>3.43</v>
      </c>
      <c r="N630">
        <v>258.37</v>
      </c>
      <c r="O630">
        <v>100</v>
      </c>
      <c r="P630">
        <v>575.29</v>
      </c>
    </row>
    <row r="631" spans="1:16" x14ac:dyDescent="0.2">
      <c r="A631" t="s">
        <v>16</v>
      </c>
      <c r="C631" t="b">
        <v>1</v>
      </c>
      <c r="D631" t="s">
        <v>89</v>
      </c>
      <c r="E631" t="s">
        <v>27</v>
      </c>
      <c r="F631" t="b">
        <v>0</v>
      </c>
      <c r="G631">
        <v>46.26</v>
      </c>
      <c r="H631">
        <v>17.899999999999999</v>
      </c>
      <c r="I631">
        <v>103</v>
      </c>
      <c r="J631">
        <v>8.11</v>
      </c>
      <c r="K631">
        <v>21.26</v>
      </c>
      <c r="L631">
        <v>3.05</v>
      </c>
      <c r="M631">
        <v>18.059999999999999</v>
      </c>
      <c r="N631">
        <v>46.26</v>
      </c>
      <c r="O631">
        <v>17.899999999999999</v>
      </c>
      <c r="P631">
        <v>103</v>
      </c>
    </row>
    <row r="632" spans="1:16" x14ac:dyDescent="0.2">
      <c r="A632" t="s">
        <v>16</v>
      </c>
      <c r="C632" t="b">
        <v>1</v>
      </c>
      <c r="D632" t="s">
        <v>90</v>
      </c>
      <c r="E632" t="s">
        <v>18</v>
      </c>
      <c r="F632" t="b">
        <v>0</v>
      </c>
      <c r="G632">
        <v>10.15</v>
      </c>
      <c r="H632">
        <v>4.4000000000000004</v>
      </c>
      <c r="I632">
        <v>22.6</v>
      </c>
      <c r="J632">
        <v>-7.0000000000000007E-2</v>
      </c>
      <c r="K632">
        <v>-0.68</v>
      </c>
      <c r="L632">
        <v>-0.05</v>
      </c>
      <c r="M632">
        <v>-0.16</v>
      </c>
      <c r="N632">
        <v>21.54</v>
      </c>
      <c r="O632">
        <v>4.4000000000000004</v>
      </c>
      <c r="P632">
        <v>47.96</v>
      </c>
    </row>
    <row r="633" spans="1:16" x14ac:dyDescent="0.2">
      <c r="A633" t="s">
        <v>16</v>
      </c>
      <c r="C633" t="b">
        <v>1</v>
      </c>
      <c r="D633" t="s">
        <v>90</v>
      </c>
      <c r="E633" t="s">
        <v>19</v>
      </c>
      <c r="F633" t="b">
        <v>0</v>
      </c>
      <c r="G633">
        <v>31.99</v>
      </c>
      <c r="H633">
        <v>13.87</v>
      </c>
      <c r="I633">
        <v>71.23</v>
      </c>
      <c r="J633">
        <v>0.74</v>
      </c>
      <c r="K633">
        <v>2.37</v>
      </c>
      <c r="L633">
        <v>0.25</v>
      </c>
      <c r="M633">
        <v>1.65</v>
      </c>
      <c r="N633">
        <v>72.08</v>
      </c>
      <c r="O633">
        <v>14.74</v>
      </c>
      <c r="P633">
        <v>160.49</v>
      </c>
    </row>
    <row r="634" spans="1:16" x14ac:dyDescent="0.2">
      <c r="A634" t="s">
        <v>16</v>
      </c>
      <c r="C634" t="b">
        <v>1</v>
      </c>
      <c r="D634" t="s">
        <v>90</v>
      </c>
      <c r="E634" t="s">
        <v>20</v>
      </c>
      <c r="F634" t="b">
        <v>0</v>
      </c>
      <c r="G634">
        <v>42.86</v>
      </c>
      <c r="H634">
        <v>18.579999999999998</v>
      </c>
      <c r="I634">
        <v>95.43</v>
      </c>
      <c r="J634">
        <v>0.56000000000000005</v>
      </c>
      <c r="K634">
        <v>1.32</v>
      </c>
      <c r="L634">
        <v>0.14000000000000001</v>
      </c>
      <c r="M634">
        <v>1.25</v>
      </c>
      <c r="N634">
        <v>97.52</v>
      </c>
      <c r="O634">
        <v>19.940000000000001</v>
      </c>
      <c r="P634">
        <v>217.14</v>
      </c>
    </row>
    <row r="635" spans="1:16" x14ac:dyDescent="0.2">
      <c r="A635" t="s">
        <v>16</v>
      </c>
      <c r="C635" t="b">
        <v>1</v>
      </c>
      <c r="D635" t="s">
        <v>90</v>
      </c>
      <c r="E635" t="s">
        <v>21</v>
      </c>
      <c r="F635" t="b">
        <v>0</v>
      </c>
      <c r="G635">
        <v>21.41</v>
      </c>
      <c r="H635">
        <v>9.2799999999999994</v>
      </c>
      <c r="I635">
        <v>47.67</v>
      </c>
      <c r="J635">
        <v>-13.59</v>
      </c>
      <c r="K635">
        <v>-38.83</v>
      </c>
      <c r="L635">
        <v>-5.97</v>
      </c>
      <c r="M635">
        <v>-30.26</v>
      </c>
      <c r="N635">
        <v>48.09</v>
      </c>
      <c r="O635">
        <v>9.83</v>
      </c>
      <c r="P635">
        <v>107.08</v>
      </c>
    </row>
    <row r="636" spans="1:16" x14ac:dyDescent="0.2">
      <c r="A636" t="s">
        <v>16</v>
      </c>
      <c r="C636" t="b">
        <v>1</v>
      </c>
      <c r="D636" t="s">
        <v>90</v>
      </c>
      <c r="E636" t="s">
        <v>22</v>
      </c>
      <c r="F636" t="b">
        <v>0</v>
      </c>
      <c r="G636">
        <v>54.74</v>
      </c>
      <c r="H636">
        <v>23.73</v>
      </c>
      <c r="I636">
        <v>121.88</v>
      </c>
      <c r="J636">
        <v>-3.9</v>
      </c>
      <c r="K636">
        <v>-6.65</v>
      </c>
      <c r="L636">
        <v>-1.83</v>
      </c>
      <c r="M636">
        <v>-8.68</v>
      </c>
      <c r="N636">
        <v>118.35</v>
      </c>
      <c r="O636">
        <v>24.2</v>
      </c>
      <c r="P636">
        <v>263.52</v>
      </c>
    </row>
    <row r="637" spans="1:16" x14ac:dyDescent="0.2">
      <c r="A637" t="s">
        <v>16</v>
      </c>
      <c r="C637" t="b">
        <v>1</v>
      </c>
      <c r="D637" t="s">
        <v>90</v>
      </c>
      <c r="E637" t="s">
        <v>23</v>
      </c>
      <c r="F637" t="b">
        <v>0</v>
      </c>
      <c r="G637">
        <v>6.17</v>
      </c>
      <c r="H637">
        <v>2.67</v>
      </c>
      <c r="I637">
        <v>13.74</v>
      </c>
      <c r="J637">
        <v>-0.03</v>
      </c>
      <c r="K637">
        <v>-0.48</v>
      </c>
      <c r="L637">
        <v>-0.03</v>
      </c>
      <c r="M637">
        <v>-7.0000000000000007E-2</v>
      </c>
      <c r="N637">
        <v>13.46</v>
      </c>
      <c r="O637">
        <v>2.75</v>
      </c>
      <c r="P637">
        <v>29.97</v>
      </c>
    </row>
    <row r="638" spans="1:16" x14ac:dyDescent="0.2">
      <c r="A638" t="s">
        <v>16</v>
      </c>
      <c r="C638" t="b">
        <v>1</v>
      </c>
      <c r="D638" t="s">
        <v>90</v>
      </c>
      <c r="E638" t="s">
        <v>24</v>
      </c>
      <c r="F638" t="b">
        <v>0</v>
      </c>
      <c r="G638">
        <v>1.49</v>
      </c>
      <c r="H638">
        <v>0.65</v>
      </c>
      <c r="I638">
        <v>3.32</v>
      </c>
      <c r="J638">
        <v>0.01</v>
      </c>
      <c r="K638">
        <v>0.68</v>
      </c>
      <c r="L638">
        <v>0</v>
      </c>
      <c r="M638">
        <v>0.02</v>
      </c>
      <c r="N638">
        <v>3.2</v>
      </c>
      <c r="O638">
        <v>0.65</v>
      </c>
      <c r="P638">
        <v>7.13</v>
      </c>
    </row>
    <row r="639" spans="1:16" x14ac:dyDescent="0.2">
      <c r="A639" t="s">
        <v>16</v>
      </c>
      <c r="C639" t="b">
        <v>1</v>
      </c>
      <c r="D639" t="s">
        <v>90</v>
      </c>
      <c r="E639" t="s">
        <v>25</v>
      </c>
      <c r="F639" t="b">
        <v>0</v>
      </c>
      <c r="G639">
        <v>9.92</v>
      </c>
      <c r="H639">
        <v>4.3</v>
      </c>
      <c r="I639">
        <v>22.09</v>
      </c>
      <c r="J639">
        <v>2.63</v>
      </c>
      <c r="K639">
        <v>36.08</v>
      </c>
      <c r="L639">
        <v>1.1200000000000001</v>
      </c>
      <c r="M639">
        <v>5.86</v>
      </c>
      <c r="N639">
        <v>16.600000000000001</v>
      </c>
      <c r="O639">
        <v>3.39</v>
      </c>
      <c r="P639">
        <v>36.96</v>
      </c>
    </row>
    <row r="640" spans="1:16" x14ac:dyDescent="0.2">
      <c r="A640" t="s">
        <v>16</v>
      </c>
      <c r="C640" t="b">
        <v>1</v>
      </c>
      <c r="D640" t="s">
        <v>90</v>
      </c>
      <c r="E640" t="s">
        <v>26</v>
      </c>
      <c r="F640" t="b">
        <v>1</v>
      </c>
      <c r="G640">
        <v>230.72</v>
      </c>
      <c r="H640">
        <v>100</v>
      </c>
      <c r="I640">
        <v>513.72</v>
      </c>
      <c r="J640">
        <v>1.28</v>
      </c>
      <c r="K640">
        <v>0.56000000000000005</v>
      </c>
      <c r="L640">
        <v>0</v>
      </c>
      <c r="M640">
        <v>2.85</v>
      </c>
      <c r="N640">
        <v>489.09</v>
      </c>
      <c r="O640">
        <v>100</v>
      </c>
      <c r="P640">
        <v>1089.01</v>
      </c>
    </row>
    <row r="641" spans="1:16" x14ac:dyDescent="0.2">
      <c r="A641" t="s">
        <v>16</v>
      </c>
      <c r="C641" t="b">
        <v>1</v>
      </c>
      <c r="D641" t="s">
        <v>90</v>
      </c>
      <c r="E641" t="s">
        <v>27</v>
      </c>
      <c r="F641" t="b">
        <v>0</v>
      </c>
      <c r="G641">
        <v>51.99</v>
      </c>
      <c r="H641">
        <v>22.53</v>
      </c>
      <c r="I641">
        <v>115.76</v>
      </c>
      <c r="J641">
        <v>14.93</v>
      </c>
      <c r="K641">
        <v>40.29</v>
      </c>
      <c r="L641">
        <v>6.38</v>
      </c>
      <c r="M641">
        <v>33.24</v>
      </c>
      <c r="N641">
        <v>98.25</v>
      </c>
      <c r="O641">
        <v>20.09</v>
      </c>
      <c r="P641">
        <v>218.76</v>
      </c>
    </row>
    <row r="642" spans="1:16" x14ac:dyDescent="0.2">
      <c r="A642" t="s">
        <v>16</v>
      </c>
      <c r="C642" t="b">
        <v>1</v>
      </c>
      <c r="D642" t="s">
        <v>91</v>
      </c>
      <c r="E642" t="s">
        <v>18</v>
      </c>
      <c r="F642" t="b">
        <v>0</v>
      </c>
      <c r="G642">
        <v>11.21</v>
      </c>
      <c r="H642">
        <v>4.72</v>
      </c>
      <c r="I642">
        <v>24.96</v>
      </c>
      <c r="J642">
        <v>0.55000000000000004</v>
      </c>
      <c r="K642">
        <v>5.16</v>
      </c>
      <c r="L642">
        <v>0.28000000000000003</v>
      </c>
      <c r="M642">
        <v>1.22</v>
      </c>
      <c r="N642">
        <v>32.75</v>
      </c>
      <c r="O642">
        <v>4.51</v>
      </c>
      <c r="P642">
        <v>72.92</v>
      </c>
    </row>
    <row r="643" spans="1:16" x14ac:dyDescent="0.2">
      <c r="A643" t="s">
        <v>16</v>
      </c>
      <c r="C643" t="b">
        <v>1</v>
      </c>
      <c r="D643" t="s">
        <v>91</v>
      </c>
      <c r="E643" t="s">
        <v>19</v>
      </c>
      <c r="F643" t="b">
        <v>0</v>
      </c>
      <c r="G643">
        <v>42.42</v>
      </c>
      <c r="H643">
        <v>17.850000000000001</v>
      </c>
      <c r="I643">
        <v>94.45</v>
      </c>
      <c r="J643">
        <v>10.67</v>
      </c>
      <c r="K643">
        <v>33.61</v>
      </c>
      <c r="L643">
        <v>4.62</v>
      </c>
      <c r="M643">
        <v>23.76</v>
      </c>
      <c r="N643">
        <v>114.5</v>
      </c>
      <c r="O643">
        <v>15.75</v>
      </c>
      <c r="P643">
        <v>254.95</v>
      </c>
    </row>
    <row r="644" spans="1:16" x14ac:dyDescent="0.2">
      <c r="A644" t="s">
        <v>16</v>
      </c>
      <c r="C644" t="b">
        <v>1</v>
      </c>
      <c r="D644" t="s">
        <v>91</v>
      </c>
      <c r="E644" t="s">
        <v>20</v>
      </c>
      <c r="F644" t="b">
        <v>0</v>
      </c>
      <c r="G644">
        <v>47.6</v>
      </c>
      <c r="H644">
        <v>20.03</v>
      </c>
      <c r="I644">
        <v>105.99</v>
      </c>
      <c r="J644">
        <v>0.88</v>
      </c>
      <c r="K644">
        <v>1.88</v>
      </c>
      <c r="L644">
        <v>0.56000000000000005</v>
      </c>
      <c r="M644">
        <v>1.96</v>
      </c>
      <c r="N644">
        <v>145.12</v>
      </c>
      <c r="O644">
        <v>19.97</v>
      </c>
      <c r="P644">
        <v>323.13</v>
      </c>
    </row>
    <row r="645" spans="1:16" x14ac:dyDescent="0.2">
      <c r="A645" t="s">
        <v>16</v>
      </c>
      <c r="C645" t="b">
        <v>1</v>
      </c>
      <c r="D645" t="s">
        <v>91</v>
      </c>
      <c r="E645" t="s">
        <v>21</v>
      </c>
      <c r="F645" t="b">
        <v>0</v>
      </c>
      <c r="G645">
        <v>22.81</v>
      </c>
      <c r="H645">
        <v>9.6</v>
      </c>
      <c r="I645">
        <v>50.79</v>
      </c>
      <c r="J645">
        <v>-7.74</v>
      </c>
      <c r="K645">
        <v>-25.34</v>
      </c>
      <c r="L645">
        <v>-3.13</v>
      </c>
      <c r="M645">
        <v>-17.23</v>
      </c>
      <c r="N645">
        <v>70.900000000000006</v>
      </c>
      <c r="O645">
        <v>9.76</v>
      </c>
      <c r="P645">
        <v>157.87</v>
      </c>
    </row>
    <row r="646" spans="1:16" x14ac:dyDescent="0.2">
      <c r="A646" t="s">
        <v>16</v>
      </c>
      <c r="C646" t="b">
        <v>1</v>
      </c>
      <c r="D646" t="s">
        <v>91</v>
      </c>
      <c r="E646" t="s">
        <v>22</v>
      </c>
      <c r="F646" t="b">
        <v>0</v>
      </c>
      <c r="G646">
        <v>54.51</v>
      </c>
      <c r="H646">
        <v>22.93</v>
      </c>
      <c r="I646">
        <v>121.37</v>
      </c>
      <c r="J646">
        <v>-7.63</v>
      </c>
      <c r="K646">
        <v>-12.28</v>
      </c>
      <c r="L646">
        <v>-2.97</v>
      </c>
      <c r="M646">
        <v>-16.989999999999998</v>
      </c>
      <c r="N646">
        <v>172.86</v>
      </c>
      <c r="O646">
        <v>23.78</v>
      </c>
      <c r="P646">
        <v>384.89</v>
      </c>
    </row>
    <row r="647" spans="1:16" x14ac:dyDescent="0.2">
      <c r="A647" t="s">
        <v>16</v>
      </c>
      <c r="C647" t="b">
        <v>1</v>
      </c>
      <c r="D647" t="s">
        <v>91</v>
      </c>
      <c r="E647" t="s">
        <v>23</v>
      </c>
      <c r="F647" t="b">
        <v>0</v>
      </c>
      <c r="G647">
        <v>7.1</v>
      </c>
      <c r="H647">
        <v>2.99</v>
      </c>
      <c r="I647">
        <v>15.81</v>
      </c>
      <c r="J647">
        <v>0.89</v>
      </c>
      <c r="K647">
        <v>14.33</v>
      </c>
      <c r="L647">
        <v>0.4</v>
      </c>
      <c r="M647">
        <v>1.98</v>
      </c>
      <c r="N647">
        <v>20.56</v>
      </c>
      <c r="O647">
        <v>2.83</v>
      </c>
      <c r="P647">
        <v>45.78</v>
      </c>
    </row>
    <row r="648" spans="1:16" x14ac:dyDescent="0.2">
      <c r="A648" t="s">
        <v>16</v>
      </c>
      <c r="C648" t="b">
        <v>1</v>
      </c>
      <c r="D648" t="s">
        <v>91</v>
      </c>
      <c r="E648" t="s">
        <v>24</v>
      </c>
      <c r="F648" t="b">
        <v>0</v>
      </c>
      <c r="G648">
        <v>1.66</v>
      </c>
      <c r="H648">
        <v>0.7</v>
      </c>
      <c r="I648">
        <v>3.7</v>
      </c>
      <c r="J648">
        <v>0.03</v>
      </c>
      <c r="K648">
        <v>1.84</v>
      </c>
      <c r="L648">
        <v>0.02</v>
      </c>
      <c r="M648">
        <v>7.0000000000000007E-2</v>
      </c>
      <c r="N648">
        <v>4.8600000000000003</v>
      </c>
      <c r="O648">
        <v>0.67</v>
      </c>
      <c r="P648">
        <v>10.82</v>
      </c>
    </row>
    <row r="649" spans="1:16" x14ac:dyDescent="0.2">
      <c r="A649" t="s">
        <v>16</v>
      </c>
      <c r="C649" t="b">
        <v>1</v>
      </c>
      <c r="D649" t="s">
        <v>91</v>
      </c>
      <c r="E649" t="s">
        <v>25</v>
      </c>
      <c r="F649" t="b">
        <v>0</v>
      </c>
      <c r="G649">
        <v>16.690000000000001</v>
      </c>
      <c r="H649">
        <v>7.02</v>
      </c>
      <c r="I649">
        <v>37.159999999999997</v>
      </c>
      <c r="J649">
        <v>3.17</v>
      </c>
      <c r="K649">
        <v>23.45</v>
      </c>
      <c r="L649">
        <v>1.38</v>
      </c>
      <c r="M649">
        <v>7.06</v>
      </c>
      <c r="N649">
        <v>33.29</v>
      </c>
      <c r="O649">
        <v>4.58</v>
      </c>
      <c r="P649">
        <v>74.12</v>
      </c>
    </row>
    <row r="650" spans="1:16" x14ac:dyDescent="0.2">
      <c r="A650" t="s">
        <v>16</v>
      </c>
      <c r="C650" t="b">
        <v>1</v>
      </c>
      <c r="D650" t="s">
        <v>91</v>
      </c>
      <c r="E650" t="s">
        <v>26</v>
      </c>
      <c r="F650" t="b">
        <v>1</v>
      </c>
      <c r="G650">
        <v>237.69</v>
      </c>
      <c r="H650">
        <v>100</v>
      </c>
      <c r="I650">
        <v>529.24</v>
      </c>
      <c r="J650">
        <v>-2.2200000000000002</v>
      </c>
      <c r="K650">
        <v>-0.93</v>
      </c>
      <c r="L650">
        <v>0</v>
      </c>
      <c r="M650">
        <v>-4.9400000000000004</v>
      </c>
      <c r="N650">
        <v>726.78</v>
      </c>
      <c r="O650">
        <v>100</v>
      </c>
      <c r="P650">
        <v>1618.26</v>
      </c>
    </row>
    <row r="651" spans="1:16" x14ac:dyDescent="0.2">
      <c r="A651" t="s">
        <v>16</v>
      </c>
      <c r="C651" t="b">
        <v>1</v>
      </c>
      <c r="D651" t="s">
        <v>91</v>
      </c>
      <c r="E651" t="s">
        <v>27</v>
      </c>
      <c r="F651" t="b">
        <v>0</v>
      </c>
      <c r="G651">
        <v>33.69</v>
      </c>
      <c r="H651">
        <v>14.17</v>
      </c>
      <c r="I651">
        <v>75.010000000000005</v>
      </c>
      <c r="J651">
        <v>-3.04</v>
      </c>
      <c r="K651">
        <v>-8.2799999999999994</v>
      </c>
      <c r="L651">
        <v>-1.1399999999999999</v>
      </c>
      <c r="M651">
        <v>-6.77</v>
      </c>
      <c r="N651">
        <v>131.94</v>
      </c>
      <c r="O651">
        <v>18.149999999999999</v>
      </c>
      <c r="P651">
        <v>293.77999999999997</v>
      </c>
    </row>
    <row r="652" spans="1:16" x14ac:dyDescent="0.2">
      <c r="A652" t="s">
        <v>16</v>
      </c>
      <c r="C652" t="b">
        <v>1</v>
      </c>
      <c r="D652" t="s">
        <v>92</v>
      </c>
      <c r="E652" t="s">
        <v>18</v>
      </c>
      <c r="F652" t="b">
        <v>0</v>
      </c>
      <c r="G652">
        <v>10.09</v>
      </c>
      <c r="H652">
        <v>4.75</v>
      </c>
      <c r="I652">
        <v>22.47</v>
      </c>
      <c r="J652">
        <v>-0.05</v>
      </c>
      <c r="K652">
        <v>-0.49</v>
      </c>
      <c r="L652">
        <v>0.05</v>
      </c>
      <c r="M652">
        <v>-0.11</v>
      </c>
      <c r="N652">
        <v>42.84</v>
      </c>
      <c r="O652">
        <v>4.5599999999999996</v>
      </c>
      <c r="P652">
        <v>95.39</v>
      </c>
    </row>
    <row r="653" spans="1:16" x14ac:dyDescent="0.2">
      <c r="A653" t="s">
        <v>16</v>
      </c>
      <c r="C653" t="b">
        <v>1</v>
      </c>
      <c r="D653" t="s">
        <v>92</v>
      </c>
      <c r="E653" t="s">
        <v>19</v>
      </c>
      <c r="F653" t="b">
        <v>0</v>
      </c>
      <c r="G653">
        <v>32.33</v>
      </c>
      <c r="H653">
        <v>15.21</v>
      </c>
      <c r="I653">
        <v>71.989999999999995</v>
      </c>
      <c r="J653">
        <v>3.6</v>
      </c>
      <c r="K653">
        <v>12.53</v>
      </c>
      <c r="L653">
        <v>1.9</v>
      </c>
      <c r="M653">
        <v>8.02</v>
      </c>
      <c r="N653">
        <v>146.83000000000001</v>
      </c>
      <c r="O653">
        <v>15.63</v>
      </c>
      <c r="P653">
        <v>326.93</v>
      </c>
    </row>
    <row r="654" spans="1:16" x14ac:dyDescent="0.2">
      <c r="A654" t="s">
        <v>16</v>
      </c>
      <c r="C654" t="b">
        <v>1</v>
      </c>
      <c r="D654" t="s">
        <v>92</v>
      </c>
      <c r="E654" t="s">
        <v>20</v>
      </c>
      <c r="F654" t="b">
        <v>0</v>
      </c>
      <c r="G654">
        <v>34.590000000000003</v>
      </c>
      <c r="H654">
        <v>16.28</v>
      </c>
      <c r="I654">
        <v>77.02</v>
      </c>
      <c r="J654">
        <v>-8.43</v>
      </c>
      <c r="K654">
        <v>-19.600000000000001</v>
      </c>
      <c r="L654">
        <v>-3.66</v>
      </c>
      <c r="M654">
        <v>-18.77</v>
      </c>
      <c r="N654">
        <v>179.71</v>
      </c>
      <c r="O654">
        <v>19.13</v>
      </c>
      <c r="P654">
        <v>400.14</v>
      </c>
    </row>
    <row r="655" spans="1:16" x14ac:dyDescent="0.2">
      <c r="A655" t="s">
        <v>16</v>
      </c>
      <c r="C655" t="b">
        <v>1</v>
      </c>
      <c r="D655" t="s">
        <v>92</v>
      </c>
      <c r="E655" t="s">
        <v>21</v>
      </c>
      <c r="F655" t="b">
        <v>0</v>
      </c>
      <c r="G655">
        <v>24.54</v>
      </c>
      <c r="H655">
        <v>11.55</v>
      </c>
      <c r="I655">
        <v>54.64</v>
      </c>
      <c r="J655">
        <v>-2</v>
      </c>
      <c r="K655">
        <v>-7.54</v>
      </c>
      <c r="L655">
        <v>-0.75</v>
      </c>
      <c r="M655">
        <v>-4.45</v>
      </c>
      <c r="N655">
        <v>95.44</v>
      </c>
      <c r="O655">
        <v>10.16</v>
      </c>
      <c r="P655">
        <v>212.51</v>
      </c>
    </row>
    <row r="656" spans="1:16" x14ac:dyDescent="0.2">
      <c r="A656" t="s">
        <v>16</v>
      </c>
      <c r="C656" t="b">
        <v>1</v>
      </c>
      <c r="D656" t="s">
        <v>92</v>
      </c>
      <c r="E656" t="s">
        <v>22</v>
      </c>
      <c r="F656" t="b">
        <v>0</v>
      </c>
      <c r="G656">
        <v>47.32</v>
      </c>
      <c r="H656">
        <v>22.27</v>
      </c>
      <c r="I656">
        <v>105.36</v>
      </c>
      <c r="J656">
        <v>-6.71</v>
      </c>
      <c r="K656">
        <v>-12.42</v>
      </c>
      <c r="L656">
        <v>-2.77</v>
      </c>
      <c r="M656">
        <v>-14.94</v>
      </c>
      <c r="N656">
        <v>220.18</v>
      </c>
      <c r="O656">
        <v>23.44</v>
      </c>
      <c r="P656">
        <v>490.25</v>
      </c>
    </row>
    <row r="657" spans="1:16" x14ac:dyDescent="0.2">
      <c r="A657" t="s">
        <v>16</v>
      </c>
      <c r="C657" t="b">
        <v>1</v>
      </c>
      <c r="D657" t="s">
        <v>92</v>
      </c>
      <c r="E657" t="s">
        <v>23</v>
      </c>
      <c r="F657" t="b">
        <v>0</v>
      </c>
      <c r="G657">
        <v>5.82</v>
      </c>
      <c r="H657">
        <v>2.74</v>
      </c>
      <c r="I657">
        <v>12.96</v>
      </c>
      <c r="J657">
        <v>0.04</v>
      </c>
      <c r="K657">
        <v>0.69</v>
      </c>
      <c r="L657">
        <v>0.06</v>
      </c>
      <c r="M657">
        <v>0.09</v>
      </c>
      <c r="N657">
        <v>26.38</v>
      </c>
      <c r="O657">
        <v>2.81</v>
      </c>
      <c r="P657">
        <v>58.74</v>
      </c>
    </row>
    <row r="658" spans="1:16" x14ac:dyDescent="0.2">
      <c r="A658" t="s">
        <v>16</v>
      </c>
      <c r="C658" t="b">
        <v>1</v>
      </c>
      <c r="D658" t="s">
        <v>92</v>
      </c>
      <c r="E658" t="s">
        <v>24</v>
      </c>
      <c r="F658" t="b">
        <v>0</v>
      </c>
      <c r="G658">
        <v>1.5</v>
      </c>
      <c r="H658">
        <v>0.71</v>
      </c>
      <c r="I658">
        <v>3.34</v>
      </c>
      <c r="J658">
        <v>0.04</v>
      </c>
      <c r="K658">
        <v>2.74</v>
      </c>
      <c r="L658">
        <v>0.03</v>
      </c>
      <c r="M658">
        <v>0.09</v>
      </c>
      <c r="N658">
        <v>6.36</v>
      </c>
      <c r="O658">
        <v>0.68</v>
      </c>
      <c r="P658">
        <v>14.16</v>
      </c>
    </row>
    <row r="659" spans="1:16" x14ac:dyDescent="0.2">
      <c r="A659" t="s">
        <v>16</v>
      </c>
      <c r="C659" t="b">
        <v>1</v>
      </c>
      <c r="D659" t="s">
        <v>92</v>
      </c>
      <c r="E659" t="s">
        <v>25</v>
      </c>
      <c r="F659" t="b">
        <v>0</v>
      </c>
      <c r="G659">
        <v>20.100000000000001</v>
      </c>
      <c r="H659">
        <v>9.4600000000000009</v>
      </c>
      <c r="I659">
        <v>44.75</v>
      </c>
      <c r="J659">
        <v>3.91</v>
      </c>
      <c r="K659">
        <v>24.15</v>
      </c>
      <c r="L659">
        <v>1.96</v>
      </c>
      <c r="M659">
        <v>8.7100000000000009</v>
      </c>
      <c r="N659">
        <v>53.39</v>
      </c>
      <c r="O659">
        <v>5.68</v>
      </c>
      <c r="P659">
        <v>118.88</v>
      </c>
    </row>
    <row r="660" spans="1:16" x14ac:dyDescent="0.2">
      <c r="A660" t="s">
        <v>16</v>
      </c>
      <c r="C660" t="b">
        <v>1</v>
      </c>
      <c r="D660" t="s">
        <v>92</v>
      </c>
      <c r="E660" t="s">
        <v>26</v>
      </c>
      <c r="F660" t="b">
        <v>1</v>
      </c>
      <c r="G660">
        <v>212.49</v>
      </c>
      <c r="H660">
        <v>100</v>
      </c>
      <c r="I660">
        <v>473.13</v>
      </c>
      <c r="J660">
        <v>-3.31</v>
      </c>
      <c r="K660">
        <v>-1.53</v>
      </c>
      <c r="L660">
        <v>0</v>
      </c>
      <c r="M660">
        <v>-7.37</v>
      </c>
      <c r="N660">
        <v>939.27</v>
      </c>
      <c r="O660">
        <v>100</v>
      </c>
      <c r="P660">
        <v>2091.39</v>
      </c>
    </row>
    <row r="661" spans="1:16" x14ac:dyDescent="0.2">
      <c r="A661" t="s">
        <v>16</v>
      </c>
      <c r="C661" t="b">
        <v>1</v>
      </c>
      <c r="D661" t="s">
        <v>92</v>
      </c>
      <c r="E661" t="s">
        <v>27</v>
      </c>
      <c r="F661" t="b">
        <v>0</v>
      </c>
      <c r="G661">
        <v>36.200000000000003</v>
      </c>
      <c r="H661">
        <v>17.04</v>
      </c>
      <c r="I661">
        <v>80.599999999999994</v>
      </c>
      <c r="J661">
        <v>6.29</v>
      </c>
      <c r="K661">
        <v>21.03</v>
      </c>
      <c r="L661">
        <v>3.18</v>
      </c>
      <c r="M661">
        <v>14.01</v>
      </c>
      <c r="N661">
        <v>168.14</v>
      </c>
      <c r="O661">
        <v>17.899999999999999</v>
      </c>
      <c r="P661">
        <v>374.38</v>
      </c>
    </row>
    <row r="662" spans="1:16" x14ac:dyDescent="0.2">
      <c r="A662" t="s">
        <v>16</v>
      </c>
      <c r="C662" t="b">
        <v>1</v>
      </c>
      <c r="D662" t="s">
        <v>93</v>
      </c>
      <c r="E662" t="s">
        <v>18</v>
      </c>
      <c r="F662" t="b">
        <v>0</v>
      </c>
      <c r="G662">
        <v>9.74</v>
      </c>
      <c r="H662">
        <v>4.75</v>
      </c>
      <c r="I662">
        <v>21.69</v>
      </c>
      <c r="J662">
        <v>0.1</v>
      </c>
      <c r="K662">
        <v>1.04</v>
      </c>
      <c r="L662">
        <v>0.13</v>
      </c>
      <c r="M662">
        <v>0.22</v>
      </c>
      <c r="N662">
        <v>52.58</v>
      </c>
      <c r="O662">
        <v>4.59</v>
      </c>
      <c r="P662">
        <v>117.08</v>
      </c>
    </row>
    <row r="663" spans="1:16" x14ac:dyDescent="0.2">
      <c r="A663" t="s">
        <v>16</v>
      </c>
      <c r="C663" t="b">
        <v>1</v>
      </c>
      <c r="D663" t="s">
        <v>93</v>
      </c>
      <c r="E663" t="s">
        <v>19</v>
      </c>
      <c r="F663" t="b">
        <v>0</v>
      </c>
      <c r="G663">
        <v>29.99</v>
      </c>
      <c r="H663">
        <v>14.62</v>
      </c>
      <c r="I663">
        <v>66.78</v>
      </c>
      <c r="J663">
        <v>6.49</v>
      </c>
      <c r="K663">
        <v>27.62</v>
      </c>
      <c r="L663">
        <v>3.37</v>
      </c>
      <c r="M663">
        <v>14.45</v>
      </c>
      <c r="N663">
        <v>176.82</v>
      </c>
      <c r="O663">
        <v>15.45</v>
      </c>
      <c r="P663">
        <v>393.71</v>
      </c>
    </row>
    <row r="664" spans="1:16" x14ac:dyDescent="0.2">
      <c r="A664" t="s">
        <v>16</v>
      </c>
      <c r="C664" t="b">
        <v>1</v>
      </c>
      <c r="D664" t="s">
        <v>93</v>
      </c>
      <c r="E664" t="s">
        <v>20</v>
      </c>
      <c r="F664" t="b">
        <v>0</v>
      </c>
      <c r="G664">
        <v>35.549999999999997</v>
      </c>
      <c r="H664">
        <v>17.329999999999998</v>
      </c>
      <c r="I664">
        <v>79.16</v>
      </c>
      <c r="J664">
        <v>3.83</v>
      </c>
      <c r="K664">
        <v>12.07</v>
      </c>
      <c r="L664">
        <v>2.14</v>
      </c>
      <c r="M664">
        <v>8.5299999999999994</v>
      </c>
      <c r="N664">
        <v>215.26</v>
      </c>
      <c r="O664">
        <v>18.809999999999999</v>
      </c>
      <c r="P664">
        <v>479.3</v>
      </c>
    </row>
    <row r="665" spans="1:16" x14ac:dyDescent="0.2">
      <c r="A665" t="s">
        <v>16</v>
      </c>
      <c r="C665" t="b">
        <v>1</v>
      </c>
      <c r="D665" t="s">
        <v>93</v>
      </c>
      <c r="E665" t="s">
        <v>21</v>
      </c>
      <c r="F665" t="b">
        <v>0</v>
      </c>
      <c r="G665">
        <v>26.72</v>
      </c>
      <c r="H665">
        <v>13.02</v>
      </c>
      <c r="I665">
        <v>59.49</v>
      </c>
      <c r="J665">
        <v>-6.52</v>
      </c>
      <c r="K665">
        <v>-19.61</v>
      </c>
      <c r="L665">
        <v>-2.9</v>
      </c>
      <c r="M665">
        <v>-14.52</v>
      </c>
      <c r="N665">
        <v>122.16</v>
      </c>
      <c r="O665">
        <v>10.67</v>
      </c>
      <c r="P665">
        <v>272</v>
      </c>
    </row>
    <row r="666" spans="1:16" x14ac:dyDescent="0.2">
      <c r="A666" t="s">
        <v>16</v>
      </c>
      <c r="C666" t="b">
        <v>1</v>
      </c>
      <c r="D666" t="s">
        <v>93</v>
      </c>
      <c r="E666" t="s">
        <v>22</v>
      </c>
      <c r="F666" t="b">
        <v>0</v>
      </c>
      <c r="G666">
        <v>42.74</v>
      </c>
      <c r="H666">
        <v>20.83</v>
      </c>
      <c r="I666">
        <v>95.17</v>
      </c>
      <c r="J666">
        <v>-10.199999999999999</v>
      </c>
      <c r="K666">
        <v>-19.27</v>
      </c>
      <c r="L666">
        <v>-4.5199999999999996</v>
      </c>
      <c r="M666">
        <v>-22.71</v>
      </c>
      <c r="N666">
        <v>262.92</v>
      </c>
      <c r="O666">
        <v>22.97</v>
      </c>
      <c r="P666">
        <v>585.41999999999996</v>
      </c>
    </row>
    <row r="667" spans="1:16" x14ac:dyDescent="0.2">
      <c r="A667" t="s">
        <v>16</v>
      </c>
      <c r="C667" t="b">
        <v>1</v>
      </c>
      <c r="D667" t="s">
        <v>93</v>
      </c>
      <c r="E667" t="s">
        <v>23</v>
      </c>
      <c r="F667" t="b">
        <v>0</v>
      </c>
      <c r="G667">
        <v>6</v>
      </c>
      <c r="H667">
        <v>2.92</v>
      </c>
      <c r="I667">
        <v>13.36</v>
      </c>
      <c r="J667">
        <v>0.13</v>
      </c>
      <c r="K667">
        <v>2.21</v>
      </c>
      <c r="L667">
        <v>0.11</v>
      </c>
      <c r="M667">
        <v>0.28999999999999998</v>
      </c>
      <c r="N667">
        <v>32.380000000000003</v>
      </c>
      <c r="O667">
        <v>2.83</v>
      </c>
      <c r="P667">
        <v>72.099999999999994</v>
      </c>
    </row>
    <row r="668" spans="1:16" x14ac:dyDescent="0.2">
      <c r="A668" t="s">
        <v>16</v>
      </c>
      <c r="C668" t="b">
        <v>1</v>
      </c>
      <c r="D668" t="s">
        <v>93</v>
      </c>
      <c r="E668" t="s">
        <v>24</v>
      </c>
      <c r="F668" t="b">
        <v>0</v>
      </c>
      <c r="G668">
        <v>1.44</v>
      </c>
      <c r="H668">
        <v>0.7</v>
      </c>
      <c r="I668">
        <v>3.21</v>
      </c>
      <c r="J668">
        <v>-0.04</v>
      </c>
      <c r="K668">
        <v>-2.7</v>
      </c>
      <c r="L668">
        <v>-0.01</v>
      </c>
      <c r="M668">
        <v>-0.09</v>
      </c>
      <c r="N668">
        <v>7.8</v>
      </c>
      <c r="O668">
        <v>0.68</v>
      </c>
      <c r="P668">
        <v>17.37</v>
      </c>
    </row>
    <row r="669" spans="1:16" x14ac:dyDescent="0.2">
      <c r="A669" t="s">
        <v>16</v>
      </c>
      <c r="C669" t="b">
        <v>1</v>
      </c>
      <c r="D669" t="s">
        <v>93</v>
      </c>
      <c r="E669" t="s">
        <v>25</v>
      </c>
      <c r="F669" t="b">
        <v>0</v>
      </c>
      <c r="G669">
        <v>25.69</v>
      </c>
      <c r="H669">
        <v>12.52</v>
      </c>
      <c r="I669">
        <v>57.2</v>
      </c>
      <c r="J669">
        <v>6.67</v>
      </c>
      <c r="K669">
        <v>35.07</v>
      </c>
      <c r="L669">
        <v>3.41</v>
      </c>
      <c r="M669">
        <v>14.85</v>
      </c>
      <c r="N669">
        <v>79.08</v>
      </c>
      <c r="O669">
        <v>6.91</v>
      </c>
      <c r="P669">
        <v>176.08</v>
      </c>
    </row>
    <row r="670" spans="1:16" x14ac:dyDescent="0.2">
      <c r="A670" t="s">
        <v>16</v>
      </c>
      <c r="C670" t="b">
        <v>1</v>
      </c>
      <c r="D670" t="s">
        <v>93</v>
      </c>
      <c r="E670" t="s">
        <v>26</v>
      </c>
      <c r="F670" t="b">
        <v>1</v>
      </c>
      <c r="G670">
        <v>205.17</v>
      </c>
      <c r="H670">
        <v>100</v>
      </c>
      <c r="I670">
        <v>456.83</v>
      </c>
      <c r="J670">
        <v>-3.66</v>
      </c>
      <c r="K670">
        <v>-1.75</v>
      </c>
      <c r="L670">
        <v>0</v>
      </c>
      <c r="M670">
        <v>-8.15</v>
      </c>
      <c r="N670">
        <v>1144.44</v>
      </c>
      <c r="O670">
        <v>100</v>
      </c>
      <c r="P670">
        <v>2548.2199999999998</v>
      </c>
    </row>
    <row r="671" spans="1:16" x14ac:dyDescent="0.2">
      <c r="A671" t="s">
        <v>16</v>
      </c>
      <c r="C671" t="b">
        <v>1</v>
      </c>
      <c r="D671" t="s">
        <v>93</v>
      </c>
      <c r="E671" t="s">
        <v>27</v>
      </c>
      <c r="F671" t="b">
        <v>0</v>
      </c>
      <c r="G671">
        <v>27.3</v>
      </c>
      <c r="H671">
        <v>13.31</v>
      </c>
      <c r="I671">
        <v>60.79</v>
      </c>
      <c r="J671">
        <v>-4.12</v>
      </c>
      <c r="K671">
        <v>-13.11</v>
      </c>
      <c r="L671">
        <v>-1.74</v>
      </c>
      <c r="M671">
        <v>-9.17</v>
      </c>
      <c r="N671">
        <v>195.44</v>
      </c>
      <c r="O671">
        <v>17.079999999999998</v>
      </c>
      <c r="P671">
        <v>435.17</v>
      </c>
    </row>
    <row r="672" spans="1:16" x14ac:dyDescent="0.2">
      <c r="A672" t="s">
        <v>16</v>
      </c>
      <c r="C672" t="b">
        <v>1</v>
      </c>
      <c r="D672" t="s">
        <v>94</v>
      </c>
      <c r="E672" t="s">
        <v>18</v>
      </c>
      <c r="F672" t="b">
        <v>0</v>
      </c>
      <c r="G672">
        <v>9.11</v>
      </c>
      <c r="H672">
        <v>4.49</v>
      </c>
      <c r="I672">
        <v>20.28</v>
      </c>
      <c r="J672">
        <v>0.69</v>
      </c>
      <c r="K672">
        <v>8.19</v>
      </c>
      <c r="L672">
        <v>0.38</v>
      </c>
      <c r="M672">
        <v>1.54</v>
      </c>
      <c r="N672">
        <v>61.69</v>
      </c>
      <c r="O672">
        <v>4.58</v>
      </c>
      <c r="P672">
        <v>137.36000000000001</v>
      </c>
    </row>
    <row r="673" spans="1:16" x14ac:dyDescent="0.2">
      <c r="A673" t="s">
        <v>16</v>
      </c>
      <c r="C673" t="b">
        <v>1</v>
      </c>
      <c r="D673" t="s">
        <v>94</v>
      </c>
      <c r="E673" t="s">
        <v>19</v>
      </c>
      <c r="F673" t="b">
        <v>0</v>
      </c>
      <c r="G673">
        <v>31.96</v>
      </c>
      <c r="H673">
        <v>15.74</v>
      </c>
      <c r="I673">
        <v>71.16</v>
      </c>
      <c r="J673">
        <v>4.8899999999999997</v>
      </c>
      <c r="K673">
        <v>18.059999999999999</v>
      </c>
      <c r="L673">
        <v>2.54</v>
      </c>
      <c r="M673">
        <v>10.89</v>
      </c>
      <c r="N673">
        <v>208.78</v>
      </c>
      <c r="O673">
        <v>15.49</v>
      </c>
      <c r="P673">
        <v>464.87</v>
      </c>
    </row>
    <row r="674" spans="1:16" x14ac:dyDescent="0.2">
      <c r="A674" t="s">
        <v>16</v>
      </c>
      <c r="C674" t="b">
        <v>1</v>
      </c>
      <c r="D674" t="s">
        <v>94</v>
      </c>
      <c r="E674" t="s">
        <v>20</v>
      </c>
      <c r="F674" t="b">
        <v>0</v>
      </c>
      <c r="G674">
        <v>39.83</v>
      </c>
      <c r="H674">
        <v>19.61</v>
      </c>
      <c r="I674">
        <v>88.69</v>
      </c>
      <c r="J674">
        <v>1.1499999999999999</v>
      </c>
      <c r="K674">
        <v>2.97</v>
      </c>
      <c r="L674">
        <v>0.74</v>
      </c>
      <c r="M674">
        <v>2.56</v>
      </c>
      <c r="N674">
        <v>255.09</v>
      </c>
      <c r="O674">
        <v>18.93</v>
      </c>
      <c r="P674">
        <v>567.99</v>
      </c>
    </row>
    <row r="675" spans="1:16" x14ac:dyDescent="0.2">
      <c r="A675" t="s">
        <v>16</v>
      </c>
      <c r="C675" t="b">
        <v>1</v>
      </c>
      <c r="D675" t="s">
        <v>94</v>
      </c>
      <c r="E675" t="s">
        <v>21</v>
      </c>
      <c r="F675" t="b">
        <v>0</v>
      </c>
      <c r="G675">
        <v>24.45</v>
      </c>
      <c r="H675">
        <v>12.04</v>
      </c>
      <c r="I675">
        <v>54.44</v>
      </c>
      <c r="J675">
        <v>-7.95</v>
      </c>
      <c r="K675">
        <v>-24.54</v>
      </c>
      <c r="L675">
        <v>-3.76</v>
      </c>
      <c r="M675">
        <v>-17.7</v>
      </c>
      <c r="N675">
        <v>146.61000000000001</v>
      </c>
      <c r="O675">
        <v>10.88</v>
      </c>
      <c r="P675">
        <v>326.44</v>
      </c>
    </row>
    <row r="676" spans="1:16" x14ac:dyDescent="0.2">
      <c r="A676" t="s">
        <v>16</v>
      </c>
      <c r="C676" t="b">
        <v>1</v>
      </c>
      <c r="D676" t="s">
        <v>94</v>
      </c>
      <c r="E676" t="s">
        <v>22</v>
      </c>
      <c r="F676" t="b">
        <v>0</v>
      </c>
      <c r="G676">
        <v>42.67</v>
      </c>
      <c r="H676">
        <v>21.01</v>
      </c>
      <c r="I676">
        <v>95.01</v>
      </c>
      <c r="J676">
        <v>-9.98</v>
      </c>
      <c r="K676">
        <v>-18.96</v>
      </c>
      <c r="L676">
        <v>-4.67</v>
      </c>
      <c r="M676">
        <v>-22.22</v>
      </c>
      <c r="N676">
        <v>305.58999999999997</v>
      </c>
      <c r="O676">
        <v>22.68</v>
      </c>
      <c r="P676">
        <v>680.43</v>
      </c>
    </row>
    <row r="677" spans="1:16" x14ac:dyDescent="0.2">
      <c r="A677" t="s">
        <v>16</v>
      </c>
      <c r="C677" t="b">
        <v>1</v>
      </c>
      <c r="D677" t="s">
        <v>94</v>
      </c>
      <c r="E677" t="s">
        <v>23</v>
      </c>
      <c r="F677" t="b">
        <v>0</v>
      </c>
      <c r="G677">
        <v>5.85</v>
      </c>
      <c r="H677">
        <v>2.88</v>
      </c>
      <c r="I677">
        <v>13.03</v>
      </c>
      <c r="J677">
        <v>0.14000000000000001</v>
      </c>
      <c r="K677">
        <v>2.4500000000000002</v>
      </c>
      <c r="L677">
        <v>0.09</v>
      </c>
      <c r="M677">
        <v>0.31</v>
      </c>
      <c r="N677">
        <v>38.229999999999997</v>
      </c>
      <c r="O677">
        <v>2.84</v>
      </c>
      <c r="P677">
        <v>85.12</v>
      </c>
    </row>
    <row r="678" spans="1:16" x14ac:dyDescent="0.2">
      <c r="A678" t="s">
        <v>16</v>
      </c>
      <c r="C678" t="b">
        <v>1</v>
      </c>
      <c r="D678" t="s">
        <v>94</v>
      </c>
      <c r="E678" t="s">
        <v>24</v>
      </c>
      <c r="F678" t="b">
        <v>0</v>
      </c>
      <c r="G678">
        <v>1.32</v>
      </c>
      <c r="H678">
        <v>0.65</v>
      </c>
      <c r="I678">
        <v>2.94</v>
      </c>
      <c r="J678">
        <v>-7.0000000000000007E-2</v>
      </c>
      <c r="K678">
        <v>-5.04</v>
      </c>
      <c r="L678">
        <v>-0.03</v>
      </c>
      <c r="M678">
        <v>-0.16</v>
      </c>
      <c r="N678">
        <v>9.1199999999999992</v>
      </c>
      <c r="O678">
        <v>0.68</v>
      </c>
      <c r="P678">
        <v>20.309999999999999</v>
      </c>
    </row>
    <row r="679" spans="1:16" x14ac:dyDescent="0.2">
      <c r="A679" t="s">
        <v>16</v>
      </c>
      <c r="C679" t="b">
        <v>1</v>
      </c>
      <c r="D679" t="s">
        <v>94</v>
      </c>
      <c r="E679" t="s">
        <v>25</v>
      </c>
      <c r="F679" t="b">
        <v>0</v>
      </c>
      <c r="G679">
        <v>26.18</v>
      </c>
      <c r="H679">
        <v>12.89</v>
      </c>
      <c r="I679">
        <v>58.29</v>
      </c>
      <c r="J679">
        <v>4.9000000000000004</v>
      </c>
      <c r="K679">
        <v>23.03</v>
      </c>
      <c r="L679">
        <v>2.5099999999999998</v>
      </c>
      <c r="M679">
        <v>10.91</v>
      </c>
      <c r="N679">
        <v>105.26</v>
      </c>
      <c r="O679">
        <v>7.81</v>
      </c>
      <c r="P679">
        <v>234.37</v>
      </c>
    </row>
    <row r="680" spans="1:16" x14ac:dyDescent="0.2">
      <c r="A680" t="s">
        <v>16</v>
      </c>
      <c r="C680" t="b">
        <v>1</v>
      </c>
      <c r="D680" t="s">
        <v>94</v>
      </c>
      <c r="E680" t="s">
        <v>26</v>
      </c>
      <c r="F680" t="b">
        <v>1</v>
      </c>
      <c r="G680">
        <v>203.09</v>
      </c>
      <c r="H680">
        <v>100</v>
      </c>
      <c r="I680">
        <v>452.2</v>
      </c>
      <c r="J680">
        <v>-1.93</v>
      </c>
      <c r="K680">
        <v>-0.94</v>
      </c>
      <c r="L680">
        <v>0</v>
      </c>
      <c r="M680">
        <v>-4.3</v>
      </c>
      <c r="N680">
        <v>1347.53</v>
      </c>
      <c r="O680">
        <v>100</v>
      </c>
      <c r="P680">
        <v>3000.42</v>
      </c>
    </row>
    <row r="681" spans="1:16" x14ac:dyDescent="0.2">
      <c r="A681" t="s">
        <v>16</v>
      </c>
      <c r="C681" t="b">
        <v>1</v>
      </c>
      <c r="D681" t="s">
        <v>94</v>
      </c>
      <c r="E681" t="s">
        <v>27</v>
      </c>
      <c r="F681" t="b">
        <v>0</v>
      </c>
      <c r="G681">
        <v>21.72</v>
      </c>
      <c r="H681">
        <v>10.69</v>
      </c>
      <c r="I681">
        <v>48.36</v>
      </c>
      <c r="J681">
        <v>4.3</v>
      </c>
      <c r="K681">
        <v>24.68</v>
      </c>
      <c r="L681">
        <v>2.19</v>
      </c>
      <c r="M681">
        <v>9.57</v>
      </c>
      <c r="N681">
        <v>217.16</v>
      </c>
      <c r="O681">
        <v>16.12</v>
      </c>
      <c r="P681">
        <v>483.53</v>
      </c>
    </row>
    <row r="682" spans="1:16" x14ac:dyDescent="0.2">
      <c r="A682" t="s">
        <v>16</v>
      </c>
      <c r="C682" t="b">
        <v>1</v>
      </c>
      <c r="D682" t="s">
        <v>95</v>
      </c>
      <c r="E682" t="s">
        <v>18</v>
      </c>
      <c r="F682" t="b">
        <v>0</v>
      </c>
      <c r="G682">
        <v>9.16</v>
      </c>
      <c r="H682">
        <v>4.3</v>
      </c>
      <c r="I682">
        <v>20.399999999999999</v>
      </c>
      <c r="J682">
        <v>0.39</v>
      </c>
      <c r="K682">
        <v>4.45</v>
      </c>
      <c r="L682">
        <v>0.24</v>
      </c>
      <c r="M682">
        <v>0.87</v>
      </c>
      <c r="N682">
        <v>70.849999999999994</v>
      </c>
      <c r="O682">
        <v>4.54</v>
      </c>
      <c r="P682">
        <v>157.76</v>
      </c>
    </row>
    <row r="683" spans="1:16" x14ac:dyDescent="0.2">
      <c r="A683" t="s">
        <v>16</v>
      </c>
      <c r="C683" t="b">
        <v>1</v>
      </c>
      <c r="D683" t="s">
        <v>95</v>
      </c>
      <c r="E683" t="s">
        <v>19</v>
      </c>
      <c r="F683" t="b">
        <v>0</v>
      </c>
      <c r="G683">
        <v>33.78</v>
      </c>
      <c r="H683">
        <v>15.88</v>
      </c>
      <c r="I683">
        <v>75.209999999999994</v>
      </c>
      <c r="J683">
        <v>3.52</v>
      </c>
      <c r="K683">
        <v>11.63</v>
      </c>
      <c r="L683">
        <v>1.87</v>
      </c>
      <c r="M683">
        <v>7.84</v>
      </c>
      <c r="N683">
        <v>242.56</v>
      </c>
      <c r="O683">
        <v>15.55</v>
      </c>
      <c r="P683">
        <v>540.09</v>
      </c>
    </row>
    <row r="684" spans="1:16" x14ac:dyDescent="0.2">
      <c r="A684" t="s">
        <v>16</v>
      </c>
      <c r="C684" t="b">
        <v>1</v>
      </c>
      <c r="D684" t="s">
        <v>95</v>
      </c>
      <c r="E684" t="s">
        <v>20</v>
      </c>
      <c r="F684" t="b">
        <v>0</v>
      </c>
      <c r="G684">
        <v>44.04</v>
      </c>
      <c r="H684">
        <v>20.7</v>
      </c>
      <c r="I684">
        <v>98.06</v>
      </c>
      <c r="J684">
        <v>4.53</v>
      </c>
      <c r="K684">
        <v>11.47</v>
      </c>
      <c r="L684">
        <v>2.41</v>
      </c>
      <c r="M684">
        <v>10.09</v>
      </c>
      <c r="N684">
        <v>299.13</v>
      </c>
      <c r="O684">
        <v>19.170000000000002</v>
      </c>
      <c r="P684">
        <v>666.05</v>
      </c>
    </row>
    <row r="685" spans="1:16" x14ac:dyDescent="0.2">
      <c r="A685" t="s">
        <v>16</v>
      </c>
      <c r="C685" t="b">
        <v>1</v>
      </c>
      <c r="D685" t="s">
        <v>95</v>
      </c>
      <c r="E685" t="s">
        <v>21</v>
      </c>
      <c r="F685" t="b">
        <v>0</v>
      </c>
      <c r="G685">
        <v>22.04</v>
      </c>
      <c r="H685">
        <v>10.36</v>
      </c>
      <c r="I685">
        <v>49.07</v>
      </c>
      <c r="J685">
        <v>-8.2200000000000006</v>
      </c>
      <c r="K685">
        <v>-27.16</v>
      </c>
      <c r="L685">
        <v>-3.65</v>
      </c>
      <c r="M685">
        <v>-18.3</v>
      </c>
      <c r="N685">
        <v>168.65</v>
      </c>
      <c r="O685">
        <v>10.81</v>
      </c>
      <c r="P685">
        <v>375.52</v>
      </c>
    </row>
    <row r="686" spans="1:16" x14ac:dyDescent="0.2">
      <c r="A686" t="s">
        <v>16</v>
      </c>
      <c r="C686" t="b">
        <v>1</v>
      </c>
      <c r="D686" t="s">
        <v>95</v>
      </c>
      <c r="E686" t="s">
        <v>22</v>
      </c>
      <c r="F686" t="b">
        <v>0</v>
      </c>
      <c r="G686">
        <v>43.9</v>
      </c>
      <c r="H686">
        <v>20.63</v>
      </c>
      <c r="I686">
        <v>97.75</v>
      </c>
      <c r="J686">
        <v>-12.79</v>
      </c>
      <c r="K686">
        <v>-22.56</v>
      </c>
      <c r="L686">
        <v>-5.62</v>
      </c>
      <c r="M686">
        <v>-28.48</v>
      </c>
      <c r="N686">
        <v>349.49</v>
      </c>
      <c r="O686">
        <v>22.4</v>
      </c>
      <c r="P686">
        <v>778.18</v>
      </c>
    </row>
    <row r="687" spans="1:16" x14ac:dyDescent="0.2">
      <c r="A687" t="s">
        <v>16</v>
      </c>
      <c r="C687" t="b">
        <v>1</v>
      </c>
      <c r="D687" t="s">
        <v>95</v>
      </c>
      <c r="E687" t="s">
        <v>23</v>
      </c>
      <c r="F687" t="b">
        <v>0</v>
      </c>
      <c r="G687">
        <v>6.16</v>
      </c>
      <c r="H687">
        <v>2.9</v>
      </c>
      <c r="I687">
        <v>13.72</v>
      </c>
      <c r="J687">
        <v>-0.03</v>
      </c>
      <c r="K687">
        <v>-0.48</v>
      </c>
      <c r="L687">
        <v>0.03</v>
      </c>
      <c r="M687">
        <v>-7.0000000000000007E-2</v>
      </c>
      <c r="N687">
        <v>44.39</v>
      </c>
      <c r="O687">
        <v>2.84</v>
      </c>
      <c r="P687">
        <v>98.84</v>
      </c>
    </row>
    <row r="688" spans="1:16" x14ac:dyDescent="0.2">
      <c r="A688" t="s">
        <v>16</v>
      </c>
      <c r="C688" t="b">
        <v>1</v>
      </c>
      <c r="D688" t="s">
        <v>95</v>
      </c>
      <c r="E688" t="s">
        <v>24</v>
      </c>
      <c r="F688" t="b">
        <v>0</v>
      </c>
      <c r="G688">
        <v>1.36</v>
      </c>
      <c r="H688">
        <v>0.64</v>
      </c>
      <c r="I688">
        <v>3.03</v>
      </c>
      <c r="J688">
        <v>-0.08</v>
      </c>
      <c r="K688">
        <v>-5.56</v>
      </c>
      <c r="L688">
        <v>-0.03</v>
      </c>
      <c r="M688">
        <v>-0.18</v>
      </c>
      <c r="N688">
        <v>10.48</v>
      </c>
      <c r="O688">
        <v>0.67</v>
      </c>
      <c r="P688">
        <v>23.33</v>
      </c>
    </row>
    <row r="689" spans="1:16" x14ac:dyDescent="0.2">
      <c r="A689" t="s">
        <v>16</v>
      </c>
      <c r="C689" t="b">
        <v>1</v>
      </c>
      <c r="D689" t="s">
        <v>95</v>
      </c>
      <c r="E689" t="s">
        <v>25</v>
      </c>
      <c r="F689" t="b">
        <v>0</v>
      </c>
      <c r="G689">
        <v>27.16</v>
      </c>
      <c r="H689">
        <v>12.76</v>
      </c>
      <c r="I689">
        <v>60.47</v>
      </c>
      <c r="J689">
        <v>6.61</v>
      </c>
      <c r="K689">
        <v>32.17</v>
      </c>
      <c r="L689">
        <v>3.25</v>
      </c>
      <c r="M689">
        <v>14.72</v>
      </c>
      <c r="N689">
        <v>132.41999999999999</v>
      </c>
      <c r="O689">
        <v>8.49</v>
      </c>
      <c r="P689">
        <v>294.85000000000002</v>
      </c>
    </row>
    <row r="690" spans="1:16" x14ac:dyDescent="0.2">
      <c r="A690" t="s">
        <v>16</v>
      </c>
      <c r="C690" t="b">
        <v>1</v>
      </c>
      <c r="D690" t="s">
        <v>95</v>
      </c>
      <c r="E690" t="s">
        <v>26</v>
      </c>
      <c r="F690" t="b">
        <v>1</v>
      </c>
      <c r="G690">
        <v>212.78</v>
      </c>
      <c r="H690">
        <v>100</v>
      </c>
      <c r="I690">
        <v>473.78</v>
      </c>
      <c r="J690">
        <v>-3.21</v>
      </c>
      <c r="K690">
        <v>-1.49</v>
      </c>
      <c r="L690">
        <v>0</v>
      </c>
      <c r="M690">
        <v>-7.15</v>
      </c>
      <c r="N690">
        <v>1560.31</v>
      </c>
      <c r="O690">
        <v>100</v>
      </c>
      <c r="P690">
        <v>3474.2</v>
      </c>
    </row>
    <row r="691" spans="1:16" x14ac:dyDescent="0.2">
      <c r="A691" t="s">
        <v>16</v>
      </c>
      <c r="C691" t="b">
        <v>1</v>
      </c>
      <c r="D691" t="s">
        <v>95</v>
      </c>
      <c r="E691" t="s">
        <v>27</v>
      </c>
      <c r="F691" t="b">
        <v>0</v>
      </c>
      <c r="G691">
        <v>25.18</v>
      </c>
      <c r="H691">
        <v>11.83</v>
      </c>
      <c r="I691">
        <v>56.07</v>
      </c>
      <c r="J691">
        <v>2.86</v>
      </c>
      <c r="K691">
        <v>12.81</v>
      </c>
      <c r="L691">
        <v>1.5</v>
      </c>
      <c r="M691">
        <v>6.37</v>
      </c>
      <c r="N691">
        <v>242.34</v>
      </c>
      <c r="O691">
        <v>15.53</v>
      </c>
      <c r="P691">
        <v>539.6</v>
      </c>
    </row>
    <row r="692" spans="1:16" x14ac:dyDescent="0.2">
      <c r="A692" t="s">
        <v>16</v>
      </c>
      <c r="C692" t="b">
        <v>1</v>
      </c>
      <c r="D692" t="s">
        <v>96</v>
      </c>
      <c r="E692" t="s">
        <v>18</v>
      </c>
      <c r="F692" t="b">
        <v>0</v>
      </c>
      <c r="G692">
        <v>9.14</v>
      </c>
      <c r="H692">
        <v>4.4800000000000004</v>
      </c>
      <c r="I692">
        <v>20.350000000000001</v>
      </c>
      <c r="J692">
        <v>0.1</v>
      </c>
      <c r="K692">
        <v>1.1100000000000001</v>
      </c>
      <c r="L692">
        <v>0.15</v>
      </c>
      <c r="M692">
        <v>0.22</v>
      </c>
      <c r="N692">
        <v>79.989999999999995</v>
      </c>
      <c r="O692">
        <v>4.53</v>
      </c>
      <c r="P692">
        <v>178.11</v>
      </c>
    </row>
    <row r="693" spans="1:16" x14ac:dyDescent="0.2">
      <c r="A693" t="s">
        <v>16</v>
      </c>
      <c r="C693" t="b">
        <v>1</v>
      </c>
      <c r="D693" t="s">
        <v>96</v>
      </c>
      <c r="E693" t="s">
        <v>19</v>
      </c>
      <c r="F693" t="b">
        <v>0</v>
      </c>
      <c r="G693">
        <v>35.67</v>
      </c>
      <c r="H693">
        <v>17.47</v>
      </c>
      <c r="I693">
        <v>79.42</v>
      </c>
      <c r="J693">
        <v>5.5</v>
      </c>
      <c r="K693">
        <v>18.23</v>
      </c>
      <c r="L693">
        <v>3.02</v>
      </c>
      <c r="M693">
        <v>12.25</v>
      </c>
      <c r="N693">
        <v>278.23</v>
      </c>
      <c r="O693">
        <v>15.77</v>
      </c>
      <c r="P693">
        <v>619.51</v>
      </c>
    </row>
    <row r="694" spans="1:16" x14ac:dyDescent="0.2">
      <c r="A694" t="s">
        <v>16</v>
      </c>
      <c r="C694" t="b">
        <v>1</v>
      </c>
      <c r="D694" t="s">
        <v>96</v>
      </c>
      <c r="E694" t="s">
        <v>20</v>
      </c>
      <c r="F694" t="b">
        <v>0</v>
      </c>
      <c r="G694">
        <v>42.83</v>
      </c>
      <c r="H694">
        <v>20.97</v>
      </c>
      <c r="I694">
        <v>95.37</v>
      </c>
      <c r="J694">
        <v>9.82</v>
      </c>
      <c r="K694">
        <v>29.75</v>
      </c>
      <c r="L694">
        <v>5.17</v>
      </c>
      <c r="M694">
        <v>21.87</v>
      </c>
      <c r="N694">
        <v>341.96</v>
      </c>
      <c r="O694">
        <v>19.38</v>
      </c>
      <c r="P694">
        <v>761.41</v>
      </c>
    </row>
    <row r="695" spans="1:16" x14ac:dyDescent="0.2">
      <c r="A695" t="s">
        <v>16</v>
      </c>
      <c r="C695" t="b">
        <v>1</v>
      </c>
      <c r="D695" t="s">
        <v>96</v>
      </c>
      <c r="E695" t="s">
        <v>21</v>
      </c>
      <c r="F695" t="b">
        <v>0</v>
      </c>
      <c r="G695">
        <v>19.97</v>
      </c>
      <c r="H695">
        <v>9.7799999999999994</v>
      </c>
      <c r="I695">
        <v>44.47</v>
      </c>
      <c r="J695">
        <v>-7.88</v>
      </c>
      <c r="K695">
        <v>-28.29</v>
      </c>
      <c r="L695">
        <v>-3.55</v>
      </c>
      <c r="M695">
        <v>-17.55</v>
      </c>
      <c r="N695">
        <v>188.62</v>
      </c>
      <c r="O695">
        <v>10.69</v>
      </c>
      <c r="P695">
        <v>419.98</v>
      </c>
    </row>
    <row r="696" spans="1:16" x14ac:dyDescent="0.2">
      <c r="A696" t="s">
        <v>16</v>
      </c>
      <c r="C696" t="b">
        <v>1</v>
      </c>
      <c r="D696" t="s">
        <v>96</v>
      </c>
      <c r="E696" t="s">
        <v>22</v>
      </c>
      <c r="F696" t="b">
        <v>0</v>
      </c>
      <c r="G696">
        <v>43.3</v>
      </c>
      <c r="H696">
        <v>21.2</v>
      </c>
      <c r="I696">
        <v>96.41</v>
      </c>
      <c r="J696">
        <v>-14.08</v>
      </c>
      <c r="K696">
        <v>-24.54</v>
      </c>
      <c r="L696">
        <v>-6.27</v>
      </c>
      <c r="M696">
        <v>-31.35</v>
      </c>
      <c r="N696">
        <v>392.79</v>
      </c>
      <c r="O696">
        <v>22.26</v>
      </c>
      <c r="P696">
        <v>874.59</v>
      </c>
    </row>
    <row r="697" spans="1:16" x14ac:dyDescent="0.2">
      <c r="A697" t="s">
        <v>16</v>
      </c>
      <c r="C697" t="b">
        <v>1</v>
      </c>
      <c r="D697" t="s">
        <v>96</v>
      </c>
      <c r="E697" t="s">
        <v>23</v>
      </c>
      <c r="F697" t="b">
        <v>0</v>
      </c>
      <c r="G697">
        <v>5.91</v>
      </c>
      <c r="H697">
        <v>2.89</v>
      </c>
      <c r="I697">
        <v>13.16</v>
      </c>
      <c r="J697">
        <v>-0.38</v>
      </c>
      <c r="K697">
        <v>-6.04</v>
      </c>
      <c r="L697">
        <v>-0.12</v>
      </c>
      <c r="M697">
        <v>-0.85</v>
      </c>
      <c r="N697">
        <v>50.3</v>
      </c>
      <c r="O697">
        <v>2.85</v>
      </c>
      <c r="P697">
        <v>112</v>
      </c>
    </row>
    <row r="698" spans="1:16" x14ac:dyDescent="0.2">
      <c r="A698" t="s">
        <v>16</v>
      </c>
      <c r="C698" t="b">
        <v>1</v>
      </c>
      <c r="D698" t="s">
        <v>96</v>
      </c>
      <c r="E698" t="s">
        <v>24</v>
      </c>
      <c r="F698" t="b">
        <v>0</v>
      </c>
      <c r="G698">
        <v>1.36</v>
      </c>
      <c r="H698">
        <v>0.67</v>
      </c>
      <c r="I698">
        <v>3.03</v>
      </c>
      <c r="J698">
        <v>-0.05</v>
      </c>
      <c r="K698">
        <v>-3.55</v>
      </c>
      <c r="L698">
        <v>-0.01</v>
      </c>
      <c r="M698">
        <v>-0.11</v>
      </c>
      <c r="N698">
        <v>11.84</v>
      </c>
      <c r="O698">
        <v>0.67</v>
      </c>
      <c r="P698">
        <v>26.36</v>
      </c>
    </row>
    <row r="699" spans="1:16" x14ac:dyDescent="0.2">
      <c r="A699" t="s">
        <v>16</v>
      </c>
      <c r="C699" t="b">
        <v>1</v>
      </c>
      <c r="D699" t="s">
        <v>96</v>
      </c>
      <c r="E699" t="s">
        <v>25</v>
      </c>
      <c r="F699" t="b">
        <v>0</v>
      </c>
      <c r="G699">
        <v>24.97</v>
      </c>
      <c r="H699">
        <v>12.23</v>
      </c>
      <c r="I699">
        <v>55.6</v>
      </c>
      <c r="J699">
        <v>6.62</v>
      </c>
      <c r="K699">
        <v>36.08</v>
      </c>
      <c r="L699">
        <v>3.44</v>
      </c>
      <c r="M699">
        <v>14.74</v>
      </c>
      <c r="N699">
        <v>157.38999999999999</v>
      </c>
      <c r="O699">
        <v>8.92</v>
      </c>
      <c r="P699">
        <v>350.45</v>
      </c>
    </row>
    <row r="700" spans="1:16" x14ac:dyDescent="0.2">
      <c r="A700" t="s">
        <v>16</v>
      </c>
      <c r="C700" t="b">
        <v>1</v>
      </c>
      <c r="D700" t="s">
        <v>96</v>
      </c>
      <c r="E700" t="s">
        <v>26</v>
      </c>
      <c r="F700" t="b">
        <v>1</v>
      </c>
      <c r="G700">
        <v>204.2</v>
      </c>
      <c r="H700">
        <v>100</v>
      </c>
      <c r="I700">
        <v>454.67</v>
      </c>
      <c r="J700">
        <v>-4.66</v>
      </c>
      <c r="K700">
        <v>-2.23</v>
      </c>
      <c r="L700">
        <v>0</v>
      </c>
      <c r="M700">
        <v>-10.38</v>
      </c>
      <c r="N700">
        <v>1764.51</v>
      </c>
      <c r="O700">
        <v>100</v>
      </c>
      <c r="P700">
        <v>3928.87</v>
      </c>
    </row>
    <row r="701" spans="1:16" x14ac:dyDescent="0.2">
      <c r="A701" t="s">
        <v>16</v>
      </c>
      <c r="C701" t="b">
        <v>1</v>
      </c>
      <c r="D701" t="s">
        <v>96</v>
      </c>
      <c r="E701" t="s">
        <v>27</v>
      </c>
      <c r="F701" t="b">
        <v>0</v>
      </c>
      <c r="G701">
        <v>21.05</v>
      </c>
      <c r="H701">
        <v>10.31</v>
      </c>
      <c r="I701">
        <v>46.87</v>
      </c>
      <c r="J701">
        <v>-4.3099999999999996</v>
      </c>
      <c r="K701">
        <v>-17</v>
      </c>
      <c r="L701">
        <v>-1.83</v>
      </c>
      <c r="M701">
        <v>-9.6</v>
      </c>
      <c r="N701">
        <v>263.39</v>
      </c>
      <c r="O701">
        <v>14.93</v>
      </c>
      <c r="P701">
        <v>586.47</v>
      </c>
    </row>
    <row r="702" spans="1:16" x14ac:dyDescent="0.2">
      <c r="A702" t="s">
        <v>16</v>
      </c>
      <c r="C702" t="b">
        <v>1</v>
      </c>
      <c r="D702" t="s">
        <v>97</v>
      </c>
      <c r="E702" t="s">
        <v>18</v>
      </c>
      <c r="F702" t="b">
        <v>0</v>
      </c>
      <c r="G702">
        <v>9.19</v>
      </c>
      <c r="H702">
        <v>4.6100000000000003</v>
      </c>
      <c r="I702">
        <v>20.46</v>
      </c>
      <c r="J702">
        <v>-0.02</v>
      </c>
      <c r="K702">
        <v>-0.22</v>
      </c>
      <c r="L702">
        <v>0.18</v>
      </c>
      <c r="M702">
        <v>-0.04</v>
      </c>
      <c r="N702">
        <v>89.18</v>
      </c>
      <c r="O702">
        <v>4.54</v>
      </c>
      <c r="P702">
        <v>198.57</v>
      </c>
    </row>
    <row r="703" spans="1:16" x14ac:dyDescent="0.2">
      <c r="A703" t="s">
        <v>16</v>
      </c>
      <c r="C703" t="b">
        <v>1</v>
      </c>
      <c r="D703" t="s">
        <v>97</v>
      </c>
      <c r="E703" t="s">
        <v>19</v>
      </c>
      <c r="F703" t="b">
        <v>0</v>
      </c>
      <c r="G703">
        <v>35.65</v>
      </c>
      <c r="H703">
        <v>17.899999999999999</v>
      </c>
      <c r="I703">
        <v>79.38</v>
      </c>
      <c r="J703">
        <v>-1.0900000000000001</v>
      </c>
      <c r="K703">
        <v>-2.97</v>
      </c>
      <c r="L703">
        <v>0.23</v>
      </c>
      <c r="M703">
        <v>-2.4300000000000002</v>
      </c>
      <c r="N703">
        <v>313.88</v>
      </c>
      <c r="O703">
        <v>15.98</v>
      </c>
      <c r="P703">
        <v>698.89</v>
      </c>
    </row>
    <row r="704" spans="1:16" x14ac:dyDescent="0.2">
      <c r="A704" t="s">
        <v>16</v>
      </c>
      <c r="C704" t="b">
        <v>1</v>
      </c>
      <c r="D704" t="s">
        <v>97</v>
      </c>
      <c r="E704" t="s">
        <v>20</v>
      </c>
      <c r="F704" t="b">
        <v>0</v>
      </c>
      <c r="G704">
        <v>39.5</v>
      </c>
      <c r="H704">
        <v>19.829999999999998</v>
      </c>
      <c r="I704">
        <v>87.95</v>
      </c>
      <c r="J704">
        <v>-0.56999999999999995</v>
      </c>
      <c r="K704">
        <v>-1.42</v>
      </c>
      <c r="L704">
        <v>0.56000000000000005</v>
      </c>
      <c r="M704">
        <v>-1.27</v>
      </c>
      <c r="N704">
        <v>381.46</v>
      </c>
      <c r="O704">
        <v>19.43</v>
      </c>
      <c r="P704">
        <v>849.36</v>
      </c>
    </row>
    <row r="705" spans="1:16" x14ac:dyDescent="0.2">
      <c r="A705" t="s">
        <v>16</v>
      </c>
      <c r="C705" t="b">
        <v>1</v>
      </c>
      <c r="D705" t="s">
        <v>97</v>
      </c>
      <c r="E705" t="s">
        <v>21</v>
      </c>
      <c r="F705" t="b">
        <v>0</v>
      </c>
      <c r="G705">
        <v>19.579999999999998</v>
      </c>
      <c r="H705">
        <v>9.83</v>
      </c>
      <c r="I705">
        <v>43.6</v>
      </c>
      <c r="J705">
        <v>-2.02</v>
      </c>
      <c r="K705">
        <v>-9.35</v>
      </c>
      <c r="L705">
        <v>-0.56000000000000005</v>
      </c>
      <c r="M705">
        <v>-4.5</v>
      </c>
      <c r="N705">
        <v>208.2</v>
      </c>
      <c r="O705">
        <v>10.6</v>
      </c>
      <c r="P705">
        <v>463.58</v>
      </c>
    </row>
    <row r="706" spans="1:16" x14ac:dyDescent="0.2">
      <c r="A706" t="s">
        <v>16</v>
      </c>
      <c r="C706" t="b">
        <v>1</v>
      </c>
      <c r="D706" t="s">
        <v>97</v>
      </c>
      <c r="E706" t="s">
        <v>22</v>
      </c>
      <c r="F706" t="b">
        <v>0</v>
      </c>
      <c r="G706">
        <v>42.91</v>
      </c>
      <c r="H706">
        <v>21.54</v>
      </c>
      <c r="I706">
        <v>95.54</v>
      </c>
      <c r="J706">
        <v>-13.63</v>
      </c>
      <c r="K706">
        <v>-24.11</v>
      </c>
      <c r="L706">
        <v>-5.65</v>
      </c>
      <c r="M706">
        <v>-30.35</v>
      </c>
      <c r="N706">
        <v>435.7</v>
      </c>
      <c r="O706">
        <v>22.19</v>
      </c>
      <c r="P706">
        <v>970.13</v>
      </c>
    </row>
    <row r="707" spans="1:16" x14ac:dyDescent="0.2">
      <c r="A707" t="s">
        <v>16</v>
      </c>
      <c r="C707" t="b">
        <v>1</v>
      </c>
      <c r="D707" t="s">
        <v>97</v>
      </c>
      <c r="E707" t="s">
        <v>23</v>
      </c>
      <c r="F707" t="b">
        <v>0</v>
      </c>
      <c r="G707">
        <v>6.08</v>
      </c>
      <c r="H707">
        <v>3.05</v>
      </c>
      <c r="I707">
        <v>13.54</v>
      </c>
      <c r="J707">
        <v>0.11</v>
      </c>
      <c r="K707">
        <v>1.84</v>
      </c>
      <c r="L707">
        <v>0.18</v>
      </c>
      <c r="M707">
        <v>0.24</v>
      </c>
      <c r="N707">
        <v>56.38</v>
      </c>
      <c r="O707">
        <v>2.87</v>
      </c>
      <c r="P707">
        <v>125.54</v>
      </c>
    </row>
    <row r="708" spans="1:16" x14ac:dyDescent="0.2">
      <c r="A708" t="s">
        <v>16</v>
      </c>
      <c r="C708" t="b">
        <v>1</v>
      </c>
      <c r="D708" t="s">
        <v>97</v>
      </c>
      <c r="E708" t="s">
        <v>24</v>
      </c>
      <c r="F708" t="b">
        <v>0</v>
      </c>
      <c r="G708">
        <v>1.34</v>
      </c>
      <c r="H708">
        <v>0.67</v>
      </c>
      <c r="I708">
        <v>2.98</v>
      </c>
      <c r="J708">
        <v>-0.05</v>
      </c>
      <c r="K708">
        <v>-3.6</v>
      </c>
      <c r="L708">
        <v>0</v>
      </c>
      <c r="M708">
        <v>-0.11</v>
      </c>
      <c r="N708">
        <v>13.18</v>
      </c>
      <c r="O708">
        <v>0.67</v>
      </c>
      <c r="P708">
        <v>29.35</v>
      </c>
    </row>
    <row r="709" spans="1:16" x14ac:dyDescent="0.2">
      <c r="A709" t="s">
        <v>16</v>
      </c>
      <c r="C709" t="b">
        <v>1</v>
      </c>
      <c r="D709" t="s">
        <v>97</v>
      </c>
      <c r="E709" t="s">
        <v>25</v>
      </c>
      <c r="F709" t="b">
        <v>0</v>
      </c>
      <c r="G709">
        <v>17.93</v>
      </c>
      <c r="H709">
        <v>9</v>
      </c>
      <c r="I709">
        <v>39.92</v>
      </c>
      <c r="J709">
        <v>2.46</v>
      </c>
      <c r="K709">
        <v>15.9</v>
      </c>
      <c r="L709">
        <v>1.56</v>
      </c>
      <c r="M709">
        <v>5.48</v>
      </c>
      <c r="N709">
        <v>175.32</v>
      </c>
      <c r="O709">
        <v>8.93</v>
      </c>
      <c r="P709">
        <v>390.37</v>
      </c>
    </row>
    <row r="710" spans="1:16" x14ac:dyDescent="0.2">
      <c r="A710" t="s">
        <v>16</v>
      </c>
      <c r="C710" t="b">
        <v>1</v>
      </c>
      <c r="D710" t="s">
        <v>97</v>
      </c>
      <c r="E710" t="s">
        <v>26</v>
      </c>
      <c r="F710" t="b">
        <v>1</v>
      </c>
      <c r="G710">
        <v>199.19</v>
      </c>
      <c r="H710">
        <v>100</v>
      </c>
      <c r="I710">
        <v>443.52</v>
      </c>
      <c r="J710">
        <v>-8.77</v>
      </c>
      <c r="K710">
        <v>-4.22</v>
      </c>
      <c r="L710">
        <v>0</v>
      </c>
      <c r="M710">
        <v>-19.53</v>
      </c>
      <c r="N710">
        <v>1963.7</v>
      </c>
      <c r="O710">
        <v>100</v>
      </c>
      <c r="P710">
        <v>4372.3900000000003</v>
      </c>
    </row>
    <row r="711" spans="1:16" x14ac:dyDescent="0.2">
      <c r="A711" t="s">
        <v>16</v>
      </c>
      <c r="C711" t="b">
        <v>1</v>
      </c>
      <c r="D711" t="s">
        <v>97</v>
      </c>
      <c r="E711" t="s">
        <v>27</v>
      </c>
      <c r="F711" t="b">
        <v>0</v>
      </c>
      <c r="G711">
        <v>27.01</v>
      </c>
      <c r="H711">
        <v>13.56</v>
      </c>
      <c r="I711">
        <v>60.14</v>
      </c>
      <c r="J711">
        <v>6.04</v>
      </c>
      <c r="K711">
        <v>28.8</v>
      </c>
      <c r="L711">
        <v>3.48</v>
      </c>
      <c r="M711">
        <v>13.45</v>
      </c>
      <c r="N711">
        <v>290.39999999999998</v>
      </c>
      <c r="O711">
        <v>14.79</v>
      </c>
      <c r="P711">
        <v>646.61</v>
      </c>
    </row>
    <row r="712" spans="1:16" x14ac:dyDescent="0.2">
      <c r="A712" t="s">
        <v>16</v>
      </c>
      <c r="C712" t="b">
        <v>1</v>
      </c>
      <c r="D712" t="s">
        <v>98</v>
      </c>
      <c r="E712" t="s">
        <v>18</v>
      </c>
      <c r="F712" t="b">
        <v>0</v>
      </c>
      <c r="G712">
        <v>9.33</v>
      </c>
      <c r="H712">
        <v>4.6100000000000003</v>
      </c>
      <c r="I712">
        <v>20.77</v>
      </c>
      <c r="J712">
        <v>-0.68</v>
      </c>
      <c r="K712">
        <v>-6.79</v>
      </c>
      <c r="L712">
        <v>0.12</v>
      </c>
      <c r="M712">
        <v>-1.51</v>
      </c>
      <c r="N712">
        <v>98.51</v>
      </c>
      <c r="O712">
        <v>4.55</v>
      </c>
      <c r="P712">
        <v>219.34</v>
      </c>
    </row>
    <row r="713" spans="1:16" x14ac:dyDescent="0.2">
      <c r="A713" t="s">
        <v>16</v>
      </c>
      <c r="C713" t="b">
        <v>1</v>
      </c>
      <c r="D713" t="s">
        <v>98</v>
      </c>
      <c r="E713" t="s">
        <v>19</v>
      </c>
      <c r="F713" t="b">
        <v>0</v>
      </c>
      <c r="G713">
        <v>31.76</v>
      </c>
      <c r="H713">
        <v>15.7</v>
      </c>
      <c r="I713">
        <v>70.72</v>
      </c>
      <c r="J713">
        <v>-4.95</v>
      </c>
      <c r="K713">
        <v>-13.48</v>
      </c>
      <c r="L713">
        <v>-0.77</v>
      </c>
      <c r="M713">
        <v>-11.02</v>
      </c>
      <c r="N713">
        <v>345.64</v>
      </c>
      <c r="O713">
        <v>15.96</v>
      </c>
      <c r="P713">
        <v>769.61</v>
      </c>
    </row>
    <row r="714" spans="1:16" x14ac:dyDescent="0.2">
      <c r="A714" t="s">
        <v>16</v>
      </c>
      <c r="C714" t="b">
        <v>1</v>
      </c>
      <c r="D714" t="s">
        <v>98</v>
      </c>
      <c r="E714" t="s">
        <v>20</v>
      </c>
      <c r="F714" t="b">
        <v>0</v>
      </c>
      <c r="G714">
        <v>41.22</v>
      </c>
      <c r="H714">
        <v>20.37</v>
      </c>
      <c r="I714">
        <v>91.78</v>
      </c>
      <c r="J714">
        <v>2.15</v>
      </c>
      <c r="K714">
        <v>5.5</v>
      </c>
      <c r="L714">
        <v>2.84</v>
      </c>
      <c r="M714">
        <v>4.79</v>
      </c>
      <c r="N714">
        <v>422.68</v>
      </c>
      <c r="O714">
        <v>19.510000000000002</v>
      </c>
      <c r="P714">
        <v>941.14</v>
      </c>
    </row>
    <row r="715" spans="1:16" x14ac:dyDescent="0.2">
      <c r="A715" t="s">
        <v>16</v>
      </c>
      <c r="C715" t="b">
        <v>1</v>
      </c>
      <c r="D715" t="s">
        <v>98</v>
      </c>
      <c r="E715" t="s">
        <v>21</v>
      </c>
      <c r="F715" t="b">
        <v>0</v>
      </c>
      <c r="G715">
        <v>18.89</v>
      </c>
      <c r="H715">
        <v>9.34</v>
      </c>
      <c r="I715">
        <v>42.06</v>
      </c>
      <c r="J715">
        <v>-1.42</v>
      </c>
      <c r="K715">
        <v>-6.99</v>
      </c>
      <c r="L715">
        <v>0.23</v>
      </c>
      <c r="M715">
        <v>-3.16</v>
      </c>
      <c r="N715">
        <v>227.09</v>
      </c>
      <c r="O715">
        <v>10.48</v>
      </c>
      <c r="P715">
        <v>505.64</v>
      </c>
    </row>
    <row r="716" spans="1:16" x14ac:dyDescent="0.2">
      <c r="A716" t="s">
        <v>16</v>
      </c>
      <c r="C716" t="b">
        <v>1</v>
      </c>
      <c r="D716" t="s">
        <v>98</v>
      </c>
      <c r="E716" t="s">
        <v>22</v>
      </c>
      <c r="F716" t="b">
        <v>0</v>
      </c>
      <c r="G716">
        <v>43.52</v>
      </c>
      <c r="H716">
        <v>21.51</v>
      </c>
      <c r="I716">
        <v>96.9</v>
      </c>
      <c r="J716">
        <v>-15.76</v>
      </c>
      <c r="K716">
        <v>-26.59</v>
      </c>
      <c r="L716">
        <v>-5.09</v>
      </c>
      <c r="M716">
        <v>-35.090000000000003</v>
      </c>
      <c r="N716">
        <v>479.22</v>
      </c>
      <c r="O716">
        <v>22.12</v>
      </c>
      <c r="P716">
        <v>1067.04</v>
      </c>
    </row>
    <row r="717" spans="1:16" x14ac:dyDescent="0.2">
      <c r="A717" t="s">
        <v>16</v>
      </c>
      <c r="C717" t="b">
        <v>1</v>
      </c>
      <c r="D717" t="s">
        <v>98</v>
      </c>
      <c r="E717" t="s">
        <v>23</v>
      </c>
      <c r="F717" t="b">
        <v>0</v>
      </c>
      <c r="G717">
        <v>6.05</v>
      </c>
      <c r="H717">
        <v>2.99</v>
      </c>
      <c r="I717">
        <v>13.47</v>
      </c>
      <c r="J717">
        <v>-0.21</v>
      </c>
      <c r="K717">
        <v>-3.35</v>
      </c>
      <c r="L717">
        <v>0.18</v>
      </c>
      <c r="M717">
        <v>-0.47</v>
      </c>
      <c r="N717">
        <v>62.43</v>
      </c>
      <c r="O717">
        <v>2.88</v>
      </c>
      <c r="P717">
        <v>139.01</v>
      </c>
    </row>
    <row r="718" spans="1:16" x14ac:dyDescent="0.2">
      <c r="A718" t="s">
        <v>16</v>
      </c>
      <c r="C718" t="b">
        <v>1</v>
      </c>
      <c r="D718" t="s">
        <v>98</v>
      </c>
      <c r="E718" t="s">
        <v>24</v>
      </c>
      <c r="F718" t="b">
        <v>0</v>
      </c>
      <c r="G718">
        <v>1.42</v>
      </c>
      <c r="H718">
        <v>0.7</v>
      </c>
      <c r="I718">
        <v>3.16</v>
      </c>
      <c r="J718">
        <v>-0.09</v>
      </c>
      <c r="K718">
        <v>-5.96</v>
      </c>
      <c r="L718">
        <v>0.02</v>
      </c>
      <c r="M718">
        <v>-0.2</v>
      </c>
      <c r="N718">
        <v>14.6</v>
      </c>
      <c r="O718">
        <v>0.67</v>
      </c>
      <c r="P718">
        <v>32.51</v>
      </c>
    </row>
    <row r="719" spans="1:16" x14ac:dyDescent="0.2">
      <c r="A719" t="s">
        <v>16</v>
      </c>
      <c r="C719" t="b">
        <v>1</v>
      </c>
      <c r="D719" t="s">
        <v>98</v>
      </c>
      <c r="E719" t="s">
        <v>25</v>
      </c>
      <c r="F719" t="b">
        <v>0</v>
      </c>
      <c r="G719">
        <v>13.85</v>
      </c>
      <c r="H719">
        <v>6.85</v>
      </c>
      <c r="I719">
        <v>30.84</v>
      </c>
      <c r="J719">
        <v>2.4</v>
      </c>
      <c r="K719">
        <v>20.96</v>
      </c>
      <c r="L719">
        <v>1.71</v>
      </c>
      <c r="M719">
        <v>5.34</v>
      </c>
      <c r="N719">
        <v>189.17</v>
      </c>
      <c r="O719">
        <v>8.73</v>
      </c>
      <c r="P719">
        <v>421.21</v>
      </c>
    </row>
    <row r="720" spans="1:16" x14ac:dyDescent="0.2">
      <c r="A720" t="s">
        <v>16</v>
      </c>
      <c r="C720" t="b">
        <v>1</v>
      </c>
      <c r="D720" t="s">
        <v>98</v>
      </c>
      <c r="E720" t="s">
        <v>26</v>
      </c>
      <c r="F720" t="b">
        <v>1</v>
      </c>
      <c r="G720">
        <v>202.33</v>
      </c>
      <c r="H720">
        <v>100</v>
      </c>
      <c r="I720">
        <v>450.51</v>
      </c>
      <c r="J720">
        <v>-20.52</v>
      </c>
      <c r="K720">
        <v>-9.2100000000000009</v>
      </c>
      <c r="L720">
        <v>0</v>
      </c>
      <c r="M720">
        <v>-45.69</v>
      </c>
      <c r="N720">
        <v>2166.0300000000002</v>
      </c>
      <c r="O720">
        <v>100</v>
      </c>
      <c r="P720">
        <v>4822.8999999999996</v>
      </c>
    </row>
    <row r="721" spans="1:16" x14ac:dyDescent="0.2">
      <c r="A721" t="s">
        <v>16</v>
      </c>
      <c r="C721" t="b">
        <v>1</v>
      </c>
      <c r="D721" t="s">
        <v>98</v>
      </c>
      <c r="E721" t="s">
        <v>27</v>
      </c>
      <c r="F721" t="b">
        <v>0</v>
      </c>
      <c r="G721">
        <v>36.29</v>
      </c>
      <c r="H721">
        <v>17.940000000000001</v>
      </c>
      <c r="I721">
        <v>80.8</v>
      </c>
      <c r="J721">
        <v>-1.96</v>
      </c>
      <c r="K721">
        <v>-5.12</v>
      </c>
      <c r="L721">
        <v>0.78</v>
      </c>
      <c r="M721">
        <v>-4.3600000000000003</v>
      </c>
      <c r="N721">
        <v>326.69</v>
      </c>
      <c r="O721">
        <v>15.08</v>
      </c>
      <c r="P721">
        <v>727.41</v>
      </c>
    </row>
    <row r="722" spans="1:16" x14ac:dyDescent="0.2">
      <c r="A722" t="s">
        <v>16</v>
      </c>
      <c r="C722" t="b">
        <v>1</v>
      </c>
      <c r="D722" t="s">
        <v>99</v>
      </c>
      <c r="E722" t="s">
        <v>18</v>
      </c>
      <c r="F722" t="b">
        <v>0</v>
      </c>
      <c r="G722">
        <v>10.28</v>
      </c>
      <c r="H722">
        <v>4.84</v>
      </c>
      <c r="I722">
        <v>22.89</v>
      </c>
      <c r="J722">
        <v>-0.33</v>
      </c>
      <c r="K722">
        <v>-3.11</v>
      </c>
      <c r="L722">
        <v>0.35</v>
      </c>
      <c r="M722">
        <v>-0.73</v>
      </c>
      <c r="N722">
        <v>108.79</v>
      </c>
      <c r="O722">
        <v>4.57</v>
      </c>
      <c r="P722">
        <v>242.23</v>
      </c>
    </row>
    <row r="723" spans="1:16" x14ac:dyDescent="0.2">
      <c r="A723" t="s">
        <v>16</v>
      </c>
      <c r="C723" t="b">
        <v>1</v>
      </c>
      <c r="D723" t="s">
        <v>99</v>
      </c>
      <c r="E723" t="s">
        <v>19</v>
      </c>
      <c r="F723" t="b">
        <v>0</v>
      </c>
      <c r="G723">
        <v>36.770000000000003</v>
      </c>
      <c r="H723">
        <v>17.309999999999999</v>
      </c>
      <c r="I723">
        <v>81.87</v>
      </c>
      <c r="J723">
        <v>-3.72</v>
      </c>
      <c r="K723">
        <v>-9.19</v>
      </c>
      <c r="L723">
        <v>0.16</v>
      </c>
      <c r="M723">
        <v>-8.2799999999999994</v>
      </c>
      <c r="N723">
        <v>382.41</v>
      </c>
      <c r="O723">
        <v>16.079999999999998</v>
      </c>
      <c r="P723">
        <v>851.48</v>
      </c>
    </row>
    <row r="724" spans="1:16" x14ac:dyDescent="0.2">
      <c r="A724" t="s">
        <v>16</v>
      </c>
      <c r="C724" t="b">
        <v>1</v>
      </c>
      <c r="D724" t="s">
        <v>99</v>
      </c>
      <c r="E724" t="s">
        <v>20</v>
      </c>
      <c r="F724" t="b">
        <v>0</v>
      </c>
      <c r="G724">
        <v>40.04</v>
      </c>
      <c r="H724">
        <v>18.850000000000001</v>
      </c>
      <c r="I724">
        <v>89.15</v>
      </c>
      <c r="J724">
        <v>-14.9</v>
      </c>
      <c r="K724">
        <v>-27.12</v>
      </c>
      <c r="L724">
        <v>-4.42</v>
      </c>
      <c r="M724">
        <v>-33.18</v>
      </c>
      <c r="N724">
        <v>462.72</v>
      </c>
      <c r="O724">
        <v>19.45</v>
      </c>
      <c r="P724">
        <v>1030.3</v>
      </c>
    </row>
    <row r="725" spans="1:16" x14ac:dyDescent="0.2">
      <c r="A725" t="s">
        <v>16</v>
      </c>
      <c r="C725" t="b">
        <v>1</v>
      </c>
      <c r="D725" t="s">
        <v>99</v>
      </c>
      <c r="E725" t="s">
        <v>21</v>
      </c>
      <c r="F725" t="b">
        <v>0</v>
      </c>
      <c r="G725">
        <v>21.87</v>
      </c>
      <c r="H725">
        <v>10.3</v>
      </c>
      <c r="I725">
        <v>48.7</v>
      </c>
      <c r="J725">
        <v>-0.4</v>
      </c>
      <c r="K725">
        <v>-1.8</v>
      </c>
      <c r="L725">
        <v>0.87</v>
      </c>
      <c r="M725">
        <v>-0.89</v>
      </c>
      <c r="N725">
        <v>248.96</v>
      </c>
      <c r="O725">
        <v>10.47</v>
      </c>
      <c r="P725">
        <v>554.34</v>
      </c>
    </row>
    <row r="726" spans="1:16" x14ac:dyDescent="0.2">
      <c r="A726" t="s">
        <v>16</v>
      </c>
      <c r="C726" t="b">
        <v>1</v>
      </c>
      <c r="D726" t="s">
        <v>99</v>
      </c>
      <c r="E726" t="s">
        <v>22</v>
      </c>
      <c r="F726" t="b">
        <v>0</v>
      </c>
      <c r="G726">
        <v>46.38</v>
      </c>
      <c r="H726">
        <v>21.84</v>
      </c>
      <c r="I726">
        <v>103.27</v>
      </c>
      <c r="J726">
        <v>-12.17</v>
      </c>
      <c r="K726">
        <v>-20.79</v>
      </c>
      <c r="L726">
        <v>-2.96</v>
      </c>
      <c r="M726">
        <v>-27.1</v>
      </c>
      <c r="N726">
        <v>525.6</v>
      </c>
      <c r="O726">
        <v>22.1</v>
      </c>
      <c r="P726">
        <v>1170.31</v>
      </c>
    </row>
    <row r="727" spans="1:16" x14ac:dyDescent="0.2">
      <c r="A727" t="s">
        <v>16</v>
      </c>
      <c r="C727" t="b">
        <v>1</v>
      </c>
      <c r="D727" t="s">
        <v>99</v>
      </c>
      <c r="E727" t="s">
        <v>23</v>
      </c>
      <c r="F727" t="b">
        <v>0</v>
      </c>
      <c r="G727">
        <v>6.26</v>
      </c>
      <c r="H727">
        <v>2.95</v>
      </c>
      <c r="I727">
        <v>13.94</v>
      </c>
      <c r="J727">
        <v>-0.48</v>
      </c>
      <c r="K727">
        <v>-7.12</v>
      </c>
      <c r="L727">
        <v>0.09</v>
      </c>
      <c r="M727">
        <v>-1.07</v>
      </c>
      <c r="N727">
        <v>68.69</v>
      </c>
      <c r="O727">
        <v>2.89</v>
      </c>
      <c r="P727">
        <v>152.94999999999999</v>
      </c>
    </row>
    <row r="728" spans="1:16" x14ac:dyDescent="0.2">
      <c r="A728" t="s">
        <v>16</v>
      </c>
      <c r="C728" t="b">
        <v>1</v>
      </c>
      <c r="D728" t="s">
        <v>99</v>
      </c>
      <c r="E728" t="s">
        <v>24</v>
      </c>
      <c r="F728" t="b">
        <v>0</v>
      </c>
      <c r="G728">
        <v>1.45</v>
      </c>
      <c r="H728">
        <v>0.68</v>
      </c>
      <c r="I728">
        <v>3.23</v>
      </c>
      <c r="J728">
        <v>-0.08</v>
      </c>
      <c r="K728">
        <v>-5.23</v>
      </c>
      <c r="L728">
        <v>0.03</v>
      </c>
      <c r="M728">
        <v>-0.18</v>
      </c>
      <c r="N728">
        <v>16.05</v>
      </c>
      <c r="O728">
        <v>0.67</v>
      </c>
      <c r="P728">
        <v>35.74</v>
      </c>
    </row>
    <row r="729" spans="1:16" x14ac:dyDescent="0.2">
      <c r="A729" t="s">
        <v>16</v>
      </c>
      <c r="C729" t="b">
        <v>1</v>
      </c>
      <c r="D729" t="s">
        <v>99</v>
      </c>
      <c r="E729" t="s">
        <v>25</v>
      </c>
      <c r="F729" t="b">
        <v>0</v>
      </c>
      <c r="G729">
        <v>7.76</v>
      </c>
      <c r="H729">
        <v>3.65</v>
      </c>
      <c r="I729">
        <v>17.28</v>
      </c>
      <c r="J729">
        <v>1.93</v>
      </c>
      <c r="K729">
        <v>33.1</v>
      </c>
      <c r="L729">
        <v>1.18</v>
      </c>
      <c r="M729">
        <v>4.3</v>
      </c>
      <c r="N729">
        <v>196.93</v>
      </c>
      <c r="O729">
        <v>8.2799999999999994</v>
      </c>
      <c r="P729">
        <v>438.49</v>
      </c>
    </row>
    <row r="730" spans="1:16" x14ac:dyDescent="0.2">
      <c r="A730" t="s">
        <v>16</v>
      </c>
      <c r="C730" t="b">
        <v>1</v>
      </c>
      <c r="D730" t="s">
        <v>99</v>
      </c>
      <c r="E730" t="s">
        <v>26</v>
      </c>
      <c r="F730" t="b">
        <v>1</v>
      </c>
      <c r="G730">
        <v>212.39</v>
      </c>
      <c r="H730">
        <v>100</v>
      </c>
      <c r="I730">
        <v>472.91</v>
      </c>
      <c r="J730">
        <v>-23.68</v>
      </c>
      <c r="K730">
        <v>-10.029999999999999</v>
      </c>
      <c r="L730">
        <v>0</v>
      </c>
      <c r="M730">
        <v>-52.73</v>
      </c>
      <c r="N730">
        <v>2378.42</v>
      </c>
      <c r="O730">
        <v>100</v>
      </c>
      <c r="P730">
        <v>5295.81</v>
      </c>
    </row>
    <row r="731" spans="1:16" x14ac:dyDescent="0.2">
      <c r="A731" t="s">
        <v>16</v>
      </c>
      <c r="C731" t="b">
        <v>1</v>
      </c>
      <c r="D731" t="s">
        <v>99</v>
      </c>
      <c r="E731" t="s">
        <v>27</v>
      </c>
      <c r="F731" t="b">
        <v>0</v>
      </c>
      <c r="G731">
        <v>41.58</v>
      </c>
      <c r="H731">
        <v>19.579999999999998</v>
      </c>
      <c r="I731">
        <v>92.58</v>
      </c>
      <c r="J731">
        <v>6.47</v>
      </c>
      <c r="K731">
        <v>18.43</v>
      </c>
      <c r="L731">
        <v>4.71</v>
      </c>
      <c r="M731">
        <v>14.41</v>
      </c>
      <c r="N731">
        <v>368.27</v>
      </c>
      <c r="O731">
        <v>15.48</v>
      </c>
      <c r="P731">
        <v>819.99</v>
      </c>
    </row>
    <row r="732" spans="1:16" x14ac:dyDescent="0.2">
      <c r="A732" t="s">
        <v>16</v>
      </c>
      <c r="C732" t="b">
        <v>1</v>
      </c>
      <c r="D732" t="s">
        <v>100</v>
      </c>
      <c r="E732" t="s">
        <v>18</v>
      </c>
      <c r="F732" t="b">
        <v>0</v>
      </c>
      <c r="G732">
        <v>11.43</v>
      </c>
      <c r="H732">
        <v>4.87</v>
      </c>
      <c r="I732">
        <v>25.45</v>
      </c>
      <c r="J732">
        <v>-0.28000000000000003</v>
      </c>
      <c r="K732">
        <v>-2.39</v>
      </c>
      <c r="L732">
        <v>0.23</v>
      </c>
      <c r="M732">
        <v>-0.62</v>
      </c>
      <c r="N732">
        <v>120.22</v>
      </c>
      <c r="O732">
        <v>4.5999999999999996</v>
      </c>
      <c r="P732">
        <v>267.68</v>
      </c>
    </row>
    <row r="733" spans="1:16" x14ac:dyDescent="0.2">
      <c r="A733" t="s">
        <v>16</v>
      </c>
      <c r="C733" t="b">
        <v>1</v>
      </c>
      <c r="D733" t="s">
        <v>100</v>
      </c>
      <c r="E733" t="s">
        <v>19</v>
      </c>
      <c r="F733" t="b">
        <v>0</v>
      </c>
      <c r="G733">
        <v>41.63</v>
      </c>
      <c r="H733">
        <v>17.75</v>
      </c>
      <c r="I733">
        <v>92.69</v>
      </c>
      <c r="J733">
        <v>-0.85</v>
      </c>
      <c r="K733">
        <v>-2</v>
      </c>
      <c r="L733">
        <v>0.93</v>
      </c>
      <c r="M733">
        <v>-1.89</v>
      </c>
      <c r="N733">
        <v>424.04</v>
      </c>
      <c r="O733">
        <v>16.23</v>
      </c>
      <c r="P733">
        <v>944.17</v>
      </c>
    </row>
    <row r="734" spans="1:16" x14ac:dyDescent="0.2">
      <c r="A734" t="s">
        <v>16</v>
      </c>
      <c r="C734" t="b">
        <v>1</v>
      </c>
      <c r="D734" t="s">
        <v>100</v>
      </c>
      <c r="E734" t="s">
        <v>20</v>
      </c>
      <c r="F734" t="b">
        <v>0</v>
      </c>
      <c r="G734">
        <v>47.1</v>
      </c>
      <c r="H734">
        <v>20.09</v>
      </c>
      <c r="I734">
        <v>104.87</v>
      </c>
      <c r="J734">
        <v>-5.73</v>
      </c>
      <c r="K734">
        <v>-10.85</v>
      </c>
      <c r="L734">
        <v>-0.83</v>
      </c>
      <c r="M734">
        <v>-12.76</v>
      </c>
      <c r="N734">
        <v>509.82</v>
      </c>
      <c r="O734">
        <v>19.510000000000002</v>
      </c>
      <c r="P734">
        <v>1135.17</v>
      </c>
    </row>
    <row r="735" spans="1:16" x14ac:dyDescent="0.2">
      <c r="A735" t="s">
        <v>16</v>
      </c>
      <c r="C735" t="b">
        <v>1</v>
      </c>
      <c r="D735" t="s">
        <v>100</v>
      </c>
      <c r="E735" t="s">
        <v>21</v>
      </c>
      <c r="F735" t="b">
        <v>0</v>
      </c>
      <c r="G735">
        <v>26.51</v>
      </c>
      <c r="H735">
        <v>11.31</v>
      </c>
      <c r="I735">
        <v>59.03</v>
      </c>
      <c r="J735">
        <v>-1.36</v>
      </c>
      <c r="K735">
        <v>-4.88</v>
      </c>
      <c r="L735">
        <v>0.28000000000000003</v>
      </c>
      <c r="M735">
        <v>-3.03</v>
      </c>
      <c r="N735">
        <v>275.47000000000003</v>
      </c>
      <c r="O735">
        <v>10.54</v>
      </c>
      <c r="P735">
        <v>613.36</v>
      </c>
    </row>
    <row r="736" spans="1:16" x14ac:dyDescent="0.2">
      <c r="A736" t="s">
        <v>16</v>
      </c>
      <c r="C736" t="b">
        <v>1</v>
      </c>
      <c r="D736" t="s">
        <v>100</v>
      </c>
      <c r="E736" t="s">
        <v>22</v>
      </c>
      <c r="F736" t="b">
        <v>0</v>
      </c>
      <c r="G736">
        <v>54.36</v>
      </c>
      <c r="H736">
        <v>23.18</v>
      </c>
      <c r="I736">
        <v>121.04</v>
      </c>
      <c r="J736">
        <v>-6.91</v>
      </c>
      <c r="K736">
        <v>-11.28</v>
      </c>
      <c r="L736">
        <v>-1.08</v>
      </c>
      <c r="M736">
        <v>-15.39</v>
      </c>
      <c r="N736">
        <v>579.96</v>
      </c>
      <c r="O736">
        <v>22.2</v>
      </c>
      <c r="P736">
        <v>1291.3399999999999</v>
      </c>
    </row>
    <row r="737" spans="1:16" x14ac:dyDescent="0.2">
      <c r="A737" t="s">
        <v>16</v>
      </c>
      <c r="C737" t="b">
        <v>1</v>
      </c>
      <c r="D737" t="s">
        <v>100</v>
      </c>
      <c r="E737" t="s">
        <v>23</v>
      </c>
      <c r="F737" t="b">
        <v>0</v>
      </c>
      <c r="G737">
        <v>6.76</v>
      </c>
      <c r="H737">
        <v>2.88</v>
      </c>
      <c r="I737">
        <v>15.05</v>
      </c>
      <c r="J737">
        <v>-0.65</v>
      </c>
      <c r="K737">
        <v>-8.77</v>
      </c>
      <c r="L737">
        <v>-0.05</v>
      </c>
      <c r="M737">
        <v>-1.45</v>
      </c>
      <c r="N737">
        <v>75.45</v>
      </c>
      <c r="O737">
        <v>2.89</v>
      </c>
      <c r="P737">
        <v>168</v>
      </c>
    </row>
    <row r="738" spans="1:16" x14ac:dyDescent="0.2">
      <c r="A738" t="s">
        <v>16</v>
      </c>
      <c r="C738" t="b">
        <v>1</v>
      </c>
      <c r="D738" t="s">
        <v>100</v>
      </c>
      <c r="E738" t="s">
        <v>24</v>
      </c>
      <c r="F738" t="b">
        <v>0</v>
      </c>
      <c r="G738">
        <v>1.55</v>
      </c>
      <c r="H738">
        <v>0.66</v>
      </c>
      <c r="I738">
        <v>3.45</v>
      </c>
      <c r="J738">
        <v>-0.02</v>
      </c>
      <c r="K738">
        <v>-1.27</v>
      </c>
      <c r="L738">
        <v>0.04</v>
      </c>
      <c r="M738">
        <v>-0.04</v>
      </c>
      <c r="N738">
        <v>17.600000000000001</v>
      </c>
      <c r="O738">
        <v>0.67</v>
      </c>
      <c r="P738">
        <v>39.19</v>
      </c>
    </row>
    <row r="739" spans="1:16" x14ac:dyDescent="0.2">
      <c r="A739" t="s">
        <v>16</v>
      </c>
      <c r="C739" t="b">
        <v>1</v>
      </c>
      <c r="D739" t="s">
        <v>100</v>
      </c>
      <c r="E739" t="s">
        <v>25</v>
      </c>
      <c r="F739" t="b">
        <v>0</v>
      </c>
      <c r="G739">
        <v>4.8600000000000003</v>
      </c>
      <c r="H739">
        <v>2.0699999999999998</v>
      </c>
      <c r="I739">
        <v>10.82</v>
      </c>
      <c r="J739">
        <v>0.36</v>
      </c>
      <c r="K739">
        <v>8</v>
      </c>
      <c r="L739">
        <v>0.28999999999999998</v>
      </c>
      <c r="M739">
        <v>0.8</v>
      </c>
      <c r="N739">
        <v>201.79</v>
      </c>
      <c r="O739">
        <v>7.72</v>
      </c>
      <c r="P739">
        <v>449.31</v>
      </c>
    </row>
    <row r="740" spans="1:16" x14ac:dyDescent="0.2">
      <c r="A740" t="s">
        <v>16</v>
      </c>
      <c r="C740" t="b">
        <v>1</v>
      </c>
      <c r="D740" t="s">
        <v>100</v>
      </c>
      <c r="E740" t="s">
        <v>26</v>
      </c>
      <c r="F740" t="b">
        <v>1</v>
      </c>
      <c r="G740">
        <v>234.48</v>
      </c>
      <c r="H740">
        <v>100</v>
      </c>
      <c r="I740">
        <v>522.1</v>
      </c>
      <c r="J740">
        <v>-18.100000000000001</v>
      </c>
      <c r="K740">
        <v>-7.17</v>
      </c>
      <c r="L740">
        <v>0</v>
      </c>
      <c r="M740">
        <v>-40.299999999999997</v>
      </c>
      <c r="N740">
        <v>2612.9</v>
      </c>
      <c r="O740">
        <v>100</v>
      </c>
      <c r="P740">
        <v>5817.91</v>
      </c>
    </row>
    <row r="741" spans="1:16" x14ac:dyDescent="0.2">
      <c r="A741" t="s">
        <v>16</v>
      </c>
      <c r="C741" t="b">
        <v>1</v>
      </c>
      <c r="D741" t="s">
        <v>100</v>
      </c>
      <c r="E741" t="s">
        <v>27</v>
      </c>
      <c r="F741" t="b">
        <v>0</v>
      </c>
      <c r="G741">
        <v>40.28</v>
      </c>
      <c r="H741">
        <v>17.18</v>
      </c>
      <c r="I741">
        <v>89.69</v>
      </c>
      <c r="J741">
        <v>-2.66</v>
      </c>
      <c r="K741">
        <v>-6.19</v>
      </c>
      <c r="L741">
        <v>0.18</v>
      </c>
      <c r="M741">
        <v>-5.92</v>
      </c>
      <c r="N741">
        <v>408.55</v>
      </c>
      <c r="O741">
        <v>15.64</v>
      </c>
      <c r="P741">
        <v>909.68</v>
      </c>
    </row>
    <row r="742" spans="1:16" x14ac:dyDescent="0.2">
      <c r="A742" t="s">
        <v>16</v>
      </c>
      <c r="C742" t="b">
        <v>1</v>
      </c>
      <c r="D742" t="s">
        <v>101</v>
      </c>
      <c r="E742" t="s">
        <v>18</v>
      </c>
      <c r="F742" t="b">
        <v>0</v>
      </c>
      <c r="G742">
        <v>10.5</v>
      </c>
      <c r="H742">
        <v>4.37</v>
      </c>
      <c r="I742">
        <v>23.3</v>
      </c>
      <c r="J742">
        <v>-0.89</v>
      </c>
      <c r="K742">
        <v>-7.81</v>
      </c>
      <c r="L742">
        <v>-0.04</v>
      </c>
      <c r="M742">
        <v>-1.97</v>
      </c>
      <c r="N742">
        <v>10.5</v>
      </c>
      <c r="O742">
        <v>4.37</v>
      </c>
      <c r="P742">
        <v>23.3</v>
      </c>
    </row>
    <row r="743" spans="1:16" x14ac:dyDescent="0.2">
      <c r="A743" t="s">
        <v>16</v>
      </c>
      <c r="C743" t="b">
        <v>1</v>
      </c>
      <c r="D743" t="s">
        <v>101</v>
      </c>
      <c r="E743" t="s">
        <v>19</v>
      </c>
      <c r="F743" t="b">
        <v>0</v>
      </c>
      <c r="G743">
        <v>36.04</v>
      </c>
      <c r="H743">
        <v>14.98</v>
      </c>
      <c r="I743">
        <v>79.97</v>
      </c>
      <c r="J743">
        <v>-4.05</v>
      </c>
      <c r="K743">
        <v>-10.1</v>
      </c>
      <c r="L743">
        <v>-0.54</v>
      </c>
      <c r="M743">
        <v>-8.99</v>
      </c>
      <c r="N743">
        <v>36.04</v>
      </c>
      <c r="O743">
        <v>14.98</v>
      </c>
      <c r="P743">
        <v>79.97</v>
      </c>
    </row>
    <row r="744" spans="1:16" x14ac:dyDescent="0.2">
      <c r="A744" t="s">
        <v>16</v>
      </c>
      <c r="C744" t="b">
        <v>1</v>
      </c>
      <c r="D744" t="s">
        <v>101</v>
      </c>
      <c r="E744" t="s">
        <v>20</v>
      </c>
      <c r="F744" t="b">
        <v>0</v>
      </c>
      <c r="G744">
        <v>39.04</v>
      </c>
      <c r="H744">
        <v>16.23</v>
      </c>
      <c r="I744">
        <v>86.63</v>
      </c>
      <c r="J744">
        <v>-15.62</v>
      </c>
      <c r="K744">
        <v>-28.58</v>
      </c>
      <c r="L744">
        <v>-4.93</v>
      </c>
      <c r="M744">
        <v>-34.659999999999997</v>
      </c>
      <c r="N744">
        <v>39.04</v>
      </c>
      <c r="O744">
        <v>16.23</v>
      </c>
      <c r="P744">
        <v>86.63</v>
      </c>
    </row>
    <row r="745" spans="1:16" x14ac:dyDescent="0.2">
      <c r="A745" t="s">
        <v>16</v>
      </c>
      <c r="C745" t="b">
        <v>1</v>
      </c>
      <c r="D745" t="s">
        <v>101</v>
      </c>
      <c r="E745" t="s">
        <v>21</v>
      </c>
      <c r="F745" t="b">
        <v>0</v>
      </c>
      <c r="G745">
        <v>29.76</v>
      </c>
      <c r="H745">
        <v>12.37</v>
      </c>
      <c r="I745">
        <v>66.040000000000006</v>
      </c>
      <c r="J745">
        <v>3.08</v>
      </c>
      <c r="K745">
        <v>11.54</v>
      </c>
      <c r="L745">
        <v>2.04</v>
      </c>
      <c r="M745">
        <v>6.83</v>
      </c>
      <c r="N745">
        <v>29.76</v>
      </c>
      <c r="O745">
        <v>12.37</v>
      </c>
      <c r="P745">
        <v>66.040000000000006</v>
      </c>
    </row>
    <row r="746" spans="1:16" x14ac:dyDescent="0.2">
      <c r="A746" t="s">
        <v>16</v>
      </c>
      <c r="C746" t="b">
        <v>1</v>
      </c>
      <c r="D746" t="s">
        <v>101</v>
      </c>
      <c r="E746" t="s">
        <v>22</v>
      </c>
      <c r="F746" t="b">
        <v>0</v>
      </c>
      <c r="G746">
        <v>57.12</v>
      </c>
      <c r="H746">
        <v>23.75</v>
      </c>
      <c r="I746">
        <v>126.75</v>
      </c>
      <c r="J746">
        <v>-6.49</v>
      </c>
      <c r="K746">
        <v>-10.199999999999999</v>
      </c>
      <c r="L746">
        <v>-0.87</v>
      </c>
      <c r="M746">
        <v>-14.4</v>
      </c>
      <c r="N746">
        <v>57.12</v>
      </c>
      <c r="O746">
        <v>23.75</v>
      </c>
      <c r="P746">
        <v>126.75</v>
      </c>
    </row>
    <row r="747" spans="1:16" x14ac:dyDescent="0.2">
      <c r="A747" t="s">
        <v>16</v>
      </c>
      <c r="C747" t="b">
        <v>1</v>
      </c>
      <c r="D747" t="s">
        <v>101</v>
      </c>
      <c r="E747" t="s">
        <v>23</v>
      </c>
      <c r="F747" t="b">
        <v>0</v>
      </c>
      <c r="G747">
        <v>6.62</v>
      </c>
      <c r="H747">
        <v>2.75</v>
      </c>
      <c r="I747">
        <v>14.69</v>
      </c>
      <c r="J747">
        <v>-0.67</v>
      </c>
      <c r="K747">
        <v>-9.19</v>
      </c>
      <c r="L747">
        <v>-7.0000000000000007E-2</v>
      </c>
      <c r="M747">
        <v>-1.49</v>
      </c>
      <c r="N747">
        <v>6.62</v>
      </c>
      <c r="O747">
        <v>2.75</v>
      </c>
      <c r="P747">
        <v>14.69</v>
      </c>
    </row>
    <row r="748" spans="1:16" x14ac:dyDescent="0.2">
      <c r="A748" t="s">
        <v>16</v>
      </c>
      <c r="C748" t="b">
        <v>1</v>
      </c>
      <c r="D748" t="s">
        <v>101</v>
      </c>
      <c r="E748" t="s">
        <v>24</v>
      </c>
      <c r="F748" t="b">
        <v>0</v>
      </c>
      <c r="G748">
        <v>1.49</v>
      </c>
      <c r="H748">
        <v>0.62</v>
      </c>
      <c r="I748">
        <v>3.31</v>
      </c>
      <c r="J748">
        <v>-0.22</v>
      </c>
      <c r="K748">
        <v>-12.87</v>
      </c>
      <c r="L748">
        <v>-0.04</v>
      </c>
      <c r="M748">
        <v>-0.49</v>
      </c>
      <c r="N748">
        <v>1.49</v>
      </c>
      <c r="O748">
        <v>0.62</v>
      </c>
      <c r="P748">
        <v>3.31</v>
      </c>
    </row>
    <row r="749" spans="1:16" x14ac:dyDescent="0.2">
      <c r="A749" t="s">
        <v>16</v>
      </c>
      <c r="C749" t="b">
        <v>1</v>
      </c>
      <c r="D749" t="s">
        <v>101</v>
      </c>
      <c r="E749" t="s">
        <v>25</v>
      </c>
      <c r="F749" t="b">
        <v>0</v>
      </c>
      <c r="G749">
        <v>6.73</v>
      </c>
      <c r="H749">
        <v>2.8</v>
      </c>
      <c r="I749">
        <v>14.93</v>
      </c>
      <c r="J749">
        <v>0.05</v>
      </c>
      <c r="K749">
        <v>0.75</v>
      </c>
      <c r="L749">
        <v>0.21</v>
      </c>
      <c r="M749">
        <v>0.11</v>
      </c>
      <c r="N749">
        <v>6.73</v>
      </c>
      <c r="O749">
        <v>2.8</v>
      </c>
      <c r="P749">
        <v>14.93</v>
      </c>
    </row>
    <row r="750" spans="1:16" x14ac:dyDescent="0.2">
      <c r="A750" t="s">
        <v>16</v>
      </c>
      <c r="C750" t="b">
        <v>1</v>
      </c>
      <c r="D750" t="s">
        <v>101</v>
      </c>
      <c r="E750" t="s">
        <v>26</v>
      </c>
      <c r="F750" t="b">
        <v>1</v>
      </c>
      <c r="G750">
        <v>240.54</v>
      </c>
      <c r="H750">
        <v>100</v>
      </c>
      <c r="I750">
        <v>533.75</v>
      </c>
      <c r="J750">
        <v>-17.829999999999998</v>
      </c>
      <c r="K750">
        <v>-6.9</v>
      </c>
      <c r="L750">
        <v>0</v>
      </c>
      <c r="M750">
        <v>-39.56</v>
      </c>
      <c r="N750">
        <v>240.54</v>
      </c>
      <c r="O750">
        <v>100</v>
      </c>
      <c r="P750">
        <v>533.75</v>
      </c>
    </row>
    <row r="751" spans="1:16" x14ac:dyDescent="0.2">
      <c r="A751" t="s">
        <v>16</v>
      </c>
      <c r="C751" t="b">
        <v>1</v>
      </c>
      <c r="D751" t="s">
        <v>101</v>
      </c>
      <c r="E751" t="s">
        <v>27</v>
      </c>
      <c r="F751" t="b">
        <v>0</v>
      </c>
      <c r="G751">
        <v>53.24</v>
      </c>
      <c r="H751">
        <v>22.13</v>
      </c>
      <c r="I751">
        <v>118.14</v>
      </c>
      <c r="J751">
        <v>6.98</v>
      </c>
      <c r="K751">
        <v>15.09</v>
      </c>
      <c r="L751">
        <v>4.2300000000000004</v>
      </c>
      <c r="M751">
        <v>15.49</v>
      </c>
      <c r="N751">
        <v>53.24</v>
      </c>
      <c r="O751">
        <v>22.13</v>
      </c>
      <c r="P751">
        <v>118.14</v>
      </c>
    </row>
    <row r="752" spans="1:16" x14ac:dyDescent="0.2">
      <c r="A752" t="s">
        <v>16</v>
      </c>
      <c r="C752" t="b">
        <v>1</v>
      </c>
      <c r="D752" t="s">
        <v>102</v>
      </c>
      <c r="E752" t="s">
        <v>18</v>
      </c>
      <c r="F752" t="b">
        <v>0</v>
      </c>
      <c r="G752">
        <v>9.76</v>
      </c>
      <c r="H752">
        <v>4.4400000000000004</v>
      </c>
      <c r="I752">
        <v>21.66</v>
      </c>
      <c r="J752">
        <v>-0.39</v>
      </c>
      <c r="K752">
        <v>-3.84</v>
      </c>
      <c r="L752">
        <v>0.04</v>
      </c>
      <c r="M752">
        <v>-0.87</v>
      </c>
      <c r="N752">
        <v>20.260000000000002</v>
      </c>
      <c r="O752">
        <v>4.4000000000000004</v>
      </c>
      <c r="P752">
        <v>44.96</v>
      </c>
    </row>
    <row r="753" spans="1:16" x14ac:dyDescent="0.2">
      <c r="A753" t="s">
        <v>16</v>
      </c>
      <c r="C753" t="b">
        <v>1</v>
      </c>
      <c r="D753" t="s">
        <v>102</v>
      </c>
      <c r="E753" t="s">
        <v>19</v>
      </c>
      <c r="F753" t="b">
        <v>0</v>
      </c>
      <c r="G753">
        <v>34.32</v>
      </c>
      <c r="H753">
        <v>15.63</v>
      </c>
      <c r="I753">
        <v>76.16</v>
      </c>
      <c r="J753">
        <v>2.33</v>
      </c>
      <c r="K753">
        <v>7.28</v>
      </c>
      <c r="L753">
        <v>1.76</v>
      </c>
      <c r="M753">
        <v>5.17</v>
      </c>
      <c r="N753">
        <v>70.36</v>
      </c>
      <c r="O753">
        <v>15.29</v>
      </c>
      <c r="P753">
        <v>156.13</v>
      </c>
    </row>
    <row r="754" spans="1:16" x14ac:dyDescent="0.2">
      <c r="A754" t="s">
        <v>16</v>
      </c>
      <c r="C754" t="b">
        <v>1</v>
      </c>
      <c r="D754" t="s">
        <v>102</v>
      </c>
      <c r="E754" t="s">
        <v>20</v>
      </c>
      <c r="F754" t="b">
        <v>0</v>
      </c>
      <c r="G754">
        <v>42.99</v>
      </c>
      <c r="H754">
        <v>19.57</v>
      </c>
      <c r="I754">
        <v>95.39</v>
      </c>
      <c r="J754">
        <v>0.13</v>
      </c>
      <c r="K754">
        <v>0.3</v>
      </c>
      <c r="L754">
        <v>0.99</v>
      </c>
      <c r="M754">
        <v>0.28999999999999998</v>
      </c>
      <c r="N754">
        <v>82.03</v>
      </c>
      <c r="O754">
        <v>17.829999999999998</v>
      </c>
      <c r="P754">
        <v>182.02</v>
      </c>
    </row>
    <row r="755" spans="1:16" x14ac:dyDescent="0.2">
      <c r="A755" t="s">
        <v>16</v>
      </c>
      <c r="C755" t="b">
        <v>1</v>
      </c>
      <c r="D755" t="s">
        <v>102</v>
      </c>
      <c r="E755" t="s">
        <v>21</v>
      </c>
      <c r="F755" t="b">
        <v>0</v>
      </c>
      <c r="G755">
        <v>22.56</v>
      </c>
      <c r="H755">
        <v>10.27</v>
      </c>
      <c r="I755">
        <v>50.06</v>
      </c>
      <c r="J755">
        <v>1.1499999999999999</v>
      </c>
      <c r="K755">
        <v>5.37</v>
      </c>
      <c r="L755">
        <v>0.99</v>
      </c>
      <c r="M755">
        <v>2.5499999999999998</v>
      </c>
      <c r="N755">
        <v>52.32</v>
      </c>
      <c r="O755">
        <v>11.37</v>
      </c>
      <c r="P755">
        <v>116.1</v>
      </c>
    </row>
    <row r="756" spans="1:16" x14ac:dyDescent="0.2">
      <c r="A756" t="s">
        <v>16</v>
      </c>
      <c r="C756" t="b">
        <v>1</v>
      </c>
      <c r="D756" t="s">
        <v>102</v>
      </c>
      <c r="E756" t="s">
        <v>22</v>
      </c>
      <c r="F756" t="b">
        <v>0</v>
      </c>
      <c r="G756">
        <v>51.75</v>
      </c>
      <c r="H756">
        <v>23.56</v>
      </c>
      <c r="I756">
        <v>114.83</v>
      </c>
      <c r="J756">
        <v>-2.99</v>
      </c>
      <c r="K756">
        <v>-5.46</v>
      </c>
      <c r="L756">
        <v>-0.17</v>
      </c>
      <c r="M756">
        <v>-6.63</v>
      </c>
      <c r="N756">
        <v>108.87</v>
      </c>
      <c r="O756">
        <v>23.66</v>
      </c>
      <c r="P756">
        <v>241.58</v>
      </c>
    </row>
    <row r="757" spans="1:16" x14ac:dyDescent="0.2">
      <c r="A757" t="s">
        <v>16</v>
      </c>
      <c r="C757" t="b">
        <v>1</v>
      </c>
      <c r="D757" t="s">
        <v>102</v>
      </c>
      <c r="E757" t="s">
        <v>23</v>
      </c>
      <c r="F757" t="b">
        <v>0</v>
      </c>
      <c r="G757">
        <v>6.23</v>
      </c>
      <c r="H757">
        <v>2.84</v>
      </c>
      <c r="I757">
        <v>13.82</v>
      </c>
      <c r="J757">
        <v>0.06</v>
      </c>
      <c r="K757">
        <v>0.97</v>
      </c>
      <c r="L757">
        <v>0.17</v>
      </c>
      <c r="M757">
        <v>0.13</v>
      </c>
      <c r="N757">
        <v>12.85</v>
      </c>
      <c r="O757">
        <v>2.79</v>
      </c>
      <c r="P757">
        <v>28.51</v>
      </c>
    </row>
    <row r="758" spans="1:16" x14ac:dyDescent="0.2">
      <c r="A758" t="s">
        <v>16</v>
      </c>
      <c r="C758" t="b">
        <v>1</v>
      </c>
      <c r="D758" t="s">
        <v>102</v>
      </c>
      <c r="E758" t="s">
        <v>24</v>
      </c>
      <c r="F758" t="b">
        <v>0</v>
      </c>
      <c r="G758">
        <v>1.4</v>
      </c>
      <c r="H758">
        <v>0.64</v>
      </c>
      <c r="I758">
        <v>3.11</v>
      </c>
      <c r="J758">
        <v>-0.09</v>
      </c>
      <c r="K758">
        <v>-6.04</v>
      </c>
      <c r="L758">
        <v>-0.01</v>
      </c>
      <c r="M758">
        <v>-0.2</v>
      </c>
      <c r="N758">
        <v>2.89</v>
      </c>
      <c r="O758">
        <v>0.63</v>
      </c>
      <c r="P758">
        <v>6.41</v>
      </c>
    </row>
    <row r="759" spans="1:16" x14ac:dyDescent="0.2">
      <c r="A759" t="s">
        <v>16</v>
      </c>
      <c r="C759" t="b">
        <v>1</v>
      </c>
      <c r="D759" t="s">
        <v>102</v>
      </c>
      <c r="E759" t="s">
        <v>25</v>
      </c>
      <c r="F759" t="b">
        <v>0</v>
      </c>
      <c r="G759">
        <v>11.73</v>
      </c>
      <c r="H759">
        <v>5.34</v>
      </c>
      <c r="I759">
        <v>26.03</v>
      </c>
      <c r="J759">
        <v>1.81</v>
      </c>
      <c r="K759">
        <v>18.25</v>
      </c>
      <c r="L759">
        <v>1.04</v>
      </c>
      <c r="M759">
        <v>4.0199999999999996</v>
      </c>
      <c r="N759">
        <v>18.46</v>
      </c>
      <c r="O759">
        <v>4.01</v>
      </c>
      <c r="P759">
        <v>40.96</v>
      </c>
    </row>
    <row r="760" spans="1:16" x14ac:dyDescent="0.2">
      <c r="A760" t="s">
        <v>16</v>
      </c>
      <c r="C760" t="b">
        <v>1</v>
      </c>
      <c r="D760" t="s">
        <v>102</v>
      </c>
      <c r="E760" t="s">
        <v>26</v>
      </c>
      <c r="F760" t="b">
        <v>1</v>
      </c>
      <c r="G760">
        <v>219.62</v>
      </c>
      <c r="H760">
        <v>100</v>
      </c>
      <c r="I760">
        <v>487.33</v>
      </c>
      <c r="J760">
        <v>-11.1</v>
      </c>
      <c r="K760">
        <v>-4.8099999999999996</v>
      </c>
      <c r="L760">
        <v>0</v>
      </c>
      <c r="M760">
        <v>-24.63</v>
      </c>
      <c r="N760">
        <v>460.16</v>
      </c>
      <c r="O760">
        <v>100</v>
      </c>
      <c r="P760">
        <v>1021.09</v>
      </c>
    </row>
    <row r="761" spans="1:16" x14ac:dyDescent="0.2">
      <c r="A761" t="s">
        <v>16</v>
      </c>
      <c r="C761" t="b">
        <v>1</v>
      </c>
      <c r="D761" t="s">
        <v>102</v>
      </c>
      <c r="E761" t="s">
        <v>27</v>
      </c>
      <c r="F761" t="b">
        <v>0</v>
      </c>
      <c r="G761">
        <v>38.880000000000003</v>
      </c>
      <c r="H761">
        <v>17.7</v>
      </c>
      <c r="I761">
        <v>86.27</v>
      </c>
      <c r="J761">
        <v>-13.11</v>
      </c>
      <c r="K761">
        <v>-25.22</v>
      </c>
      <c r="L761">
        <v>-4.83</v>
      </c>
      <c r="M761">
        <v>-29.09</v>
      </c>
      <c r="N761">
        <v>92.12</v>
      </c>
      <c r="O761">
        <v>20.02</v>
      </c>
      <c r="P761">
        <v>204.41</v>
      </c>
    </row>
    <row r="762" spans="1:16" x14ac:dyDescent="0.2">
      <c r="A762" t="s">
        <v>16</v>
      </c>
      <c r="C762" t="b">
        <v>1</v>
      </c>
      <c r="D762" t="s">
        <v>103</v>
      </c>
      <c r="E762" t="s">
        <v>18</v>
      </c>
      <c r="F762" t="b">
        <v>0</v>
      </c>
      <c r="G762">
        <v>10.119999999999999</v>
      </c>
      <c r="H762">
        <v>4.4400000000000004</v>
      </c>
      <c r="I762">
        <v>22.46</v>
      </c>
      <c r="J762">
        <v>-1.0900000000000001</v>
      </c>
      <c r="K762">
        <v>-9.7200000000000006</v>
      </c>
      <c r="L762">
        <v>-0.28000000000000003</v>
      </c>
      <c r="M762">
        <v>-2.42</v>
      </c>
      <c r="N762">
        <v>30.38</v>
      </c>
      <c r="O762">
        <v>4.41</v>
      </c>
      <c r="P762">
        <v>67.41</v>
      </c>
    </row>
    <row r="763" spans="1:16" x14ac:dyDescent="0.2">
      <c r="A763" t="s">
        <v>16</v>
      </c>
      <c r="C763" t="b">
        <v>1</v>
      </c>
      <c r="D763" t="s">
        <v>103</v>
      </c>
      <c r="E763" t="s">
        <v>19</v>
      </c>
      <c r="F763" t="b">
        <v>0</v>
      </c>
      <c r="G763">
        <v>30.54</v>
      </c>
      <c r="H763">
        <v>13.39</v>
      </c>
      <c r="I763">
        <v>67.77</v>
      </c>
      <c r="J763">
        <v>-11.88</v>
      </c>
      <c r="K763">
        <v>-28.01</v>
      </c>
      <c r="L763">
        <v>-4.46</v>
      </c>
      <c r="M763">
        <v>-26.36</v>
      </c>
      <c r="N763">
        <v>100.9</v>
      </c>
      <c r="O763">
        <v>14.66</v>
      </c>
      <c r="P763">
        <v>223.9</v>
      </c>
    </row>
    <row r="764" spans="1:16" x14ac:dyDescent="0.2">
      <c r="A764" t="s">
        <v>16</v>
      </c>
      <c r="C764" t="b">
        <v>1</v>
      </c>
      <c r="D764" t="s">
        <v>103</v>
      </c>
      <c r="E764" t="s">
        <v>20</v>
      </c>
      <c r="F764" t="b">
        <v>0</v>
      </c>
      <c r="G764">
        <v>38.04</v>
      </c>
      <c r="H764">
        <v>16.68</v>
      </c>
      <c r="I764">
        <v>84.41</v>
      </c>
      <c r="J764">
        <v>-9.56</v>
      </c>
      <c r="K764">
        <v>-20.079999999999998</v>
      </c>
      <c r="L764">
        <v>-3.35</v>
      </c>
      <c r="M764">
        <v>-21.21</v>
      </c>
      <c r="N764">
        <v>120.07</v>
      </c>
      <c r="O764">
        <v>17.45</v>
      </c>
      <c r="P764">
        <v>266.43</v>
      </c>
    </row>
    <row r="765" spans="1:16" x14ac:dyDescent="0.2">
      <c r="A765" t="s">
        <v>16</v>
      </c>
      <c r="C765" t="b">
        <v>1</v>
      </c>
      <c r="D765" t="s">
        <v>103</v>
      </c>
      <c r="E765" t="s">
        <v>21</v>
      </c>
      <c r="F765" t="b">
        <v>0</v>
      </c>
      <c r="G765">
        <v>25.69</v>
      </c>
      <c r="H765">
        <v>11.27</v>
      </c>
      <c r="I765">
        <v>57.01</v>
      </c>
      <c r="J765">
        <v>2.88</v>
      </c>
      <c r="K765">
        <v>12.63</v>
      </c>
      <c r="L765">
        <v>1.67</v>
      </c>
      <c r="M765">
        <v>6.39</v>
      </c>
      <c r="N765">
        <v>78.010000000000005</v>
      </c>
      <c r="O765">
        <v>11.34</v>
      </c>
      <c r="P765">
        <v>173.1</v>
      </c>
    </row>
    <row r="766" spans="1:16" x14ac:dyDescent="0.2">
      <c r="A766" t="s">
        <v>16</v>
      </c>
      <c r="C766" t="b">
        <v>1</v>
      </c>
      <c r="D766" t="s">
        <v>103</v>
      </c>
      <c r="E766" t="s">
        <v>22</v>
      </c>
      <c r="F766" t="b">
        <v>0</v>
      </c>
      <c r="G766">
        <v>51.26</v>
      </c>
      <c r="H766">
        <v>22.48</v>
      </c>
      <c r="I766">
        <v>113.74</v>
      </c>
      <c r="J766">
        <v>-3.25</v>
      </c>
      <c r="K766">
        <v>-5.96</v>
      </c>
      <c r="L766">
        <v>-0.45</v>
      </c>
      <c r="M766">
        <v>-7.21</v>
      </c>
      <c r="N766">
        <v>160.13</v>
      </c>
      <c r="O766">
        <v>23.27</v>
      </c>
      <c r="P766">
        <v>355.33</v>
      </c>
    </row>
    <row r="767" spans="1:16" x14ac:dyDescent="0.2">
      <c r="A767" t="s">
        <v>16</v>
      </c>
      <c r="C767" t="b">
        <v>1</v>
      </c>
      <c r="D767" t="s">
        <v>103</v>
      </c>
      <c r="E767" t="s">
        <v>23</v>
      </c>
      <c r="F767" t="b">
        <v>0</v>
      </c>
      <c r="G767">
        <v>6.36</v>
      </c>
      <c r="H767">
        <v>2.79</v>
      </c>
      <c r="I767">
        <v>14.11</v>
      </c>
      <c r="J767">
        <v>-0.74</v>
      </c>
      <c r="K767">
        <v>-10.42</v>
      </c>
      <c r="L767">
        <v>-0.2</v>
      </c>
      <c r="M767">
        <v>-1.64</v>
      </c>
      <c r="N767">
        <v>19.21</v>
      </c>
      <c r="O767">
        <v>2.79</v>
      </c>
      <c r="P767">
        <v>42.63</v>
      </c>
    </row>
    <row r="768" spans="1:16" x14ac:dyDescent="0.2">
      <c r="A768" t="s">
        <v>16</v>
      </c>
      <c r="C768" t="b">
        <v>1</v>
      </c>
      <c r="D768" t="s">
        <v>103</v>
      </c>
      <c r="E768" t="s">
        <v>24</v>
      </c>
      <c r="F768" t="b">
        <v>0</v>
      </c>
      <c r="G768">
        <v>1.54</v>
      </c>
      <c r="H768">
        <v>0.68</v>
      </c>
      <c r="I768">
        <v>3.42</v>
      </c>
      <c r="J768">
        <v>-0.12</v>
      </c>
      <c r="K768">
        <v>-7.23</v>
      </c>
      <c r="L768">
        <v>-0.02</v>
      </c>
      <c r="M768">
        <v>-0.27</v>
      </c>
      <c r="N768">
        <v>4.43</v>
      </c>
      <c r="O768">
        <v>0.64</v>
      </c>
      <c r="P768">
        <v>9.83</v>
      </c>
    </row>
    <row r="769" spans="1:16" x14ac:dyDescent="0.2">
      <c r="A769" t="s">
        <v>16</v>
      </c>
      <c r="C769" t="b">
        <v>1</v>
      </c>
      <c r="D769" t="s">
        <v>103</v>
      </c>
      <c r="E769" t="s">
        <v>25</v>
      </c>
      <c r="F769" t="b">
        <v>0</v>
      </c>
      <c r="G769">
        <v>17.899999999999999</v>
      </c>
      <c r="H769">
        <v>7.85</v>
      </c>
      <c r="I769">
        <v>39.72</v>
      </c>
      <c r="J769">
        <v>1.21</v>
      </c>
      <c r="K769">
        <v>7.25</v>
      </c>
      <c r="L769">
        <v>0.83</v>
      </c>
      <c r="M769">
        <v>2.68</v>
      </c>
      <c r="N769">
        <v>36.36</v>
      </c>
      <c r="O769">
        <v>5.28</v>
      </c>
      <c r="P769">
        <v>80.680000000000007</v>
      </c>
    </row>
    <row r="770" spans="1:16" x14ac:dyDescent="0.2">
      <c r="A770" t="s">
        <v>16</v>
      </c>
      <c r="C770" t="b">
        <v>1</v>
      </c>
      <c r="D770" t="s">
        <v>103</v>
      </c>
      <c r="E770" t="s">
        <v>26</v>
      </c>
      <c r="F770" t="b">
        <v>1</v>
      </c>
      <c r="G770">
        <v>228.03</v>
      </c>
      <c r="H770">
        <v>100</v>
      </c>
      <c r="I770">
        <v>505.99</v>
      </c>
      <c r="J770">
        <v>-9.66</v>
      </c>
      <c r="K770">
        <v>-4.0599999999999996</v>
      </c>
      <c r="L770">
        <v>0</v>
      </c>
      <c r="M770">
        <v>-21.44</v>
      </c>
      <c r="N770">
        <v>688.19</v>
      </c>
      <c r="O770">
        <v>100</v>
      </c>
      <c r="P770">
        <v>1527.08</v>
      </c>
    </row>
    <row r="771" spans="1:16" x14ac:dyDescent="0.2">
      <c r="A771" t="s">
        <v>16</v>
      </c>
      <c r="C771" t="b">
        <v>1</v>
      </c>
      <c r="D771" t="s">
        <v>103</v>
      </c>
      <c r="E771" t="s">
        <v>27</v>
      </c>
      <c r="F771" t="b">
        <v>0</v>
      </c>
      <c r="G771">
        <v>46.58</v>
      </c>
      <c r="H771">
        <v>20.43</v>
      </c>
      <c r="I771">
        <v>103.36</v>
      </c>
      <c r="J771">
        <v>12.89</v>
      </c>
      <c r="K771">
        <v>38.26</v>
      </c>
      <c r="L771">
        <v>6.26</v>
      </c>
      <c r="M771">
        <v>28.6</v>
      </c>
      <c r="N771">
        <v>138.69999999999999</v>
      </c>
      <c r="O771">
        <v>20.149999999999999</v>
      </c>
      <c r="P771">
        <v>307.77</v>
      </c>
    </row>
    <row r="772" spans="1:16" x14ac:dyDescent="0.2">
      <c r="A772" t="s">
        <v>16</v>
      </c>
      <c r="C772" t="b">
        <v>1</v>
      </c>
      <c r="D772" t="s">
        <v>104</v>
      </c>
      <c r="E772" t="s">
        <v>18</v>
      </c>
      <c r="F772" t="b">
        <v>0</v>
      </c>
      <c r="G772">
        <v>9.1</v>
      </c>
      <c r="H772">
        <v>4.53</v>
      </c>
      <c r="I772">
        <v>20.190000000000001</v>
      </c>
      <c r="J772">
        <v>-0.99</v>
      </c>
      <c r="K772">
        <v>-9.81</v>
      </c>
      <c r="L772">
        <v>-0.22</v>
      </c>
      <c r="M772">
        <v>-2.2000000000000002</v>
      </c>
      <c r="N772">
        <v>39.479999999999997</v>
      </c>
      <c r="O772">
        <v>4.4400000000000004</v>
      </c>
      <c r="P772">
        <v>87.61</v>
      </c>
    </row>
    <row r="773" spans="1:16" x14ac:dyDescent="0.2">
      <c r="A773" t="s">
        <v>16</v>
      </c>
      <c r="C773" t="b">
        <v>1</v>
      </c>
      <c r="D773" t="s">
        <v>104</v>
      </c>
      <c r="E773" t="s">
        <v>19</v>
      </c>
      <c r="F773" t="b">
        <v>0</v>
      </c>
      <c r="G773">
        <v>24.39</v>
      </c>
      <c r="H773">
        <v>12.14</v>
      </c>
      <c r="I773">
        <v>54.12</v>
      </c>
      <c r="J773">
        <v>-7.94</v>
      </c>
      <c r="K773">
        <v>-24.56</v>
      </c>
      <c r="L773">
        <v>-3.07</v>
      </c>
      <c r="M773">
        <v>-17.62</v>
      </c>
      <c r="N773">
        <v>125.29</v>
      </c>
      <c r="O773">
        <v>14.09</v>
      </c>
      <c r="P773">
        <v>278.02</v>
      </c>
    </row>
    <row r="774" spans="1:16" x14ac:dyDescent="0.2">
      <c r="A774" t="s">
        <v>16</v>
      </c>
      <c r="C774" t="b">
        <v>1</v>
      </c>
      <c r="D774" t="s">
        <v>104</v>
      </c>
      <c r="E774" t="s">
        <v>20</v>
      </c>
      <c r="F774" t="b">
        <v>0</v>
      </c>
      <c r="G774">
        <v>31.03</v>
      </c>
      <c r="H774">
        <v>15.45</v>
      </c>
      <c r="I774">
        <v>68.849999999999994</v>
      </c>
      <c r="J774">
        <v>-3.56</v>
      </c>
      <c r="K774">
        <v>-10.29</v>
      </c>
      <c r="L774">
        <v>-0.83</v>
      </c>
      <c r="M774">
        <v>-7.9</v>
      </c>
      <c r="N774">
        <v>151.1</v>
      </c>
      <c r="O774">
        <v>17</v>
      </c>
      <c r="P774">
        <v>335.29</v>
      </c>
    </row>
    <row r="775" spans="1:16" x14ac:dyDescent="0.2">
      <c r="A775" t="s">
        <v>16</v>
      </c>
      <c r="C775" t="b">
        <v>1</v>
      </c>
      <c r="D775" t="s">
        <v>104</v>
      </c>
      <c r="E775" t="s">
        <v>21</v>
      </c>
      <c r="F775" t="b">
        <v>0</v>
      </c>
      <c r="G775">
        <v>24.61</v>
      </c>
      <c r="H775">
        <v>12.25</v>
      </c>
      <c r="I775">
        <v>54.61</v>
      </c>
      <c r="J775">
        <v>7.0000000000000007E-2</v>
      </c>
      <c r="K775">
        <v>0.28999999999999998</v>
      </c>
      <c r="L775">
        <v>0.7</v>
      </c>
      <c r="M775">
        <v>0.16</v>
      </c>
      <c r="N775">
        <v>102.62</v>
      </c>
      <c r="O775">
        <v>11.54</v>
      </c>
      <c r="P775">
        <v>227.71</v>
      </c>
    </row>
    <row r="776" spans="1:16" x14ac:dyDescent="0.2">
      <c r="A776" t="s">
        <v>16</v>
      </c>
      <c r="C776" t="b">
        <v>1</v>
      </c>
      <c r="D776" t="s">
        <v>104</v>
      </c>
      <c r="E776" t="s">
        <v>22</v>
      </c>
      <c r="F776" t="b">
        <v>0</v>
      </c>
      <c r="G776">
        <v>47.38</v>
      </c>
      <c r="H776">
        <v>23.59</v>
      </c>
      <c r="I776">
        <v>105.14</v>
      </c>
      <c r="J776">
        <v>0.06</v>
      </c>
      <c r="K776">
        <v>0.13</v>
      </c>
      <c r="L776">
        <v>1.32</v>
      </c>
      <c r="M776">
        <v>0.13</v>
      </c>
      <c r="N776">
        <v>207.51</v>
      </c>
      <c r="O776">
        <v>23.34</v>
      </c>
      <c r="P776">
        <v>460.46</v>
      </c>
    </row>
    <row r="777" spans="1:16" x14ac:dyDescent="0.2">
      <c r="A777" t="s">
        <v>16</v>
      </c>
      <c r="C777" t="b">
        <v>1</v>
      </c>
      <c r="D777" t="s">
        <v>104</v>
      </c>
      <c r="E777" t="s">
        <v>23</v>
      </c>
      <c r="F777" t="b">
        <v>0</v>
      </c>
      <c r="G777">
        <v>5.31</v>
      </c>
      <c r="H777">
        <v>2.64</v>
      </c>
      <c r="I777">
        <v>11.78</v>
      </c>
      <c r="J777">
        <v>-0.51</v>
      </c>
      <c r="K777">
        <v>-8.76</v>
      </c>
      <c r="L777">
        <v>-0.1</v>
      </c>
      <c r="M777">
        <v>-1.1299999999999999</v>
      </c>
      <c r="N777">
        <v>24.52</v>
      </c>
      <c r="O777">
        <v>2.76</v>
      </c>
      <c r="P777">
        <v>54.41</v>
      </c>
    </row>
    <row r="778" spans="1:16" x14ac:dyDescent="0.2">
      <c r="A778" t="s">
        <v>16</v>
      </c>
      <c r="C778" t="b">
        <v>1</v>
      </c>
      <c r="D778" t="s">
        <v>104</v>
      </c>
      <c r="E778" t="s">
        <v>24</v>
      </c>
      <c r="F778" t="b">
        <v>0</v>
      </c>
      <c r="G778">
        <v>1.44</v>
      </c>
      <c r="H778">
        <v>0.72</v>
      </c>
      <c r="I778">
        <v>3.2</v>
      </c>
      <c r="J778">
        <v>-0.06</v>
      </c>
      <c r="K778">
        <v>-4</v>
      </c>
      <c r="L778">
        <v>0.01</v>
      </c>
      <c r="M778">
        <v>-0.13</v>
      </c>
      <c r="N778">
        <v>5.87</v>
      </c>
      <c r="O778">
        <v>0.66</v>
      </c>
      <c r="P778">
        <v>13.03</v>
      </c>
    </row>
    <row r="779" spans="1:16" x14ac:dyDescent="0.2">
      <c r="A779" t="s">
        <v>16</v>
      </c>
      <c r="C779" t="b">
        <v>1</v>
      </c>
      <c r="D779" t="s">
        <v>104</v>
      </c>
      <c r="E779" t="s">
        <v>25</v>
      </c>
      <c r="F779" t="b">
        <v>0</v>
      </c>
      <c r="G779">
        <v>24.09</v>
      </c>
      <c r="H779">
        <v>11.99</v>
      </c>
      <c r="I779">
        <v>53.46</v>
      </c>
      <c r="J779">
        <v>3.99</v>
      </c>
      <c r="K779">
        <v>19.850000000000001</v>
      </c>
      <c r="L779">
        <v>2.5299999999999998</v>
      </c>
      <c r="M779">
        <v>8.85</v>
      </c>
      <c r="N779">
        <v>60.45</v>
      </c>
      <c r="O779">
        <v>6.8</v>
      </c>
      <c r="P779">
        <v>134.13999999999999</v>
      </c>
    </row>
    <row r="780" spans="1:16" x14ac:dyDescent="0.2">
      <c r="A780" t="s">
        <v>16</v>
      </c>
      <c r="C780" t="b">
        <v>1</v>
      </c>
      <c r="D780" t="s">
        <v>104</v>
      </c>
      <c r="E780" t="s">
        <v>26</v>
      </c>
      <c r="F780" t="b">
        <v>1</v>
      </c>
      <c r="G780">
        <v>200.86</v>
      </c>
      <c r="H780">
        <v>100</v>
      </c>
      <c r="I780">
        <v>445.7</v>
      </c>
      <c r="J780">
        <v>-11.63</v>
      </c>
      <c r="K780">
        <v>-5.47</v>
      </c>
      <c r="L780">
        <v>0</v>
      </c>
      <c r="M780">
        <v>-25.81</v>
      </c>
      <c r="N780">
        <v>889.05</v>
      </c>
      <c r="O780">
        <v>100</v>
      </c>
      <c r="P780">
        <v>1972.78</v>
      </c>
    </row>
    <row r="781" spans="1:16" x14ac:dyDescent="0.2">
      <c r="A781" t="s">
        <v>16</v>
      </c>
      <c r="C781" t="b">
        <v>1</v>
      </c>
      <c r="D781" t="s">
        <v>104</v>
      </c>
      <c r="E781" t="s">
        <v>27</v>
      </c>
      <c r="F781" t="b">
        <v>0</v>
      </c>
      <c r="G781">
        <v>33.51</v>
      </c>
      <c r="H781">
        <v>16.68</v>
      </c>
      <c r="I781">
        <v>74.36</v>
      </c>
      <c r="J781">
        <v>-2.69</v>
      </c>
      <c r="K781">
        <v>-7.43</v>
      </c>
      <c r="L781">
        <v>-0.36</v>
      </c>
      <c r="M781">
        <v>-5.97</v>
      </c>
      <c r="N781">
        <v>172.21</v>
      </c>
      <c r="O781">
        <v>19.37</v>
      </c>
      <c r="P781">
        <v>382.13</v>
      </c>
    </row>
    <row r="782" spans="1:16" x14ac:dyDescent="0.2">
      <c r="A782" t="s">
        <v>16</v>
      </c>
      <c r="C782" t="b">
        <v>1</v>
      </c>
      <c r="D782" t="s">
        <v>105</v>
      </c>
      <c r="E782" t="s">
        <v>18</v>
      </c>
      <c r="F782" t="b">
        <v>0</v>
      </c>
      <c r="G782">
        <v>8.3699999999999992</v>
      </c>
      <c r="H782">
        <v>4.26</v>
      </c>
      <c r="I782">
        <v>18.57</v>
      </c>
      <c r="J782">
        <v>-1.37</v>
      </c>
      <c r="K782">
        <v>-14.07</v>
      </c>
      <c r="L782">
        <v>-0.49</v>
      </c>
      <c r="M782">
        <v>-3.04</v>
      </c>
      <c r="N782">
        <v>47.85</v>
      </c>
      <c r="O782">
        <v>4.41</v>
      </c>
      <c r="P782">
        <v>106.18</v>
      </c>
    </row>
    <row r="783" spans="1:16" x14ac:dyDescent="0.2">
      <c r="A783" t="s">
        <v>16</v>
      </c>
      <c r="C783" t="b">
        <v>1</v>
      </c>
      <c r="D783" t="s">
        <v>105</v>
      </c>
      <c r="E783" t="s">
        <v>19</v>
      </c>
      <c r="F783" t="b">
        <v>0</v>
      </c>
      <c r="G783">
        <v>19.3</v>
      </c>
      <c r="H783">
        <v>9.83</v>
      </c>
      <c r="I783">
        <v>42.83</v>
      </c>
      <c r="J783">
        <v>-10.69</v>
      </c>
      <c r="K783">
        <v>-35.65</v>
      </c>
      <c r="L783">
        <v>-4.79</v>
      </c>
      <c r="M783">
        <v>-23.72</v>
      </c>
      <c r="N783">
        <v>144.59</v>
      </c>
      <c r="O783">
        <v>13.32</v>
      </c>
      <c r="P783">
        <v>320.83999999999997</v>
      </c>
    </row>
    <row r="784" spans="1:16" x14ac:dyDescent="0.2">
      <c r="A784" t="s">
        <v>16</v>
      </c>
      <c r="C784" t="b">
        <v>1</v>
      </c>
      <c r="D784" t="s">
        <v>105</v>
      </c>
      <c r="E784" t="s">
        <v>20</v>
      </c>
      <c r="F784" t="b">
        <v>0</v>
      </c>
      <c r="G784">
        <v>27.88</v>
      </c>
      <c r="H784">
        <v>14.19</v>
      </c>
      <c r="I784">
        <v>61.87</v>
      </c>
      <c r="J784">
        <v>-7.67</v>
      </c>
      <c r="K784">
        <v>-21.58</v>
      </c>
      <c r="L784">
        <v>-3.14</v>
      </c>
      <c r="M784">
        <v>-17.02</v>
      </c>
      <c r="N784">
        <v>178.98</v>
      </c>
      <c r="O784">
        <v>16.489999999999998</v>
      </c>
      <c r="P784">
        <v>397.15</v>
      </c>
    </row>
    <row r="785" spans="1:16" x14ac:dyDescent="0.2">
      <c r="A785" t="s">
        <v>16</v>
      </c>
      <c r="C785" t="b">
        <v>1</v>
      </c>
      <c r="D785" t="s">
        <v>105</v>
      </c>
      <c r="E785" t="s">
        <v>21</v>
      </c>
      <c r="F785" t="b">
        <v>0</v>
      </c>
      <c r="G785">
        <v>29.23</v>
      </c>
      <c r="H785">
        <v>14.88</v>
      </c>
      <c r="I785">
        <v>64.86</v>
      </c>
      <c r="J785">
        <v>2.5099999999999998</v>
      </c>
      <c r="K785">
        <v>9.39</v>
      </c>
      <c r="L785">
        <v>1.86</v>
      </c>
      <c r="M785">
        <v>5.57</v>
      </c>
      <c r="N785">
        <v>131.85</v>
      </c>
      <c r="O785">
        <v>12.15</v>
      </c>
      <c r="P785">
        <v>292.57</v>
      </c>
    </row>
    <row r="786" spans="1:16" x14ac:dyDescent="0.2">
      <c r="A786" t="s">
        <v>16</v>
      </c>
      <c r="C786" t="b">
        <v>1</v>
      </c>
      <c r="D786" t="s">
        <v>105</v>
      </c>
      <c r="E786" t="s">
        <v>22</v>
      </c>
      <c r="F786" t="b">
        <v>0</v>
      </c>
      <c r="G786">
        <v>43.46</v>
      </c>
      <c r="H786">
        <v>22.12</v>
      </c>
      <c r="I786">
        <v>96.44</v>
      </c>
      <c r="J786">
        <v>0.72</v>
      </c>
      <c r="K786">
        <v>1.68</v>
      </c>
      <c r="L786">
        <v>1.29</v>
      </c>
      <c r="M786">
        <v>1.6</v>
      </c>
      <c r="N786">
        <v>250.97</v>
      </c>
      <c r="O786">
        <v>23.12</v>
      </c>
      <c r="P786">
        <v>556.9</v>
      </c>
    </row>
    <row r="787" spans="1:16" x14ac:dyDescent="0.2">
      <c r="A787" t="s">
        <v>16</v>
      </c>
      <c r="C787" t="b">
        <v>1</v>
      </c>
      <c r="D787" t="s">
        <v>105</v>
      </c>
      <c r="E787" t="s">
        <v>23</v>
      </c>
      <c r="F787" t="b">
        <v>0</v>
      </c>
      <c r="G787">
        <v>5.25</v>
      </c>
      <c r="H787">
        <v>2.67</v>
      </c>
      <c r="I787">
        <v>11.65</v>
      </c>
      <c r="J787">
        <v>-0.75</v>
      </c>
      <c r="K787">
        <v>-12.5</v>
      </c>
      <c r="L787">
        <v>-0.25</v>
      </c>
      <c r="M787">
        <v>-1.66</v>
      </c>
      <c r="N787">
        <v>29.77</v>
      </c>
      <c r="O787">
        <v>2.74</v>
      </c>
      <c r="P787">
        <v>66.06</v>
      </c>
    </row>
    <row r="788" spans="1:16" x14ac:dyDescent="0.2">
      <c r="A788" t="s">
        <v>16</v>
      </c>
      <c r="C788" t="b">
        <v>1</v>
      </c>
      <c r="D788" t="s">
        <v>105</v>
      </c>
      <c r="E788" t="s">
        <v>24</v>
      </c>
      <c r="F788" t="b">
        <v>0</v>
      </c>
      <c r="G788">
        <v>1.4</v>
      </c>
      <c r="H788">
        <v>0.71</v>
      </c>
      <c r="I788">
        <v>3.11</v>
      </c>
      <c r="J788">
        <v>-0.04</v>
      </c>
      <c r="K788">
        <v>-2.78</v>
      </c>
      <c r="L788">
        <v>0.01</v>
      </c>
      <c r="M788">
        <v>-0.09</v>
      </c>
      <c r="N788">
        <v>7.27</v>
      </c>
      <c r="O788">
        <v>0.67</v>
      </c>
      <c r="P788">
        <v>16.13</v>
      </c>
    </row>
    <row r="789" spans="1:16" x14ac:dyDescent="0.2">
      <c r="A789" t="s">
        <v>16</v>
      </c>
      <c r="C789" t="b">
        <v>1</v>
      </c>
      <c r="D789" t="s">
        <v>105</v>
      </c>
      <c r="E789" t="s">
        <v>25</v>
      </c>
      <c r="F789" t="b">
        <v>0</v>
      </c>
      <c r="G789">
        <v>29.9</v>
      </c>
      <c r="H789">
        <v>15.22</v>
      </c>
      <c r="I789">
        <v>66.349999999999994</v>
      </c>
      <c r="J789">
        <v>4.21</v>
      </c>
      <c r="K789">
        <v>16.39</v>
      </c>
      <c r="L789">
        <v>2.7</v>
      </c>
      <c r="M789">
        <v>9.34</v>
      </c>
      <c r="N789">
        <v>90.35</v>
      </c>
      <c r="O789">
        <v>8.32</v>
      </c>
      <c r="P789">
        <v>200.48</v>
      </c>
    </row>
    <row r="790" spans="1:16" x14ac:dyDescent="0.2">
      <c r="A790" t="s">
        <v>16</v>
      </c>
      <c r="C790" t="b">
        <v>1</v>
      </c>
      <c r="D790" t="s">
        <v>105</v>
      </c>
      <c r="E790" t="s">
        <v>26</v>
      </c>
      <c r="F790" t="b">
        <v>1</v>
      </c>
      <c r="G790">
        <v>196.43</v>
      </c>
      <c r="H790">
        <v>100</v>
      </c>
      <c r="I790">
        <v>435.87</v>
      </c>
      <c r="J790">
        <v>-8.74</v>
      </c>
      <c r="K790">
        <v>-4.26</v>
      </c>
      <c r="L790">
        <v>0</v>
      </c>
      <c r="M790">
        <v>-19.39</v>
      </c>
      <c r="N790">
        <v>1085.48</v>
      </c>
      <c r="O790">
        <v>100</v>
      </c>
      <c r="P790">
        <v>2408.66</v>
      </c>
    </row>
    <row r="791" spans="1:16" x14ac:dyDescent="0.2">
      <c r="A791" t="s">
        <v>16</v>
      </c>
      <c r="C791" t="b">
        <v>1</v>
      </c>
      <c r="D791" t="s">
        <v>105</v>
      </c>
      <c r="E791" t="s">
        <v>27</v>
      </c>
      <c r="F791" t="b">
        <v>0</v>
      </c>
      <c r="G791">
        <v>31.64</v>
      </c>
      <c r="H791">
        <v>16.11</v>
      </c>
      <c r="I791">
        <v>70.209999999999994</v>
      </c>
      <c r="J791">
        <v>4.34</v>
      </c>
      <c r="K791">
        <v>15.9</v>
      </c>
      <c r="L791">
        <v>2.8</v>
      </c>
      <c r="M791">
        <v>9.6300000000000008</v>
      </c>
      <c r="N791">
        <v>203.85</v>
      </c>
      <c r="O791">
        <v>18.78</v>
      </c>
      <c r="P791">
        <v>452.34</v>
      </c>
    </row>
    <row r="792" spans="1:16" x14ac:dyDescent="0.2">
      <c r="A792" t="s">
        <v>16</v>
      </c>
      <c r="C792" t="b">
        <v>1</v>
      </c>
      <c r="D792" t="s">
        <v>106</v>
      </c>
      <c r="E792" t="s">
        <v>18</v>
      </c>
      <c r="F792" t="b">
        <v>0</v>
      </c>
      <c r="G792">
        <v>7.31</v>
      </c>
      <c r="H792">
        <v>3.84</v>
      </c>
      <c r="I792">
        <v>16.22</v>
      </c>
      <c r="J792">
        <v>-1.8</v>
      </c>
      <c r="K792">
        <v>-19.760000000000002</v>
      </c>
      <c r="L792">
        <v>-0.65</v>
      </c>
      <c r="M792">
        <v>-3.99</v>
      </c>
      <c r="N792">
        <v>55.16</v>
      </c>
      <c r="O792">
        <v>4.32</v>
      </c>
      <c r="P792">
        <v>122.4</v>
      </c>
    </row>
    <row r="793" spans="1:16" x14ac:dyDescent="0.2">
      <c r="A793" t="s">
        <v>16</v>
      </c>
      <c r="C793" t="b">
        <v>1</v>
      </c>
      <c r="D793" t="s">
        <v>106</v>
      </c>
      <c r="E793" t="s">
        <v>19</v>
      </c>
      <c r="F793" t="b">
        <v>0</v>
      </c>
      <c r="G793">
        <v>19.46</v>
      </c>
      <c r="H793">
        <v>10.220000000000001</v>
      </c>
      <c r="I793">
        <v>43.18</v>
      </c>
      <c r="J793">
        <v>-12.5</v>
      </c>
      <c r="K793">
        <v>-39.11</v>
      </c>
      <c r="L793">
        <v>-5.52</v>
      </c>
      <c r="M793">
        <v>-27.74</v>
      </c>
      <c r="N793">
        <v>164.05</v>
      </c>
      <c r="O793">
        <v>12.86</v>
      </c>
      <c r="P793">
        <v>364.02</v>
      </c>
    </row>
    <row r="794" spans="1:16" x14ac:dyDescent="0.2">
      <c r="A794" t="s">
        <v>16</v>
      </c>
      <c r="C794" t="b">
        <v>1</v>
      </c>
      <c r="D794" t="s">
        <v>106</v>
      </c>
      <c r="E794" t="s">
        <v>20</v>
      </c>
      <c r="F794" t="b">
        <v>0</v>
      </c>
      <c r="G794">
        <v>33</v>
      </c>
      <c r="H794">
        <v>17.32</v>
      </c>
      <c r="I794">
        <v>73.23</v>
      </c>
      <c r="J794">
        <v>-6.83</v>
      </c>
      <c r="K794">
        <v>-17.149999999999999</v>
      </c>
      <c r="L794">
        <v>-2.29</v>
      </c>
      <c r="M794">
        <v>-15.16</v>
      </c>
      <c r="N794">
        <v>211.98</v>
      </c>
      <c r="O794">
        <v>16.61</v>
      </c>
      <c r="P794">
        <v>470.38</v>
      </c>
    </row>
    <row r="795" spans="1:16" x14ac:dyDescent="0.2">
      <c r="A795" t="s">
        <v>16</v>
      </c>
      <c r="C795" t="b">
        <v>1</v>
      </c>
      <c r="D795" t="s">
        <v>106</v>
      </c>
      <c r="E795" t="s">
        <v>21</v>
      </c>
      <c r="F795" t="b">
        <v>0</v>
      </c>
      <c r="G795">
        <v>27.39</v>
      </c>
      <c r="H795">
        <v>14.38</v>
      </c>
      <c r="I795">
        <v>60.78</v>
      </c>
      <c r="J795">
        <v>2.94</v>
      </c>
      <c r="K795">
        <v>12.02</v>
      </c>
      <c r="L795">
        <v>2.34</v>
      </c>
      <c r="M795">
        <v>6.52</v>
      </c>
      <c r="N795">
        <v>159.24</v>
      </c>
      <c r="O795">
        <v>12.48</v>
      </c>
      <c r="P795">
        <v>353.35</v>
      </c>
    </row>
    <row r="796" spans="1:16" x14ac:dyDescent="0.2">
      <c r="A796" t="s">
        <v>16</v>
      </c>
      <c r="C796" t="b">
        <v>1</v>
      </c>
      <c r="D796" t="s">
        <v>106</v>
      </c>
      <c r="E796" t="s">
        <v>22</v>
      </c>
      <c r="F796" t="b">
        <v>0</v>
      </c>
      <c r="G796">
        <v>42.95</v>
      </c>
      <c r="H796">
        <v>22.55</v>
      </c>
      <c r="I796">
        <v>95.31</v>
      </c>
      <c r="J796">
        <v>0.28000000000000003</v>
      </c>
      <c r="K796">
        <v>0.66</v>
      </c>
      <c r="L796">
        <v>1.54</v>
      </c>
      <c r="M796">
        <v>0.62</v>
      </c>
      <c r="N796">
        <v>293.92</v>
      </c>
      <c r="O796">
        <v>23.04</v>
      </c>
      <c r="P796">
        <v>652.20000000000005</v>
      </c>
    </row>
    <row r="797" spans="1:16" x14ac:dyDescent="0.2">
      <c r="A797" t="s">
        <v>16</v>
      </c>
      <c r="C797" t="b">
        <v>1</v>
      </c>
      <c r="D797" t="s">
        <v>106</v>
      </c>
      <c r="E797" t="s">
        <v>23</v>
      </c>
      <c r="F797" t="b">
        <v>0</v>
      </c>
      <c r="G797">
        <v>4.6399999999999997</v>
      </c>
      <c r="H797">
        <v>2.44</v>
      </c>
      <c r="I797">
        <v>10.3</v>
      </c>
      <c r="J797">
        <v>-1.21</v>
      </c>
      <c r="K797">
        <v>-20.68</v>
      </c>
      <c r="L797">
        <v>-0.44</v>
      </c>
      <c r="M797">
        <v>-2.68</v>
      </c>
      <c r="N797">
        <v>34.409999999999997</v>
      </c>
      <c r="O797">
        <v>2.7</v>
      </c>
      <c r="P797">
        <v>76.36</v>
      </c>
    </row>
    <row r="798" spans="1:16" x14ac:dyDescent="0.2">
      <c r="A798" t="s">
        <v>16</v>
      </c>
      <c r="C798" t="b">
        <v>1</v>
      </c>
      <c r="D798" t="s">
        <v>106</v>
      </c>
      <c r="E798" t="s">
        <v>24</v>
      </c>
      <c r="F798" t="b">
        <v>0</v>
      </c>
      <c r="G798">
        <v>1.27</v>
      </c>
      <c r="H798">
        <v>0.67</v>
      </c>
      <c r="I798">
        <v>2.82</v>
      </c>
      <c r="J798">
        <v>-0.05</v>
      </c>
      <c r="K798">
        <v>-3.79</v>
      </c>
      <c r="L798">
        <v>0.02</v>
      </c>
      <c r="M798">
        <v>-0.11</v>
      </c>
      <c r="N798">
        <v>8.5399999999999991</v>
      </c>
      <c r="O798">
        <v>0.67</v>
      </c>
      <c r="P798">
        <v>18.95</v>
      </c>
    </row>
    <row r="799" spans="1:16" x14ac:dyDescent="0.2">
      <c r="A799" t="s">
        <v>16</v>
      </c>
      <c r="C799" t="b">
        <v>1</v>
      </c>
      <c r="D799" t="s">
        <v>106</v>
      </c>
      <c r="E799" t="s">
        <v>25</v>
      </c>
      <c r="F799" t="b">
        <v>0</v>
      </c>
      <c r="G799">
        <v>33.03</v>
      </c>
      <c r="H799">
        <v>17.34</v>
      </c>
      <c r="I799">
        <v>73.290000000000006</v>
      </c>
      <c r="J799">
        <v>6.85</v>
      </c>
      <c r="K799">
        <v>26.17</v>
      </c>
      <c r="L799">
        <v>4.45</v>
      </c>
      <c r="M799">
        <v>15.2</v>
      </c>
      <c r="N799">
        <v>123.38</v>
      </c>
      <c r="O799">
        <v>9.67</v>
      </c>
      <c r="P799">
        <v>273.77999999999997</v>
      </c>
    </row>
    <row r="800" spans="1:16" x14ac:dyDescent="0.2">
      <c r="A800" t="s">
        <v>16</v>
      </c>
      <c r="C800" t="b">
        <v>1</v>
      </c>
      <c r="D800" t="s">
        <v>106</v>
      </c>
      <c r="E800" t="s">
        <v>26</v>
      </c>
      <c r="F800" t="b">
        <v>1</v>
      </c>
      <c r="G800">
        <v>190.49</v>
      </c>
      <c r="H800">
        <v>100</v>
      </c>
      <c r="I800">
        <v>422.69</v>
      </c>
      <c r="J800">
        <v>-12.6</v>
      </c>
      <c r="K800">
        <v>-6.2</v>
      </c>
      <c r="L800">
        <v>0</v>
      </c>
      <c r="M800">
        <v>-27.96</v>
      </c>
      <c r="N800">
        <v>1275.97</v>
      </c>
      <c r="O800">
        <v>100</v>
      </c>
      <c r="P800">
        <v>2831.35</v>
      </c>
    </row>
    <row r="801" spans="1:16" x14ac:dyDescent="0.2">
      <c r="A801" t="s">
        <v>16</v>
      </c>
      <c r="C801" t="b">
        <v>1</v>
      </c>
      <c r="D801" t="s">
        <v>106</v>
      </c>
      <c r="E801" t="s">
        <v>27</v>
      </c>
      <c r="F801" t="b">
        <v>0</v>
      </c>
      <c r="G801">
        <v>21.44</v>
      </c>
      <c r="H801">
        <v>11.26</v>
      </c>
      <c r="I801">
        <v>47.57</v>
      </c>
      <c r="J801">
        <v>-0.28000000000000003</v>
      </c>
      <c r="K801">
        <v>-1.29</v>
      </c>
      <c r="L801">
        <v>0.56999999999999995</v>
      </c>
      <c r="M801">
        <v>-0.62</v>
      </c>
      <c r="N801">
        <v>225.29</v>
      </c>
      <c r="O801">
        <v>17.66</v>
      </c>
      <c r="P801">
        <v>499.91</v>
      </c>
    </row>
    <row r="802" spans="1:16" x14ac:dyDescent="0.2">
      <c r="A802" t="s">
        <v>16</v>
      </c>
      <c r="C802" t="b">
        <v>1</v>
      </c>
      <c r="D802" t="s">
        <v>107</v>
      </c>
      <c r="E802" t="s">
        <v>18</v>
      </c>
      <c r="F802" t="b">
        <v>0</v>
      </c>
      <c r="G802">
        <v>7.6</v>
      </c>
      <c r="H802">
        <v>3.75</v>
      </c>
      <c r="I802">
        <v>16.86</v>
      </c>
      <c r="J802">
        <v>-1.56</v>
      </c>
      <c r="K802">
        <v>-17.03</v>
      </c>
      <c r="L802">
        <v>-0.55000000000000004</v>
      </c>
      <c r="M802">
        <v>-3.46</v>
      </c>
      <c r="N802">
        <v>62.76</v>
      </c>
      <c r="O802">
        <v>4.24</v>
      </c>
      <c r="P802">
        <v>139.26</v>
      </c>
    </row>
    <row r="803" spans="1:16" x14ac:dyDescent="0.2">
      <c r="A803" t="s">
        <v>16</v>
      </c>
      <c r="C803" t="b">
        <v>1</v>
      </c>
      <c r="D803" t="s">
        <v>107</v>
      </c>
      <c r="E803" t="s">
        <v>19</v>
      </c>
      <c r="F803" t="b">
        <v>0</v>
      </c>
      <c r="G803">
        <v>19.41</v>
      </c>
      <c r="H803">
        <v>9.57</v>
      </c>
      <c r="I803">
        <v>43.07</v>
      </c>
      <c r="J803">
        <v>-14.37</v>
      </c>
      <c r="K803">
        <v>-42.54</v>
      </c>
      <c r="L803">
        <v>-6.31</v>
      </c>
      <c r="M803">
        <v>-31.89</v>
      </c>
      <c r="N803">
        <v>183.46</v>
      </c>
      <c r="O803">
        <v>12.41</v>
      </c>
      <c r="P803">
        <v>407.09</v>
      </c>
    </row>
    <row r="804" spans="1:16" x14ac:dyDescent="0.2">
      <c r="A804" t="s">
        <v>16</v>
      </c>
      <c r="C804" t="b">
        <v>1</v>
      </c>
      <c r="D804" t="s">
        <v>107</v>
      </c>
      <c r="E804" t="s">
        <v>20</v>
      </c>
      <c r="F804" t="b">
        <v>0</v>
      </c>
      <c r="G804">
        <v>36.28</v>
      </c>
      <c r="H804">
        <v>17.88</v>
      </c>
      <c r="I804">
        <v>80.5</v>
      </c>
      <c r="J804">
        <v>-7.76</v>
      </c>
      <c r="K804">
        <v>-17.62</v>
      </c>
      <c r="L804">
        <v>-2.82</v>
      </c>
      <c r="M804">
        <v>-17.22</v>
      </c>
      <c r="N804">
        <v>248.26</v>
      </c>
      <c r="O804">
        <v>16.79</v>
      </c>
      <c r="P804">
        <v>550.88</v>
      </c>
    </row>
    <row r="805" spans="1:16" x14ac:dyDescent="0.2">
      <c r="A805" t="s">
        <v>16</v>
      </c>
      <c r="C805" t="b">
        <v>1</v>
      </c>
      <c r="D805" t="s">
        <v>107</v>
      </c>
      <c r="E805" t="s">
        <v>21</v>
      </c>
      <c r="F805" t="b">
        <v>0</v>
      </c>
      <c r="G805">
        <v>22.58</v>
      </c>
      <c r="H805">
        <v>11.13</v>
      </c>
      <c r="I805">
        <v>50.1</v>
      </c>
      <c r="J805">
        <v>0.54</v>
      </c>
      <c r="K805">
        <v>2.4500000000000002</v>
      </c>
      <c r="L805">
        <v>0.77</v>
      </c>
      <c r="M805">
        <v>1.2</v>
      </c>
      <c r="N805">
        <v>181.82</v>
      </c>
      <c r="O805">
        <v>12.29</v>
      </c>
      <c r="P805">
        <v>403.45</v>
      </c>
    </row>
    <row r="806" spans="1:16" x14ac:dyDescent="0.2">
      <c r="A806" t="s">
        <v>16</v>
      </c>
      <c r="C806" t="b">
        <v>1</v>
      </c>
      <c r="D806" t="s">
        <v>107</v>
      </c>
      <c r="E806" t="s">
        <v>22</v>
      </c>
      <c r="F806" t="b">
        <v>0</v>
      </c>
      <c r="G806">
        <v>47.02</v>
      </c>
      <c r="H806">
        <v>23.18</v>
      </c>
      <c r="I806">
        <v>104.34</v>
      </c>
      <c r="J806">
        <v>3.12</v>
      </c>
      <c r="K806">
        <v>7.11</v>
      </c>
      <c r="L806">
        <v>2.5499999999999998</v>
      </c>
      <c r="M806">
        <v>6.92</v>
      </c>
      <c r="N806">
        <v>340.94</v>
      </c>
      <c r="O806">
        <v>23.05</v>
      </c>
      <c r="P806">
        <v>756.54</v>
      </c>
    </row>
    <row r="807" spans="1:16" x14ac:dyDescent="0.2">
      <c r="A807" t="s">
        <v>16</v>
      </c>
      <c r="C807" t="b">
        <v>1</v>
      </c>
      <c r="D807" t="s">
        <v>107</v>
      </c>
      <c r="E807" t="s">
        <v>23</v>
      </c>
      <c r="F807" t="b">
        <v>0</v>
      </c>
      <c r="G807">
        <v>5.31</v>
      </c>
      <c r="H807">
        <v>2.62</v>
      </c>
      <c r="I807">
        <v>11.78</v>
      </c>
      <c r="J807">
        <v>-0.85</v>
      </c>
      <c r="K807">
        <v>-13.8</v>
      </c>
      <c r="L807">
        <v>-0.28000000000000003</v>
      </c>
      <c r="M807">
        <v>-1.89</v>
      </c>
      <c r="N807">
        <v>39.72</v>
      </c>
      <c r="O807">
        <v>2.69</v>
      </c>
      <c r="P807">
        <v>88.14</v>
      </c>
    </row>
    <row r="808" spans="1:16" x14ac:dyDescent="0.2">
      <c r="A808" t="s">
        <v>16</v>
      </c>
      <c r="C808" t="b">
        <v>1</v>
      </c>
      <c r="D808" t="s">
        <v>107</v>
      </c>
      <c r="E808" t="s">
        <v>24</v>
      </c>
      <c r="F808" t="b">
        <v>0</v>
      </c>
      <c r="G808">
        <v>1.3</v>
      </c>
      <c r="H808">
        <v>0.64</v>
      </c>
      <c r="I808">
        <v>2.88</v>
      </c>
      <c r="J808">
        <v>-0.06</v>
      </c>
      <c r="K808">
        <v>-4.41</v>
      </c>
      <c r="L808">
        <v>0</v>
      </c>
      <c r="M808">
        <v>-0.13</v>
      </c>
      <c r="N808">
        <v>9.84</v>
      </c>
      <c r="O808">
        <v>0.67</v>
      </c>
      <c r="P808">
        <v>21.83</v>
      </c>
    </row>
    <row r="809" spans="1:16" x14ac:dyDescent="0.2">
      <c r="A809" t="s">
        <v>16</v>
      </c>
      <c r="C809" t="b">
        <v>1</v>
      </c>
      <c r="D809" t="s">
        <v>107</v>
      </c>
      <c r="E809" t="s">
        <v>25</v>
      </c>
      <c r="F809" t="b">
        <v>0</v>
      </c>
      <c r="G809">
        <v>32.68</v>
      </c>
      <c r="H809">
        <v>16.11</v>
      </c>
      <c r="I809">
        <v>72.52</v>
      </c>
      <c r="J809">
        <v>5.52</v>
      </c>
      <c r="K809">
        <v>20.32</v>
      </c>
      <c r="L809">
        <v>3.35</v>
      </c>
      <c r="M809">
        <v>12.25</v>
      </c>
      <c r="N809">
        <v>156.06</v>
      </c>
      <c r="O809">
        <v>10.55</v>
      </c>
      <c r="P809">
        <v>346.29</v>
      </c>
    </row>
    <row r="810" spans="1:16" x14ac:dyDescent="0.2">
      <c r="A810" t="s">
        <v>16</v>
      </c>
      <c r="C810" t="b">
        <v>1</v>
      </c>
      <c r="D810" t="s">
        <v>107</v>
      </c>
      <c r="E810" t="s">
        <v>26</v>
      </c>
      <c r="F810" t="b">
        <v>1</v>
      </c>
      <c r="G810">
        <v>202.88</v>
      </c>
      <c r="H810">
        <v>100</v>
      </c>
      <c r="I810">
        <v>450.19</v>
      </c>
      <c r="J810">
        <v>-9.9</v>
      </c>
      <c r="K810">
        <v>-4.6500000000000004</v>
      </c>
      <c r="L810">
        <v>0</v>
      </c>
      <c r="M810">
        <v>-21.97</v>
      </c>
      <c r="N810">
        <v>1478.85</v>
      </c>
      <c r="O810">
        <v>100</v>
      </c>
      <c r="P810">
        <v>3281.54</v>
      </c>
    </row>
    <row r="811" spans="1:16" x14ac:dyDescent="0.2">
      <c r="A811" t="s">
        <v>16</v>
      </c>
      <c r="C811" t="b">
        <v>1</v>
      </c>
      <c r="D811" t="s">
        <v>107</v>
      </c>
      <c r="E811" t="s">
        <v>27</v>
      </c>
      <c r="F811" t="b">
        <v>0</v>
      </c>
      <c r="G811">
        <v>30.7</v>
      </c>
      <c r="H811">
        <v>15.13</v>
      </c>
      <c r="I811">
        <v>68.12</v>
      </c>
      <c r="J811">
        <v>5.52</v>
      </c>
      <c r="K811">
        <v>21.92</v>
      </c>
      <c r="L811">
        <v>3.3</v>
      </c>
      <c r="M811">
        <v>12.25</v>
      </c>
      <c r="N811">
        <v>255.99</v>
      </c>
      <c r="O811">
        <v>17.309999999999999</v>
      </c>
      <c r="P811">
        <v>568.04</v>
      </c>
    </row>
    <row r="812" spans="1:16" x14ac:dyDescent="0.2">
      <c r="A812" t="s">
        <v>16</v>
      </c>
      <c r="C812" t="b">
        <v>1</v>
      </c>
      <c r="D812" t="s">
        <v>108</v>
      </c>
      <c r="E812" t="s">
        <v>18</v>
      </c>
      <c r="F812" t="b">
        <v>0</v>
      </c>
      <c r="G812">
        <v>7.9</v>
      </c>
      <c r="H812">
        <v>3.99</v>
      </c>
      <c r="I812">
        <v>17.53</v>
      </c>
      <c r="J812">
        <v>-1.24</v>
      </c>
      <c r="K812">
        <v>-13.57</v>
      </c>
      <c r="L812">
        <v>-0.49</v>
      </c>
      <c r="M812">
        <v>-2.75</v>
      </c>
      <c r="N812">
        <v>70.66</v>
      </c>
      <c r="O812">
        <v>4.21</v>
      </c>
      <c r="P812">
        <v>156.79</v>
      </c>
    </row>
    <row r="813" spans="1:16" x14ac:dyDescent="0.2">
      <c r="A813" t="s">
        <v>16</v>
      </c>
      <c r="C813" t="b">
        <v>1</v>
      </c>
      <c r="D813" t="s">
        <v>108</v>
      </c>
      <c r="E813" t="s">
        <v>19</v>
      </c>
      <c r="F813" t="b">
        <v>0</v>
      </c>
      <c r="G813">
        <v>21.61</v>
      </c>
      <c r="H813">
        <v>10.93</v>
      </c>
      <c r="I813">
        <v>47.95</v>
      </c>
      <c r="J813">
        <v>-14.06</v>
      </c>
      <c r="K813">
        <v>-39.42</v>
      </c>
      <c r="L813">
        <v>-6.54</v>
      </c>
      <c r="M813">
        <v>-31.2</v>
      </c>
      <c r="N813">
        <v>205.07</v>
      </c>
      <c r="O813">
        <v>12.23</v>
      </c>
      <c r="P813">
        <v>455.05</v>
      </c>
    </row>
    <row r="814" spans="1:16" x14ac:dyDescent="0.2">
      <c r="A814" t="s">
        <v>16</v>
      </c>
      <c r="C814" t="b">
        <v>1</v>
      </c>
      <c r="D814" t="s">
        <v>108</v>
      </c>
      <c r="E814" t="s">
        <v>20</v>
      </c>
      <c r="F814" t="b">
        <v>0</v>
      </c>
      <c r="G814">
        <v>34.35</v>
      </c>
      <c r="H814">
        <v>17.37</v>
      </c>
      <c r="I814">
        <v>76.22</v>
      </c>
      <c r="J814">
        <v>-8.48</v>
      </c>
      <c r="K814">
        <v>-19.8</v>
      </c>
      <c r="L814">
        <v>-3.6</v>
      </c>
      <c r="M814">
        <v>-18.82</v>
      </c>
      <c r="N814">
        <v>282.61</v>
      </c>
      <c r="O814">
        <v>16.86</v>
      </c>
      <c r="P814">
        <v>627.11</v>
      </c>
    </row>
    <row r="815" spans="1:16" x14ac:dyDescent="0.2">
      <c r="A815" t="s">
        <v>16</v>
      </c>
      <c r="C815" t="b">
        <v>1</v>
      </c>
      <c r="D815" t="s">
        <v>108</v>
      </c>
      <c r="E815" t="s">
        <v>21</v>
      </c>
      <c r="F815" t="b">
        <v>0</v>
      </c>
      <c r="G815">
        <v>24.61</v>
      </c>
      <c r="H815">
        <v>12.45</v>
      </c>
      <c r="I815">
        <v>54.61</v>
      </c>
      <c r="J815">
        <v>4.6399999999999997</v>
      </c>
      <c r="K815">
        <v>23.23</v>
      </c>
      <c r="L815">
        <v>2.67</v>
      </c>
      <c r="M815">
        <v>10.3</v>
      </c>
      <c r="N815">
        <v>206.43</v>
      </c>
      <c r="O815">
        <v>12.31</v>
      </c>
      <c r="P815">
        <v>458.06</v>
      </c>
    </row>
    <row r="816" spans="1:16" x14ac:dyDescent="0.2">
      <c r="A816" t="s">
        <v>16</v>
      </c>
      <c r="C816" t="b">
        <v>1</v>
      </c>
      <c r="D816" t="s">
        <v>108</v>
      </c>
      <c r="E816" t="s">
        <v>22</v>
      </c>
      <c r="F816" t="b">
        <v>0</v>
      </c>
      <c r="G816">
        <v>46</v>
      </c>
      <c r="H816">
        <v>23.26</v>
      </c>
      <c r="I816">
        <v>102.07</v>
      </c>
      <c r="J816">
        <v>2.7</v>
      </c>
      <c r="K816">
        <v>6.24</v>
      </c>
      <c r="L816">
        <v>2.06</v>
      </c>
      <c r="M816">
        <v>5.99</v>
      </c>
      <c r="N816">
        <v>386.94</v>
      </c>
      <c r="O816">
        <v>23.08</v>
      </c>
      <c r="P816">
        <v>858.61</v>
      </c>
    </row>
    <row r="817" spans="1:16" x14ac:dyDescent="0.2">
      <c r="A817" t="s">
        <v>16</v>
      </c>
      <c r="C817" t="b">
        <v>1</v>
      </c>
      <c r="D817" t="s">
        <v>108</v>
      </c>
      <c r="E817" t="s">
        <v>23</v>
      </c>
      <c r="F817" t="b">
        <v>0</v>
      </c>
      <c r="G817">
        <v>5.59</v>
      </c>
      <c r="H817">
        <v>2.83</v>
      </c>
      <c r="I817">
        <v>12.4</v>
      </c>
      <c r="J817">
        <v>-0.32</v>
      </c>
      <c r="K817">
        <v>-5.41</v>
      </c>
      <c r="L817">
        <v>-0.06</v>
      </c>
      <c r="M817">
        <v>-0.71</v>
      </c>
      <c r="N817">
        <v>45.31</v>
      </c>
      <c r="O817">
        <v>2.7</v>
      </c>
      <c r="P817">
        <v>100.54</v>
      </c>
    </row>
    <row r="818" spans="1:16" x14ac:dyDescent="0.2">
      <c r="A818" t="s">
        <v>16</v>
      </c>
      <c r="C818" t="b">
        <v>1</v>
      </c>
      <c r="D818" t="s">
        <v>108</v>
      </c>
      <c r="E818" t="s">
        <v>24</v>
      </c>
      <c r="F818" t="b">
        <v>0</v>
      </c>
      <c r="G818">
        <v>1.29</v>
      </c>
      <c r="H818">
        <v>0.65</v>
      </c>
      <c r="I818">
        <v>2.86</v>
      </c>
      <c r="J818">
        <v>-7.0000000000000007E-2</v>
      </c>
      <c r="K818">
        <v>-5.15</v>
      </c>
      <c r="L818">
        <v>-0.02</v>
      </c>
      <c r="M818">
        <v>-0.16</v>
      </c>
      <c r="N818">
        <v>11.13</v>
      </c>
      <c r="O818">
        <v>0.66</v>
      </c>
      <c r="P818">
        <v>24.7</v>
      </c>
    </row>
    <row r="819" spans="1:16" x14ac:dyDescent="0.2">
      <c r="A819" t="s">
        <v>16</v>
      </c>
      <c r="C819" t="b">
        <v>1</v>
      </c>
      <c r="D819" t="s">
        <v>108</v>
      </c>
      <c r="E819" t="s">
        <v>25</v>
      </c>
      <c r="F819" t="b">
        <v>0</v>
      </c>
      <c r="G819">
        <v>29.43</v>
      </c>
      <c r="H819">
        <v>14.88</v>
      </c>
      <c r="I819">
        <v>65.3</v>
      </c>
      <c r="J819">
        <v>4.46</v>
      </c>
      <c r="K819">
        <v>17.86</v>
      </c>
      <c r="L819">
        <v>2.65</v>
      </c>
      <c r="M819">
        <v>9.9</v>
      </c>
      <c r="N819">
        <v>185.49</v>
      </c>
      <c r="O819">
        <v>11.06</v>
      </c>
      <c r="P819">
        <v>411.6</v>
      </c>
    </row>
    <row r="820" spans="1:16" x14ac:dyDescent="0.2">
      <c r="A820" t="s">
        <v>16</v>
      </c>
      <c r="C820" t="b">
        <v>1</v>
      </c>
      <c r="D820" t="s">
        <v>108</v>
      </c>
      <c r="E820" t="s">
        <v>26</v>
      </c>
      <c r="F820" t="b">
        <v>1</v>
      </c>
      <c r="G820">
        <v>197.75</v>
      </c>
      <c r="H820">
        <v>100</v>
      </c>
      <c r="I820">
        <v>438.8</v>
      </c>
      <c r="J820">
        <v>-6.45</v>
      </c>
      <c r="K820">
        <v>-3.16</v>
      </c>
      <c r="L820">
        <v>0</v>
      </c>
      <c r="M820">
        <v>-14.31</v>
      </c>
      <c r="N820">
        <v>1676.6</v>
      </c>
      <c r="O820">
        <v>100</v>
      </c>
      <c r="P820">
        <v>3720.34</v>
      </c>
    </row>
    <row r="821" spans="1:16" x14ac:dyDescent="0.2">
      <c r="A821" t="s">
        <v>16</v>
      </c>
      <c r="C821" t="b">
        <v>1</v>
      </c>
      <c r="D821" t="s">
        <v>108</v>
      </c>
      <c r="E821" t="s">
        <v>27</v>
      </c>
      <c r="F821" t="b">
        <v>0</v>
      </c>
      <c r="G821">
        <v>26.97</v>
      </c>
      <c r="H821">
        <v>13.64</v>
      </c>
      <c r="I821">
        <v>59.85</v>
      </c>
      <c r="J821">
        <v>5.92</v>
      </c>
      <c r="K821">
        <v>28.12</v>
      </c>
      <c r="L821">
        <v>3.33</v>
      </c>
      <c r="M821">
        <v>13.14</v>
      </c>
      <c r="N821">
        <v>282.95999999999998</v>
      </c>
      <c r="O821">
        <v>16.88</v>
      </c>
      <c r="P821">
        <v>627.88</v>
      </c>
    </row>
    <row r="822" spans="1:16" x14ac:dyDescent="0.2">
      <c r="A822" t="s">
        <v>16</v>
      </c>
      <c r="C822" t="b">
        <v>1</v>
      </c>
      <c r="D822" t="s">
        <v>109</v>
      </c>
      <c r="E822" t="s">
        <v>18</v>
      </c>
      <c r="F822" t="b">
        <v>0</v>
      </c>
      <c r="G822">
        <v>7.79</v>
      </c>
      <c r="H822">
        <v>4.05</v>
      </c>
      <c r="I822">
        <v>17.29</v>
      </c>
      <c r="J822">
        <v>-1.4</v>
      </c>
      <c r="K822">
        <v>-15.23</v>
      </c>
      <c r="L822">
        <v>-0.56000000000000005</v>
      </c>
      <c r="M822">
        <v>-3.11</v>
      </c>
      <c r="N822">
        <v>78.45</v>
      </c>
      <c r="O822">
        <v>4.2</v>
      </c>
      <c r="P822">
        <v>174.08</v>
      </c>
    </row>
    <row r="823" spans="1:16" x14ac:dyDescent="0.2">
      <c r="A823" t="s">
        <v>16</v>
      </c>
      <c r="C823" t="b">
        <v>1</v>
      </c>
      <c r="D823" t="s">
        <v>109</v>
      </c>
      <c r="E823" t="s">
        <v>19</v>
      </c>
      <c r="F823" t="b">
        <v>0</v>
      </c>
      <c r="G823">
        <v>23.51</v>
      </c>
      <c r="H823">
        <v>12.21</v>
      </c>
      <c r="I823">
        <v>52.17</v>
      </c>
      <c r="J823">
        <v>-12.14</v>
      </c>
      <c r="K823">
        <v>-34.049999999999997</v>
      </c>
      <c r="L823">
        <v>-5.69</v>
      </c>
      <c r="M823">
        <v>-26.94</v>
      </c>
      <c r="N823">
        <v>228.58</v>
      </c>
      <c r="O823">
        <v>12.23</v>
      </c>
      <c r="P823">
        <v>507.21</v>
      </c>
    </row>
    <row r="824" spans="1:16" x14ac:dyDescent="0.2">
      <c r="A824" t="s">
        <v>16</v>
      </c>
      <c r="C824" t="b">
        <v>1</v>
      </c>
      <c r="D824" t="s">
        <v>109</v>
      </c>
      <c r="E824" t="s">
        <v>20</v>
      </c>
      <c r="F824" t="b">
        <v>0</v>
      </c>
      <c r="G824">
        <v>34.01</v>
      </c>
      <c r="H824">
        <v>17.670000000000002</v>
      </c>
      <c r="I824">
        <v>75.47</v>
      </c>
      <c r="J824">
        <v>-5.49</v>
      </c>
      <c r="K824">
        <v>-13.9</v>
      </c>
      <c r="L824">
        <v>-2.16</v>
      </c>
      <c r="M824">
        <v>-12.18</v>
      </c>
      <c r="N824">
        <v>316.62</v>
      </c>
      <c r="O824">
        <v>16.940000000000001</v>
      </c>
      <c r="P824">
        <v>702.57</v>
      </c>
    </row>
    <row r="825" spans="1:16" x14ac:dyDescent="0.2">
      <c r="A825" t="s">
        <v>16</v>
      </c>
      <c r="C825" t="b">
        <v>1</v>
      </c>
      <c r="D825" t="s">
        <v>109</v>
      </c>
      <c r="E825" t="s">
        <v>21</v>
      </c>
      <c r="F825" t="b">
        <v>0</v>
      </c>
      <c r="G825">
        <v>20.7</v>
      </c>
      <c r="H825">
        <v>10.75</v>
      </c>
      <c r="I825">
        <v>45.93</v>
      </c>
      <c r="J825">
        <v>1.1200000000000001</v>
      </c>
      <c r="K825">
        <v>5.72</v>
      </c>
      <c r="L825">
        <v>0.92</v>
      </c>
      <c r="M825">
        <v>2.4900000000000002</v>
      </c>
      <c r="N825">
        <v>227.13</v>
      </c>
      <c r="O825">
        <v>12.15</v>
      </c>
      <c r="P825">
        <v>504</v>
      </c>
    </row>
    <row r="826" spans="1:16" x14ac:dyDescent="0.2">
      <c r="A826" t="s">
        <v>16</v>
      </c>
      <c r="C826" t="b">
        <v>1</v>
      </c>
      <c r="D826" t="s">
        <v>109</v>
      </c>
      <c r="E826" t="s">
        <v>22</v>
      </c>
      <c r="F826" t="b">
        <v>0</v>
      </c>
      <c r="G826">
        <v>46.74</v>
      </c>
      <c r="H826">
        <v>24.28</v>
      </c>
      <c r="I826">
        <v>103.72</v>
      </c>
      <c r="J826">
        <v>3.83</v>
      </c>
      <c r="K826">
        <v>8.93</v>
      </c>
      <c r="L826">
        <v>2.74</v>
      </c>
      <c r="M826">
        <v>8.5</v>
      </c>
      <c r="N826">
        <v>433.68</v>
      </c>
      <c r="O826">
        <v>23.2</v>
      </c>
      <c r="P826">
        <v>962.33</v>
      </c>
    </row>
    <row r="827" spans="1:16" x14ac:dyDescent="0.2">
      <c r="A827" t="s">
        <v>16</v>
      </c>
      <c r="C827" t="b">
        <v>1</v>
      </c>
      <c r="D827" t="s">
        <v>109</v>
      </c>
      <c r="E827" t="s">
        <v>23</v>
      </c>
      <c r="F827" t="b">
        <v>0</v>
      </c>
      <c r="G827">
        <v>5.21</v>
      </c>
      <c r="H827">
        <v>2.71</v>
      </c>
      <c r="I827">
        <v>11.56</v>
      </c>
      <c r="J827">
        <v>-0.87</v>
      </c>
      <c r="K827">
        <v>-14.31</v>
      </c>
      <c r="L827">
        <v>-0.34</v>
      </c>
      <c r="M827">
        <v>-1.93</v>
      </c>
      <c r="N827">
        <v>50.52</v>
      </c>
      <c r="O827">
        <v>2.7</v>
      </c>
      <c r="P827">
        <v>112.1</v>
      </c>
    </row>
    <row r="828" spans="1:16" x14ac:dyDescent="0.2">
      <c r="A828" t="s">
        <v>16</v>
      </c>
      <c r="C828" t="b">
        <v>1</v>
      </c>
      <c r="D828" t="s">
        <v>109</v>
      </c>
      <c r="E828" t="s">
        <v>24</v>
      </c>
      <c r="F828" t="b">
        <v>0</v>
      </c>
      <c r="G828">
        <v>1.34</v>
      </c>
      <c r="H828">
        <v>0.7</v>
      </c>
      <c r="I828">
        <v>2.97</v>
      </c>
      <c r="J828">
        <v>0</v>
      </c>
      <c r="K828">
        <v>0</v>
      </c>
      <c r="L828">
        <v>0.03</v>
      </c>
      <c r="M828">
        <v>0</v>
      </c>
      <c r="N828">
        <v>12.47</v>
      </c>
      <c r="O828">
        <v>0.67</v>
      </c>
      <c r="P828">
        <v>27.67</v>
      </c>
    </row>
    <row r="829" spans="1:16" x14ac:dyDescent="0.2">
      <c r="A829" t="s">
        <v>16</v>
      </c>
      <c r="C829" t="b">
        <v>1</v>
      </c>
      <c r="D829" t="s">
        <v>109</v>
      </c>
      <c r="E829" t="s">
        <v>25</v>
      </c>
      <c r="F829" t="b">
        <v>0</v>
      </c>
      <c r="G829">
        <v>26.24</v>
      </c>
      <c r="H829">
        <v>13.63</v>
      </c>
      <c r="I829">
        <v>58.23</v>
      </c>
      <c r="J829">
        <v>8.31</v>
      </c>
      <c r="K829">
        <v>46.35</v>
      </c>
      <c r="L829">
        <v>4.63</v>
      </c>
      <c r="M829">
        <v>18.440000000000001</v>
      </c>
      <c r="N829">
        <v>211.73</v>
      </c>
      <c r="O829">
        <v>11.33</v>
      </c>
      <c r="P829">
        <v>469.82</v>
      </c>
    </row>
    <row r="830" spans="1:16" x14ac:dyDescent="0.2">
      <c r="A830" t="s">
        <v>16</v>
      </c>
      <c r="C830" t="b">
        <v>1</v>
      </c>
      <c r="D830" t="s">
        <v>109</v>
      </c>
      <c r="E830" t="s">
        <v>26</v>
      </c>
      <c r="F830" t="b">
        <v>1</v>
      </c>
      <c r="G830">
        <v>192.47</v>
      </c>
      <c r="H830">
        <v>100</v>
      </c>
      <c r="I830">
        <v>427.09</v>
      </c>
      <c r="J830">
        <v>-6.72</v>
      </c>
      <c r="K830">
        <v>-3.37</v>
      </c>
      <c r="L830">
        <v>0</v>
      </c>
      <c r="M830">
        <v>-14.91</v>
      </c>
      <c r="N830">
        <v>1869.07</v>
      </c>
      <c r="O830">
        <v>100</v>
      </c>
      <c r="P830">
        <v>4147.43</v>
      </c>
    </row>
    <row r="831" spans="1:16" x14ac:dyDescent="0.2">
      <c r="A831" t="s">
        <v>16</v>
      </c>
      <c r="C831" t="b">
        <v>1</v>
      </c>
      <c r="D831" t="s">
        <v>109</v>
      </c>
      <c r="E831" t="s">
        <v>27</v>
      </c>
      <c r="F831" t="b">
        <v>0</v>
      </c>
      <c r="G831">
        <v>26.93</v>
      </c>
      <c r="H831">
        <v>13.99</v>
      </c>
      <c r="I831">
        <v>59.76</v>
      </c>
      <c r="J831">
        <v>-0.08</v>
      </c>
      <c r="K831">
        <v>-0.3</v>
      </c>
      <c r="L831">
        <v>0.43</v>
      </c>
      <c r="M831">
        <v>-0.18</v>
      </c>
      <c r="N831">
        <v>309.89</v>
      </c>
      <c r="O831">
        <v>16.579999999999998</v>
      </c>
      <c r="P831">
        <v>687.64</v>
      </c>
    </row>
    <row r="832" spans="1:16" x14ac:dyDescent="0.2">
      <c r="A832" t="s">
        <v>16</v>
      </c>
      <c r="C832" t="b">
        <v>1</v>
      </c>
      <c r="D832" t="s">
        <v>110</v>
      </c>
      <c r="E832" t="s">
        <v>18</v>
      </c>
      <c r="F832" t="b">
        <v>0</v>
      </c>
      <c r="G832">
        <v>8.35</v>
      </c>
      <c r="H832">
        <v>4.05</v>
      </c>
      <c r="I832">
        <v>18.53</v>
      </c>
      <c r="J832">
        <v>-0.98</v>
      </c>
      <c r="K832">
        <v>-10.5</v>
      </c>
      <c r="L832">
        <v>-0.56000000000000005</v>
      </c>
      <c r="M832">
        <v>-2.17</v>
      </c>
      <c r="N832">
        <v>86.8</v>
      </c>
      <c r="O832">
        <v>4.18</v>
      </c>
      <c r="P832">
        <v>192.61</v>
      </c>
    </row>
    <row r="833" spans="1:16" x14ac:dyDescent="0.2">
      <c r="A833" t="s">
        <v>16</v>
      </c>
      <c r="C833" t="b">
        <v>1</v>
      </c>
      <c r="D833" t="s">
        <v>110</v>
      </c>
      <c r="E833" t="s">
        <v>19</v>
      </c>
      <c r="F833" t="b">
        <v>0</v>
      </c>
      <c r="G833">
        <v>25.53</v>
      </c>
      <c r="H833">
        <v>12.38</v>
      </c>
      <c r="I833">
        <v>56.65</v>
      </c>
      <c r="J833">
        <v>-6.23</v>
      </c>
      <c r="K833">
        <v>-19.62</v>
      </c>
      <c r="L833">
        <v>-3.32</v>
      </c>
      <c r="M833">
        <v>-13.82</v>
      </c>
      <c r="N833">
        <v>254.11</v>
      </c>
      <c r="O833">
        <v>12.24</v>
      </c>
      <c r="P833">
        <v>563.87</v>
      </c>
    </row>
    <row r="834" spans="1:16" x14ac:dyDescent="0.2">
      <c r="A834" t="s">
        <v>16</v>
      </c>
      <c r="C834" t="b">
        <v>1</v>
      </c>
      <c r="D834" t="s">
        <v>110</v>
      </c>
      <c r="E834" t="s">
        <v>20</v>
      </c>
      <c r="F834" t="b">
        <v>0</v>
      </c>
      <c r="G834">
        <v>32.81</v>
      </c>
      <c r="H834">
        <v>15.92</v>
      </c>
      <c r="I834">
        <v>72.8</v>
      </c>
      <c r="J834">
        <v>-8.41</v>
      </c>
      <c r="K834">
        <v>-20.399999999999999</v>
      </c>
      <c r="L834">
        <v>-4.45</v>
      </c>
      <c r="M834">
        <v>-18.66</v>
      </c>
      <c r="N834">
        <v>349.43</v>
      </c>
      <c r="O834">
        <v>16.84</v>
      </c>
      <c r="P834">
        <v>775.38</v>
      </c>
    </row>
    <row r="835" spans="1:16" x14ac:dyDescent="0.2">
      <c r="A835" t="s">
        <v>16</v>
      </c>
      <c r="C835" t="b">
        <v>1</v>
      </c>
      <c r="D835" t="s">
        <v>110</v>
      </c>
      <c r="E835" t="s">
        <v>21</v>
      </c>
      <c r="F835" t="b">
        <v>0</v>
      </c>
      <c r="G835">
        <v>22.57</v>
      </c>
      <c r="H835">
        <v>10.95</v>
      </c>
      <c r="I835">
        <v>50.08</v>
      </c>
      <c r="J835">
        <v>3.68</v>
      </c>
      <c r="K835">
        <v>19.48</v>
      </c>
      <c r="L835">
        <v>1.61</v>
      </c>
      <c r="M835">
        <v>8.17</v>
      </c>
      <c r="N835">
        <v>249.7</v>
      </c>
      <c r="O835">
        <v>12.03</v>
      </c>
      <c r="P835">
        <v>554.08000000000004</v>
      </c>
    </row>
    <row r="836" spans="1:16" x14ac:dyDescent="0.2">
      <c r="A836" t="s">
        <v>16</v>
      </c>
      <c r="C836" t="b">
        <v>1</v>
      </c>
      <c r="D836" t="s">
        <v>110</v>
      </c>
      <c r="E836" t="s">
        <v>22</v>
      </c>
      <c r="F836" t="b">
        <v>0</v>
      </c>
      <c r="G836">
        <v>49.43</v>
      </c>
      <c r="H836">
        <v>23.98</v>
      </c>
      <c r="I836">
        <v>109.68</v>
      </c>
      <c r="J836">
        <v>5.91</v>
      </c>
      <c r="K836">
        <v>13.58</v>
      </c>
      <c r="L836">
        <v>2.4700000000000002</v>
      </c>
      <c r="M836">
        <v>13.11</v>
      </c>
      <c r="N836">
        <v>483.11</v>
      </c>
      <c r="O836">
        <v>23.28</v>
      </c>
      <c r="P836">
        <v>1072.01</v>
      </c>
    </row>
    <row r="837" spans="1:16" x14ac:dyDescent="0.2">
      <c r="A837" t="s">
        <v>16</v>
      </c>
      <c r="C837" t="b">
        <v>1</v>
      </c>
      <c r="D837" t="s">
        <v>110</v>
      </c>
      <c r="E837" t="s">
        <v>23</v>
      </c>
      <c r="F837" t="b">
        <v>0</v>
      </c>
      <c r="G837">
        <v>5.43</v>
      </c>
      <c r="H837">
        <v>2.63</v>
      </c>
      <c r="I837">
        <v>12.05</v>
      </c>
      <c r="J837">
        <v>-0.62</v>
      </c>
      <c r="K837">
        <v>-10.25</v>
      </c>
      <c r="L837">
        <v>-0.36</v>
      </c>
      <c r="M837">
        <v>-1.38</v>
      </c>
      <c r="N837">
        <v>55.95</v>
      </c>
      <c r="O837">
        <v>2.7</v>
      </c>
      <c r="P837">
        <v>124.15</v>
      </c>
    </row>
    <row r="838" spans="1:16" x14ac:dyDescent="0.2">
      <c r="A838" t="s">
        <v>16</v>
      </c>
      <c r="C838" t="b">
        <v>1</v>
      </c>
      <c r="D838" t="s">
        <v>110</v>
      </c>
      <c r="E838" t="s">
        <v>24</v>
      </c>
      <c r="F838" t="b">
        <v>0</v>
      </c>
      <c r="G838">
        <v>1.43</v>
      </c>
      <c r="H838">
        <v>0.69</v>
      </c>
      <c r="I838">
        <v>3.17</v>
      </c>
      <c r="J838">
        <v>0.01</v>
      </c>
      <c r="K838">
        <v>0.7</v>
      </c>
      <c r="L838">
        <v>-0.01</v>
      </c>
      <c r="M838">
        <v>0.02</v>
      </c>
      <c r="N838">
        <v>13.9</v>
      </c>
      <c r="O838">
        <v>0.67</v>
      </c>
      <c r="P838">
        <v>30.84</v>
      </c>
    </row>
    <row r="839" spans="1:16" x14ac:dyDescent="0.2">
      <c r="A839" t="s">
        <v>16</v>
      </c>
      <c r="C839" t="b">
        <v>1</v>
      </c>
      <c r="D839" t="s">
        <v>110</v>
      </c>
      <c r="E839" t="s">
        <v>25</v>
      </c>
      <c r="F839" t="b">
        <v>0</v>
      </c>
      <c r="G839">
        <v>16.61</v>
      </c>
      <c r="H839">
        <v>8.06</v>
      </c>
      <c r="I839">
        <v>36.86</v>
      </c>
      <c r="J839">
        <v>2.76</v>
      </c>
      <c r="K839">
        <v>19.93</v>
      </c>
      <c r="L839">
        <v>1.21</v>
      </c>
      <c r="M839">
        <v>6.12</v>
      </c>
      <c r="N839">
        <v>228.34</v>
      </c>
      <c r="O839">
        <v>11</v>
      </c>
      <c r="P839">
        <v>506.68</v>
      </c>
    </row>
    <row r="840" spans="1:16" x14ac:dyDescent="0.2">
      <c r="A840" t="s">
        <v>16</v>
      </c>
      <c r="C840" t="b">
        <v>1</v>
      </c>
      <c r="D840" t="s">
        <v>110</v>
      </c>
      <c r="E840" t="s">
        <v>26</v>
      </c>
      <c r="F840" t="b">
        <v>1</v>
      </c>
      <c r="G840">
        <v>206.15</v>
      </c>
      <c r="H840">
        <v>100</v>
      </c>
      <c r="I840">
        <v>457.44</v>
      </c>
      <c r="J840">
        <v>3.82</v>
      </c>
      <c r="K840">
        <v>1.89</v>
      </c>
      <c r="L840">
        <v>0</v>
      </c>
      <c r="M840">
        <v>8.48</v>
      </c>
      <c r="N840">
        <v>2075.2199999999998</v>
      </c>
      <c r="O840">
        <v>100</v>
      </c>
      <c r="P840">
        <v>4604.87</v>
      </c>
    </row>
    <row r="841" spans="1:16" x14ac:dyDescent="0.2">
      <c r="A841" t="s">
        <v>16</v>
      </c>
      <c r="C841" t="b">
        <v>1</v>
      </c>
      <c r="D841" t="s">
        <v>110</v>
      </c>
      <c r="E841" t="s">
        <v>27</v>
      </c>
      <c r="F841" t="b">
        <v>0</v>
      </c>
      <c r="G841">
        <v>43.99</v>
      </c>
      <c r="H841">
        <v>21.34</v>
      </c>
      <c r="I841">
        <v>97.61</v>
      </c>
      <c r="J841">
        <v>7.7</v>
      </c>
      <c r="K841">
        <v>21.22</v>
      </c>
      <c r="L841">
        <v>3.4</v>
      </c>
      <c r="M841">
        <v>17.09</v>
      </c>
      <c r="N841">
        <v>353.88</v>
      </c>
      <c r="O841">
        <v>17.05</v>
      </c>
      <c r="P841">
        <v>785.25</v>
      </c>
    </row>
    <row r="842" spans="1:16" x14ac:dyDescent="0.2">
      <c r="A842" t="s">
        <v>16</v>
      </c>
      <c r="C842" t="b">
        <v>1</v>
      </c>
      <c r="D842" t="s">
        <v>111</v>
      </c>
      <c r="E842" t="s">
        <v>18</v>
      </c>
      <c r="F842" t="b">
        <v>0</v>
      </c>
      <c r="G842">
        <v>9.19</v>
      </c>
      <c r="H842">
        <v>4.17</v>
      </c>
      <c r="I842">
        <v>20.39</v>
      </c>
      <c r="J842">
        <v>-1.0900000000000001</v>
      </c>
      <c r="K842">
        <v>-10.6</v>
      </c>
      <c r="L842">
        <v>-0.67</v>
      </c>
      <c r="M842">
        <v>-2.42</v>
      </c>
      <c r="N842">
        <v>95.99</v>
      </c>
      <c r="O842">
        <v>4.18</v>
      </c>
      <c r="P842">
        <v>213</v>
      </c>
    </row>
    <row r="843" spans="1:16" x14ac:dyDescent="0.2">
      <c r="A843" t="s">
        <v>16</v>
      </c>
      <c r="C843" t="b">
        <v>1</v>
      </c>
      <c r="D843" t="s">
        <v>111</v>
      </c>
      <c r="E843" t="s">
        <v>19</v>
      </c>
      <c r="F843" t="b">
        <v>0</v>
      </c>
      <c r="G843">
        <v>28.32</v>
      </c>
      <c r="H843">
        <v>12.84</v>
      </c>
      <c r="I843">
        <v>62.84</v>
      </c>
      <c r="J843">
        <v>-8.4499999999999993</v>
      </c>
      <c r="K843">
        <v>-22.98</v>
      </c>
      <c r="L843">
        <v>-4.47</v>
      </c>
      <c r="M843">
        <v>-18.75</v>
      </c>
      <c r="N843">
        <v>282.43</v>
      </c>
      <c r="O843">
        <v>12.3</v>
      </c>
      <c r="P843">
        <v>626.71</v>
      </c>
    </row>
    <row r="844" spans="1:16" x14ac:dyDescent="0.2">
      <c r="A844" t="s">
        <v>16</v>
      </c>
      <c r="C844" t="b">
        <v>1</v>
      </c>
      <c r="D844" t="s">
        <v>111</v>
      </c>
      <c r="E844" t="s">
        <v>20</v>
      </c>
      <c r="F844" t="b">
        <v>0</v>
      </c>
      <c r="G844">
        <v>32.770000000000003</v>
      </c>
      <c r="H844">
        <v>14.86</v>
      </c>
      <c r="I844">
        <v>72.72</v>
      </c>
      <c r="J844">
        <v>-7.27</v>
      </c>
      <c r="K844">
        <v>-18.16</v>
      </c>
      <c r="L844">
        <v>-3.99</v>
      </c>
      <c r="M844">
        <v>-16.13</v>
      </c>
      <c r="N844">
        <v>382.2</v>
      </c>
      <c r="O844">
        <v>16.649999999999999</v>
      </c>
      <c r="P844">
        <v>848.09</v>
      </c>
    </row>
    <row r="845" spans="1:16" x14ac:dyDescent="0.2">
      <c r="A845" t="s">
        <v>16</v>
      </c>
      <c r="C845" t="b">
        <v>1</v>
      </c>
      <c r="D845" t="s">
        <v>111</v>
      </c>
      <c r="E845" t="s">
        <v>21</v>
      </c>
      <c r="F845" t="b">
        <v>0</v>
      </c>
      <c r="G845">
        <v>32.5</v>
      </c>
      <c r="H845">
        <v>14.74</v>
      </c>
      <c r="I845">
        <v>72.12</v>
      </c>
      <c r="J845">
        <v>10.63</v>
      </c>
      <c r="K845">
        <v>48.61</v>
      </c>
      <c r="L845">
        <v>4.4400000000000004</v>
      </c>
      <c r="M845">
        <v>23.59</v>
      </c>
      <c r="N845">
        <v>282.2</v>
      </c>
      <c r="O845">
        <v>12.29</v>
      </c>
      <c r="P845">
        <v>626.20000000000005</v>
      </c>
    </row>
    <row r="846" spans="1:16" x14ac:dyDescent="0.2">
      <c r="A846" t="s">
        <v>16</v>
      </c>
      <c r="C846" t="b">
        <v>1</v>
      </c>
      <c r="D846" t="s">
        <v>111</v>
      </c>
      <c r="E846" t="s">
        <v>22</v>
      </c>
      <c r="F846" t="b">
        <v>0</v>
      </c>
      <c r="G846">
        <v>49.8</v>
      </c>
      <c r="H846">
        <v>22.58</v>
      </c>
      <c r="I846">
        <v>110.51</v>
      </c>
      <c r="J846">
        <v>3.42</v>
      </c>
      <c r="K846">
        <v>7.37</v>
      </c>
      <c r="L846">
        <v>0.74</v>
      </c>
      <c r="M846">
        <v>7.59</v>
      </c>
      <c r="N846">
        <v>532.91</v>
      </c>
      <c r="O846">
        <v>23.21</v>
      </c>
      <c r="P846">
        <v>1182.52</v>
      </c>
    </row>
    <row r="847" spans="1:16" x14ac:dyDescent="0.2">
      <c r="A847" t="s">
        <v>16</v>
      </c>
      <c r="C847" t="b">
        <v>1</v>
      </c>
      <c r="D847" t="s">
        <v>111</v>
      </c>
      <c r="E847" t="s">
        <v>23</v>
      </c>
      <c r="F847" t="b">
        <v>0</v>
      </c>
      <c r="G847">
        <v>5.82</v>
      </c>
      <c r="H847">
        <v>2.64</v>
      </c>
      <c r="I847">
        <v>12.91</v>
      </c>
      <c r="J847">
        <v>-0.44</v>
      </c>
      <c r="K847">
        <v>-7.03</v>
      </c>
      <c r="L847">
        <v>-0.31</v>
      </c>
      <c r="M847">
        <v>-0.98</v>
      </c>
      <c r="N847">
        <v>61.77</v>
      </c>
      <c r="O847">
        <v>2.69</v>
      </c>
      <c r="P847">
        <v>137.07</v>
      </c>
    </row>
    <row r="848" spans="1:16" x14ac:dyDescent="0.2">
      <c r="A848" t="s">
        <v>16</v>
      </c>
      <c r="C848" t="b">
        <v>1</v>
      </c>
      <c r="D848" t="s">
        <v>111</v>
      </c>
      <c r="E848" t="s">
        <v>24</v>
      </c>
      <c r="F848" t="b">
        <v>0</v>
      </c>
      <c r="G848">
        <v>1.46</v>
      </c>
      <c r="H848">
        <v>0.66</v>
      </c>
      <c r="I848">
        <v>3.24</v>
      </c>
      <c r="J848">
        <v>0.01</v>
      </c>
      <c r="K848">
        <v>0.69</v>
      </c>
      <c r="L848">
        <v>-0.02</v>
      </c>
      <c r="M848">
        <v>0.02</v>
      </c>
      <c r="N848">
        <v>15.36</v>
      </c>
      <c r="O848">
        <v>0.67</v>
      </c>
      <c r="P848">
        <v>34.08</v>
      </c>
    </row>
    <row r="849" spans="1:16" x14ac:dyDescent="0.2">
      <c r="A849" t="s">
        <v>16</v>
      </c>
      <c r="C849" t="b">
        <v>1</v>
      </c>
      <c r="D849" t="s">
        <v>111</v>
      </c>
      <c r="E849" t="s">
        <v>25</v>
      </c>
      <c r="F849" t="b">
        <v>0</v>
      </c>
      <c r="G849">
        <v>9.7799999999999994</v>
      </c>
      <c r="H849">
        <v>4.43</v>
      </c>
      <c r="I849">
        <v>21.7</v>
      </c>
      <c r="J849">
        <v>2.02</v>
      </c>
      <c r="K849">
        <v>26.03</v>
      </c>
      <c r="L849">
        <v>0.78</v>
      </c>
      <c r="M849">
        <v>4.4800000000000004</v>
      </c>
      <c r="N849">
        <v>238.12</v>
      </c>
      <c r="O849">
        <v>10.37</v>
      </c>
      <c r="P849">
        <v>528.38</v>
      </c>
    </row>
    <row r="850" spans="1:16" x14ac:dyDescent="0.2">
      <c r="A850" t="s">
        <v>16</v>
      </c>
      <c r="C850" t="b">
        <v>1</v>
      </c>
      <c r="D850" t="s">
        <v>111</v>
      </c>
      <c r="E850" t="s">
        <v>26</v>
      </c>
      <c r="F850" t="b">
        <v>1</v>
      </c>
      <c r="G850">
        <v>220.52</v>
      </c>
      <c r="H850">
        <v>100</v>
      </c>
      <c r="I850">
        <v>489.33</v>
      </c>
      <c r="J850">
        <v>8.1300000000000008</v>
      </c>
      <c r="K850">
        <v>3.83</v>
      </c>
      <c r="L850">
        <v>0</v>
      </c>
      <c r="M850">
        <v>18.04</v>
      </c>
      <c r="N850">
        <v>2295.7399999999998</v>
      </c>
      <c r="O850">
        <v>100</v>
      </c>
      <c r="P850">
        <v>5094.2</v>
      </c>
    </row>
    <row r="851" spans="1:16" x14ac:dyDescent="0.2">
      <c r="A851" t="s">
        <v>16</v>
      </c>
      <c r="C851" t="b">
        <v>1</v>
      </c>
      <c r="D851" t="s">
        <v>111</v>
      </c>
      <c r="E851" t="s">
        <v>27</v>
      </c>
      <c r="F851" t="b">
        <v>0</v>
      </c>
      <c r="G851">
        <v>50.88</v>
      </c>
      <c r="H851">
        <v>23.07</v>
      </c>
      <c r="I851">
        <v>112.9</v>
      </c>
      <c r="J851">
        <v>9.3000000000000007</v>
      </c>
      <c r="K851">
        <v>22.37</v>
      </c>
      <c r="L851">
        <v>3.49</v>
      </c>
      <c r="M851">
        <v>20.64</v>
      </c>
      <c r="N851">
        <v>404.76</v>
      </c>
      <c r="O851">
        <v>17.63</v>
      </c>
      <c r="P851">
        <v>898.15</v>
      </c>
    </row>
    <row r="852" spans="1:16" x14ac:dyDescent="0.2">
      <c r="A852" t="s">
        <v>16</v>
      </c>
      <c r="C852" t="b">
        <v>1</v>
      </c>
      <c r="D852" t="s">
        <v>112</v>
      </c>
      <c r="E852" t="s">
        <v>18</v>
      </c>
      <c r="F852" t="b">
        <v>0</v>
      </c>
      <c r="G852">
        <v>9.93</v>
      </c>
      <c r="H852">
        <v>4.2300000000000004</v>
      </c>
      <c r="I852">
        <v>22.03</v>
      </c>
      <c r="J852">
        <v>-1.5</v>
      </c>
      <c r="K852">
        <v>-13.12</v>
      </c>
      <c r="L852">
        <v>-0.64</v>
      </c>
      <c r="M852">
        <v>-3.33</v>
      </c>
      <c r="N852">
        <v>105.92</v>
      </c>
      <c r="O852">
        <v>4.1900000000000004</v>
      </c>
      <c r="P852">
        <v>235.03</v>
      </c>
    </row>
    <row r="853" spans="1:16" x14ac:dyDescent="0.2">
      <c r="A853" t="s">
        <v>16</v>
      </c>
      <c r="C853" t="b">
        <v>1</v>
      </c>
      <c r="D853" t="s">
        <v>112</v>
      </c>
      <c r="E853" t="s">
        <v>19</v>
      </c>
      <c r="F853" t="b">
        <v>0</v>
      </c>
      <c r="G853">
        <v>28.18</v>
      </c>
      <c r="H853">
        <v>11.99</v>
      </c>
      <c r="I853">
        <v>62.53</v>
      </c>
      <c r="J853">
        <v>-13.45</v>
      </c>
      <c r="K853">
        <v>-32.31</v>
      </c>
      <c r="L853">
        <v>-5.76</v>
      </c>
      <c r="M853">
        <v>-29.85</v>
      </c>
      <c r="N853">
        <v>310.61</v>
      </c>
      <c r="O853">
        <v>12.27</v>
      </c>
      <c r="P853">
        <v>689.24</v>
      </c>
    </row>
    <row r="854" spans="1:16" x14ac:dyDescent="0.2">
      <c r="A854" t="s">
        <v>16</v>
      </c>
      <c r="C854" t="b">
        <v>1</v>
      </c>
      <c r="D854" t="s">
        <v>112</v>
      </c>
      <c r="E854" t="s">
        <v>20</v>
      </c>
      <c r="F854" t="b">
        <v>0</v>
      </c>
      <c r="G854">
        <v>37.409999999999997</v>
      </c>
      <c r="H854">
        <v>15.92</v>
      </c>
      <c r="I854">
        <v>83.01</v>
      </c>
      <c r="J854">
        <v>-9.69</v>
      </c>
      <c r="K854">
        <v>-20.57</v>
      </c>
      <c r="L854">
        <v>-4.17</v>
      </c>
      <c r="M854">
        <v>-21.5</v>
      </c>
      <c r="N854">
        <v>419.61</v>
      </c>
      <c r="O854">
        <v>16.579999999999998</v>
      </c>
      <c r="P854">
        <v>931.11</v>
      </c>
    </row>
    <row r="855" spans="1:16" x14ac:dyDescent="0.2">
      <c r="A855" t="s">
        <v>16</v>
      </c>
      <c r="C855" t="b">
        <v>1</v>
      </c>
      <c r="D855" t="s">
        <v>112</v>
      </c>
      <c r="E855" t="s">
        <v>21</v>
      </c>
      <c r="F855" t="b">
        <v>0</v>
      </c>
      <c r="G855">
        <v>33.81</v>
      </c>
      <c r="H855">
        <v>14.39</v>
      </c>
      <c r="I855">
        <v>75.02</v>
      </c>
      <c r="J855">
        <v>7.3</v>
      </c>
      <c r="K855">
        <v>27.54</v>
      </c>
      <c r="L855">
        <v>3.08</v>
      </c>
      <c r="M855">
        <v>16.2</v>
      </c>
      <c r="N855">
        <v>316.01</v>
      </c>
      <c r="O855">
        <v>12.49</v>
      </c>
      <c r="P855">
        <v>701.22</v>
      </c>
    </row>
    <row r="856" spans="1:16" x14ac:dyDescent="0.2">
      <c r="A856" t="s">
        <v>16</v>
      </c>
      <c r="C856" t="b">
        <v>1</v>
      </c>
      <c r="D856" t="s">
        <v>112</v>
      </c>
      <c r="E856" t="s">
        <v>22</v>
      </c>
      <c r="F856" t="b">
        <v>0</v>
      </c>
      <c r="G856">
        <v>56.38</v>
      </c>
      <c r="H856">
        <v>23.99</v>
      </c>
      <c r="I856">
        <v>125.11</v>
      </c>
      <c r="J856">
        <v>2.02</v>
      </c>
      <c r="K856">
        <v>3.72</v>
      </c>
      <c r="L856">
        <v>0.81</v>
      </c>
      <c r="M856">
        <v>4.4800000000000004</v>
      </c>
      <c r="N856">
        <v>589.29</v>
      </c>
      <c r="O856">
        <v>23.29</v>
      </c>
      <c r="P856">
        <v>1307.6199999999999</v>
      </c>
    </row>
    <row r="857" spans="1:16" x14ac:dyDescent="0.2">
      <c r="A857" t="s">
        <v>16</v>
      </c>
      <c r="C857" t="b">
        <v>1</v>
      </c>
      <c r="D857" t="s">
        <v>112</v>
      </c>
      <c r="E857" t="s">
        <v>23</v>
      </c>
      <c r="F857" t="b">
        <v>0</v>
      </c>
      <c r="G857">
        <v>6.07</v>
      </c>
      <c r="H857">
        <v>2.58</v>
      </c>
      <c r="I857">
        <v>13.47</v>
      </c>
      <c r="J857">
        <v>-0.69</v>
      </c>
      <c r="K857">
        <v>-10.210000000000001</v>
      </c>
      <c r="L857">
        <v>-0.3</v>
      </c>
      <c r="M857">
        <v>-1.53</v>
      </c>
      <c r="N857">
        <v>67.84</v>
      </c>
      <c r="O857">
        <v>2.68</v>
      </c>
      <c r="P857">
        <v>150.54</v>
      </c>
    </row>
    <row r="858" spans="1:16" x14ac:dyDescent="0.2">
      <c r="A858" t="s">
        <v>16</v>
      </c>
      <c r="C858" t="b">
        <v>1</v>
      </c>
      <c r="D858" t="s">
        <v>112</v>
      </c>
      <c r="E858" t="s">
        <v>24</v>
      </c>
      <c r="F858" t="b">
        <v>0</v>
      </c>
      <c r="G858">
        <v>1.43</v>
      </c>
      <c r="H858">
        <v>0.61</v>
      </c>
      <c r="I858">
        <v>3.17</v>
      </c>
      <c r="J858">
        <v>-0.12</v>
      </c>
      <c r="K858">
        <v>-7.74</v>
      </c>
      <c r="L858">
        <v>-0.05</v>
      </c>
      <c r="M858">
        <v>-0.27</v>
      </c>
      <c r="N858">
        <v>16.79</v>
      </c>
      <c r="O858">
        <v>0.66</v>
      </c>
      <c r="P858">
        <v>37.26</v>
      </c>
    </row>
    <row r="859" spans="1:16" x14ac:dyDescent="0.2">
      <c r="A859" t="s">
        <v>16</v>
      </c>
      <c r="C859" t="b">
        <v>1</v>
      </c>
      <c r="D859" t="s">
        <v>112</v>
      </c>
      <c r="E859" t="s">
        <v>25</v>
      </c>
      <c r="F859" t="b">
        <v>0</v>
      </c>
      <c r="G859">
        <v>7.45</v>
      </c>
      <c r="H859">
        <v>3.17</v>
      </c>
      <c r="I859">
        <v>16.53</v>
      </c>
      <c r="J859">
        <v>2.59</v>
      </c>
      <c r="K859">
        <v>53.29</v>
      </c>
      <c r="L859">
        <v>1.1000000000000001</v>
      </c>
      <c r="M859">
        <v>5.75</v>
      </c>
      <c r="N859">
        <v>245.57</v>
      </c>
      <c r="O859">
        <v>9.6999999999999993</v>
      </c>
      <c r="P859">
        <v>544.91</v>
      </c>
    </row>
    <row r="860" spans="1:16" x14ac:dyDescent="0.2">
      <c r="A860" t="s">
        <v>16</v>
      </c>
      <c r="C860" t="b">
        <v>1</v>
      </c>
      <c r="D860" t="s">
        <v>112</v>
      </c>
      <c r="E860" t="s">
        <v>26</v>
      </c>
      <c r="F860" t="b">
        <v>1</v>
      </c>
      <c r="G860">
        <v>234.99</v>
      </c>
      <c r="H860">
        <v>100</v>
      </c>
      <c r="I860">
        <v>521.44000000000005</v>
      </c>
      <c r="J860">
        <v>0.51</v>
      </c>
      <c r="K860">
        <v>0.22</v>
      </c>
      <c r="L860">
        <v>0</v>
      </c>
      <c r="M860">
        <v>1.1299999999999999</v>
      </c>
      <c r="N860">
        <v>2530.73</v>
      </c>
      <c r="O860">
        <v>100</v>
      </c>
      <c r="P860">
        <v>5615.64</v>
      </c>
    </row>
    <row r="861" spans="1:16" x14ac:dyDescent="0.2">
      <c r="A861" t="s">
        <v>16</v>
      </c>
      <c r="C861" t="b">
        <v>1</v>
      </c>
      <c r="D861" t="s">
        <v>112</v>
      </c>
      <c r="E861" t="s">
        <v>27</v>
      </c>
      <c r="F861" t="b">
        <v>0</v>
      </c>
      <c r="G861">
        <v>54.33</v>
      </c>
      <c r="H861">
        <v>23.12</v>
      </c>
      <c r="I861">
        <v>120.56</v>
      </c>
      <c r="J861">
        <v>14.05</v>
      </c>
      <c r="K861">
        <v>34.880000000000003</v>
      </c>
      <c r="L861">
        <v>5.94</v>
      </c>
      <c r="M861">
        <v>31.18</v>
      </c>
      <c r="N861">
        <v>459.09</v>
      </c>
      <c r="O861">
        <v>18.14</v>
      </c>
      <c r="P861">
        <v>1018.71</v>
      </c>
    </row>
    <row r="862" spans="1:16" x14ac:dyDescent="0.2">
      <c r="A862" t="s">
        <v>16</v>
      </c>
      <c r="C862" t="b">
        <v>1</v>
      </c>
      <c r="D862" t="s">
        <v>113</v>
      </c>
      <c r="E862" t="s">
        <v>18</v>
      </c>
      <c r="F862" t="b">
        <v>0</v>
      </c>
      <c r="G862">
        <v>10</v>
      </c>
      <c r="H862">
        <v>3.98</v>
      </c>
      <c r="I862">
        <v>22.21</v>
      </c>
      <c r="J862">
        <v>-0.5</v>
      </c>
      <c r="K862">
        <v>-4.76</v>
      </c>
      <c r="L862">
        <v>-0.39</v>
      </c>
      <c r="M862">
        <v>-1.1100000000000001</v>
      </c>
      <c r="N862">
        <v>10</v>
      </c>
      <c r="O862">
        <v>3.98</v>
      </c>
      <c r="P862">
        <v>22.21</v>
      </c>
    </row>
    <row r="863" spans="1:16" x14ac:dyDescent="0.2">
      <c r="A863" t="s">
        <v>16</v>
      </c>
      <c r="C863" t="b">
        <v>1</v>
      </c>
      <c r="D863" t="s">
        <v>113</v>
      </c>
      <c r="E863" t="s">
        <v>19</v>
      </c>
      <c r="F863" t="b">
        <v>0</v>
      </c>
      <c r="G863">
        <v>27.2</v>
      </c>
      <c r="H863">
        <v>10.82</v>
      </c>
      <c r="I863">
        <v>60.41</v>
      </c>
      <c r="J863">
        <v>-8.84</v>
      </c>
      <c r="K863">
        <v>-24.53</v>
      </c>
      <c r="L863">
        <v>-4.16</v>
      </c>
      <c r="M863">
        <v>-19.63</v>
      </c>
      <c r="N863">
        <v>27.2</v>
      </c>
      <c r="O863">
        <v>10.82</v>
      </c>
      <c r="P863">
        <v>60.41</v>
      </c>
    </row>
    <row r="864" spans="1:16" x14ac:dyDescent="0.2">
      <c r="A864" t="s">
        <v>16</v>
      </c>
      <c r="C864" t="b">
        <v>1</v>
      </c>
      <c r="D864" t="s">
        <v>113</v>
      </c>
      <c r="E864" t="s">
        <v>20</v>
      </c>
      <c r="F864" t="b">
        <v>0</v>
      </c>
      <c r="G864">
        <v>43.86</v>
      </c>
      <c r="H864">
        <v>17.45</v>
      </c>
      <c r="I864">
        <v>97.41</v>
      </c>
      <c r="J864">
        <v>4.82</v>
      </c>
      <c r="K864">
        <v>12.35</v>
      </c>
      <c r="L864">
        <v>1.22</v>
      </c>
      <c r="M864">
        <v>10.7</v>
      </c>
      <c r="N864">
        <v>43.86</v>
      </c>
      <c r="O864">
        <v>17.45</v>
      </c>
      <c r="P864">
        <v>97.41</v>
      </c>
    </row>
    <row r="865" spans="1:16" x14ac:dyDescent="0.2">
      <c r="A865" t="s">
        <v>16</v>
      </c>
      <c r="C865" t="b">
        <v>1</v>
      </c>
      <c r="D865" t="s">
        <v>113</v>
      </c>
      <c r="E865" t="s">
        <v>21</v>
      </c>
      <c r="F865" t="b">
        <v>0</v>
      </c>
      <c r="G865">
        <v>34.11</v>
      </c>
      <c r="H865">
        <v>13.57</v>
      </c>
      <c r="I865">
        <v>75.760000000000005</v>
      </c>
      <c r="J865">
        <v>4.3499999999999996</v>
      </c>
      <c r="K865">
        <v>14.62</v>
      </c>
      <c r="L865">
        <v>1.2</v>
      </c>
      <c r="M865">
        <v>9.66</v>
      </c>
      <c r="N865">
        <v>34.11</v>
      </c>
      <c r="O865">
        <v>13.57</v>
      </c>
      <c r="P865">
        <v>75.760000000000005</v>
      </c>
    </row>
    <row r="866" spans="1:16" x14ac:dyDescent="0.2">
      <c r="A866" t="s">
        <v>16</v>
      </c>
      <c r="C866" t="b">
        <v>1</v>
      </c>
      <c r="D866" t="s">
        <v>113</v>
      </c>
      <c r="E866" t="s">
        <v>22</v>
      </c>
      <c r="F866" t="b">
        <v>0</v>
      </c>
      <c r="G866">
        <v>61.2</v>
      </c>
      <c r="H866">
        <v>24.36</v>
      </c>
      <c r="I866">
        <v>135.91999999999999</v>
      </c>
      <c r="J866">
        <v>4.08</v>
      </c>
      <c r="K866">
        <v>7.14</v>
      </c>
      <c r="L866">
        <v>0.61</v>
      </c>
      <c r="M866">
        <v>9.06</v>
      </c>
      <c r="N866">
        <v>61.2</v>
      </c>
      <c r="O866">
        <v>24.36</v>
      </c>
      <c r="P866">
        <v>135.91999999999999</v>
      </c>
    </row>
    <row r="867" spans="1:16" x14ac:dyDescent="0.2">
      <c r="A867" t="s">
        <v>16</v>
      </c>
      <c r="C867" t="b">
        <v>1</v>
      </c>
      <c r="D867" t="s">
        <v>113</v>
      </c>
      <c r="E867" t="s">
        <v>23</v>
      </c>
      <c r="F867" t="b">
        <v>0</v>
      </c>
      <c r="G867">
        <v>6.53</v>
      </c>
      <c r="H867">
        <v>2.6</v>
      </c>
      <c r="I867">
        <v>14.5</v>
      </c>
      <c r="J867">
        <v>-0.09</v>
      </c>
      <c r="K867">
        <v>-1.36</v>
      </c>
      <c r="L867">
        <v>-0.15</v>
      </c>
      <c r="M867">
        <v>-0.2</v>
      </c>
      <c r="N867">
        <v>6.53</v>
      </c>
      <c r="O867">
        <v>2.6</v>
      </c>
      <c r="P867">
        <v>14.5</v>
      </c>
    </row>
    <row r="868" spans="1:16" x14ac:dyDescent="0.2">
      <c r="A868" t="s">
        <v>16</v>
      </c>
      <c r="C868" t="b">
        <v>1</v>
      </c>
      <c r="D868" t="s">
        <v>113</v>
      </c>
      <c r="E868" t="s">
        <v>24</v>
      </c>
      <c r="F868" t="b">
        <v>0</v>
      </c>
      <c r="G868">
        <v>1.59</v>
      </c>
      <c r="H868">
        <v>0.63</v>
      </c>
      <c r="I868">
        <v>3.53</v>
      </c>
      <c r="J868">
        <v>0.1</v>
      </c>
      <c r="K868">
        <v>6.71</v>
      </c>
      <c r="L868">
        <v>0.01</v>
      </c>
      <c r="M868">
        <v>0.22</v>
      </c>
      <c r="N868">
        <v>1.59</v>
      </c>
      <c r="O868">
        <v>0.63</v>
      </c>
      <c r="P868">
        <v>3.53</v>
      </c>
    </row>
    <row r="869" spans="1:16" x14ac:dyDescent="0.2">
      <c r="A869" t="s">
        <v>16</v>
      </c>
      <c r="C869" t="b">
        <v>1</v>
      </c>
      <c r="D869" t="s">
        <v>113</v>
      </c>
      <c r="E869" t="s">
        <v>25</v>
      </c>
      <c r="F869" t="b">
        <v>0</v>
      </c>
      <c r="G869">
        <v>9.98</v>
      </c>
      <c r="H869">
        <v>3.97</v>
      </c>
      <c r="I869">
        <v>22.16</v>
      </c>
      <c r="J869">
        <v>3.25</v>
      </c>
      <c r="K869">
        <v>48.29</v>
      </c>
      <c r="L869">
        <v>1.17</v>
      </c>
      <c r="M869">
        <v>7.22</v>
      </c>
      <c r="N869">
        <v>9.98</v>
      </c>
      <c r="O869">
        <v>3.97</v>
      </c>
      <c r="P869">
        <v>22.16</v>
      </c>
    </row>
    <row r="870" spans="1:16" x14ac:dyDescent="0.2">
      <c r="A870" t="s">
        <v>16</v>
      </c>
      <c r="C870" t="b">
        <v>1</v>
      </c>
      <c r="D870" t="s">
        <v>113</v>
      </c>
      <c r="E870" t="s">
        <v>26</v>
      </c>
      <c r="F870" t="b">
        <v>1</v>
      </c>
      <c r="G870">
        <v>251.28</v>
      </c>
      <c r="H870">
        <v>100</v>
      </c>
      <c r="I870">
        <v>558.08000000000004</v>
      </c>
      <c r="J870">
        <v>10.74</v>
      </c>
      <c r="K870">
        <v>4.46</v>
      </c>
      <c r="L870">
        <v>0</v>
      </c>
      <c r="M870">
        <v>23.85</v>
      </c>
      <c r="N870">
        <v>251.28</v>
      </c>
      <c r="O870">
        <v>100</v>
      </c>
      <c r="P870">
        <v>558.08000000000004</v>
      </c>
    </row>
    <row r="871" spans="1:16" x14ac:dyDescent="0.2">
      <c r="A871" t="s">
        <v>16</v>
      </c>
      <c r="C871" t="b">
        <v>1</v>
      </c>
      <c r="D871" t="s">
        <v>113</v>
      </c>
      <c r="E871" t="s">
        <v>27</v>
      </c>
      <c r="F871" t="b">
        <v>0</v>
      </c>
      <c r="G871">
        <v>56.81</v>
      </c>
      <c r="H871">
        <v>22.61</v>
      </c>
      <c r="I871">
        <v>126.17</v>
      </c>
      <c r="J871">
        <v>3.57</v>
      </c>
      <c r="K871">
        <v>6.71</v>
      </c>
      <c r="L871">
        <v>0.48</v>
      </c>
      <c r="M871">
        <v>7.93</v>
      </c>
      <c r="N871">
        <v>56.81</v>
      </c>
      <c r="O871">
        <v>22.61</v>
      </c>
      <c r="P871">
        <v>126.17</v>
      </c>
    </row>
    <row r="872" spans="1:16" x14ac:dyDescent="0.2">
      <c r="A872" t="s">
        <v>16</v>
      </c>
      <c r="C872" t="b">
        <v>1</v>
      </c>
      <c r="D872" t="s">
        <v>114</v>
      </c>
      <c r="E872" t="s">
        <v>18</v>
      </c>
      <c r="F872" t="b">
        <v>0</v>
      </c>
      <c r="G872">
        <v>9.25</v>
      </c>
      <c r="H872">
        <v>4.17</v>
      </c>
      <c r="I872">
        <v>20.54</v>
      </c>
      <c r="J872">
        <v>-0.51</v>
      </c>
      <c r="K872">
        <v>-5.23</v>
      </c>
      <c r="L872">
        <v>-0.27</v>
      </c>
      <c r="M872">
        <v>-1.1299999999999999</v>
      </c>
      <c r="N872">
        <v>19.25</v>
      </c>
      <c r="O872">
        <v>4.07</v>
      </c>
      <c r="P872">
        <v>42.75</v>
      </c>
    </row>
    <row r="873" spans="1:16" x14ac:dyDescent="0.2">
      <c r="A873" t="s">
        <v>16</v>
      </c>
      <c r="C873" t="b">
        <v>1</v>
      </c>
      <c r="D873" t="s">
        <v>114</v>
      </c>
      <c r="E873" t="s">
        <v>19</v>
      </c>
      <c r="F873" t="b">
        <v>0</v>
      </c>
      <c r="G873">
        <v>22.62</v>
      </c>
      <c r="H873">
        <v>10.199999999999999</v>
      </c>
      <c r="I873">
        <v>50.24</v>
      </c>
      <c r="J873">
        <v>-11.7</v>
      </c>
      <c r="K873">
        <v>-34.090000000000003</v>
      </c>
      <c r="L873">
        <v>-5.43</v>
      </c>
      <c r="M873">
        <v>-25.99</v>
      </c>
      <c r="N873">
        <v>49.82</v>
      </c>
      <c r="O873">
        <v>10.53</v>
      </c>
      <c r="P873">
        <v>110.65</v>
      </c>
    </row>
    <row r="874" spans="1:16" x14ac:dyDescent="0.2">
      <c r="A874" t="s">
        <v>16</v>
      </c>
      <c r="C874" t="b">
        <v>1</v>
      </c>
      <c r="D874" t="s">
        <v>114</v>
      </c>
      <c r="E874" t="s">
        <v>20</v>
      </c>
      <c r="F874" t="b">
        <v>0</v>
      </c>
      <c r="G874">
        <v>33.090000000000003</v>
      </c>
      <c r="H874">
        <v>14.93</v>
      </c>
      <c r="I874">
        <v>73.489999999999995</v>
      </c>
      <c r="J874">
        <v>-9.9</v>
      </c>
      <c r="K874">
        <v>-23.03</v>
      </c>
      <c r="L874">
        <v>-4.6399999999999997</v>
      </c>
      <c r="M874">
        <v>-21.99</v>
      </c>
      <c r="N874">
        <v>76.95</v>
      </c>
      <c r="O874">
        <v>16.27</v>
      </c>
      <c r="P874">
        <v>170.9</v>
      </c>
    </row>
    <row r="875" spans="1:16" x14ac:dyDescent="0.2">
      <c r="A875" t="s">
        <v>16</v>
      </c>
      <c r="C875" t="b">
        <v>1</v>
      </c>
      <c r="D875" t="s">
        <v>114</v>
      </c>
      <c r="E875" t="s">
        <v>21</v>
      </c>
      <c r="F875" t="b">
        <v>0</v>
      </c>
      <c r="G875">
        <v>29.13</v>
      </c>
      <c r="H875">
        <v>13.14</v>
      </c>
      <c r="I875">
        <v>64.7</v>
      </c>
      <c r="J875">
        <v>6.57</v>
      </c>
      <c r="K875">
        <v>29.12</v>
      </c>
      <c r="L875">
        <v>2.87</v>
      </c>
      <c r="M875">
        <v>14.59</v>
      </c>
      <c r="N875">
        <v>63.24</v>
      </c>
      <c r="O875">
        <v>13.37</v>
      </c>
      <c r="P875">
        <v>140.44999999999999</v>
      </c>
    </row>
    <row r="876" spans="1:16" x14ac:dyDescent="0.2">
      <c r="A876" t="s">
        <v>16</v>
      </c>
      <c r="C876" t="b">
        <v>1</v>
      </c>
      <c r="D876" t="s">
        <v>114</v>
      </c>
      <c r="E876" t="s">
        <v>22</v>
      </c>
      <c r="F876" t="b">
        <v>0</v>
      </c>
      <c r="G876">
        <v>53.89</v>
      </c>
      <c r="H876">
        <v>24.31</v>
      </c>
      <c r="I876">
        <v>119.69</v>
      </c>
      <c r="J876">
        <v>2.14</v>
      </c>
      <c r="K876">
        <v>4.1399999999999997</v>
      </c>
      <c r="L876">
        <v>0.75</v>
      </c>
      <c r="M876">
        <v>4.75</v>
      </c>
      <c r="N876">
        <v>115.09</v>
      </c>
      <c r="O876">
        <v>24.33</v>
      </c>
      <c r="P876">
        <v>255.61</v>
      </c>
    </row>
    <row r="877" spans="1:16" x14ac:dyDescent="0.2">
      <c r="A877" t="s">
        <v>16</v>
      </c>
      <c r="C877" t="b">
        <v>1</v>
      </c>
      <c r="D877" t="s">
        <v>114</v>
      </c>
      <c r="E877" t="s">
        <v>23</v>
      </c>
      <c r="F877" t="b">
        <v>0</v>
      </c>
      <c r="G877">
        <v>5.69</v>
      </c>
      <c r="H877">
        <v>2.57</v>
      </c>
      <c r="I877">
        <v>12.64</v>
      </c>
      <c r="J877">
        <v>-0.54</v>
      </c>
      <c r="K877">
        <v>-8.67</v>
      </c>
      <c r="L877">
        <v>-0.27</v>
      </c>
      <c r="M877">
        <v>-1.2</v>
      </c>
      <c r="N877">
        <v>12.22</v>
      </c>
      <c r="O877">
        <v>2.58</v>
      </c>
      <c r="P877">
        <v>27.14</v>
      </c>
    </row>
    <row r="878" spans="1:16" x14ac:dyDescent="0.2">
      <c r="A878" t="s">
        <v>16</v>
      </c>
      <c r="C878" t="b">
        <v>1</v>
      </c>
      <c r="D878" t="s">
        <v>114</v>
      </c>
      <c r="E878" t="s">
        <v>24</v>
      </c>
      <c r="F878" t="b">
        <v>0</v>
      </c>
      <c r="G878">
        <v>1.44</v>
      </c>
      <c r="H878">
        <v>0.65</v>
      </c>
      <c r="I878">
        <v>3.2</v>
      </c>
      <c r="J878">
        <v>0.04</v>
      </c>
      <c r="K878">
        <v>2.86</v>
      </c>
      <c r="L878">
        <v>0.01</v>
      </c>
      <c r="M878">
        <v>0.09</v>
      </c>
      <c r="N878">
        <v>3.03</v>
      </c>
      <c r="O878">
        <v>0.64</v>
      </c>
      <c r="P878">
        <v>6.73</v>
      </c>
    </row>
    <row r="879" spans="1:16" x14ac:dyDescent="0.2">
      <c r="A879" t="s">
        <v>16</v>
      </c>
      <c r="C879" t="b">
        <v>1</v>
      </c>
      <c r="D879" t="s">
        <v>114</v>
      </c>
      <c r="E879" t="s">
        <v>25</v>
      </c>
      <c r="F879" t="b">
        <v>0</v>
      </c>
      <c r="G879">
        <v>13.1</v>
      </c>
      <c r="H879">
        <v>5.91</v>
      </c>
      <c r="I879">
        <v>29.09</v>
      </c>
      <c r="J879">
        <v>1.37</v>
      </c>
      <c r="K879">
        <v>11.68</v>
      </c>
      <c r="L879">
        <v>0.56999999999999995</v>
      </c>
      <c r="M879">
        <v>3.04</v>
      </c>
      <c r="N879">
        <v>23.08</v>
      </c>
      <c r="O879">
        <v>4.88</v>
      </c>
      <c r="P879">
        <v>51.26</v>
      </c>
    </row>
    <row r="880" spans="1:16" x14ac:dyDescent="0.2">
      <c r="A880" t="s">
        <v>16</v>
      </c>
      <c r="C880" t="b">
        <v>1</v>
      </c>
      <c r="D880" t="s">
        <v>114</v>
      </c>
      <c r="E880" t="s">
        <v>26</v>
      </c>
      <c r="F880" t="b">
        <v>1</v>
      </c>
      <c r="G880">
        <v>221.7</v>
      </c>
      <c r="H880">
        <v>100</v>
      </c>
      <c r="I880">
        <v>492.38</v>
      </c>
      <c r="J880">
        <v>2.08</v>
      </c>
      <c r="K880">
        <v>0.95</v>
      </c>
      <c r="L880">
        <v>0</v>
      </c>
      <c r="M880">
        <v>4.62</v>
      </c>
      <c r="N880">
        <v>472.98</v>
      </c>
      <c r="O880">
        <v>100</v>
      </c>
      <c r="P880">
        <v>1050.46</v>
      </c>
    </row>
    <row r="881" spans="1:16" x14ac:dyDescent="0.2">
      <c r="A881" t="s">
        <v>16</v>
      </c>
      <c r="C881" t="b">
        <v>1</v>
      </c>
      <c r="D881" t="s">
        <v>114</v>
      </c>
      <c r="E881" t="s">
        <v>27</v>
      </c>
      <c r="F881" t="b">
        <v>0</v>
      </c>
      <c r="G881">
        <v>53.49</v>
      </c>
      <c r="H881">
        <v>24.13</v>
      </c>
      <c r="I881">
        <v>118.8</v>
      </c>
      <c r="J881">
        <v>14.61</v>
      </c>
      <c r="K881">
        <v>37.58</v>
      </c>
      <c r="L881">
        <v>6.43</v>
      </c>
      <c r="M881">
        <v>32.450000000000003</v>
      </c>
      <c r="N881">
        <v>110.3</v>
      </c>
      <c r="O881">
        <v>23.32</v>
      </c>
      <c r="P881">
        <v>244.97</v>
      </c>
    </row>
    <row r="882" spans="1:16" x14ac:dyDescent="0.2">
      <c r="A882" t="s">
        <v>16</v>
      </c>
      <c r="C882" t="b">
        <v>1</v>
      </c>
      <c r="D882" t="s">
        <v>115</v>
      </c>
      <c r="E882" t="s">
        <v>18</v>
      </c>
      <c r="F882" t="b">
        <v>0</v>
      </c>
      <c r="G882">
        <v>9.7799999999999994</v>
      </c>
      <c r="H882">
        <v>4.3899999999999997</v>
      </c>
      <c r="I882">
        <v>21.72</v>
      </c>
      <c r="J882">
        <v>-0.34</v>
      </c>
      <c r="K882">
        <v>-3.36</v>
      </c>
      <c r="L882">
        <v>-0.05</v>
      </c>
      <c r="M882">
        <v>-0.76</v>
      </c>
      <c r="N882">
        <v>29.03</v>
      </c>
      <c r="O882">
        <v>4.17</v>
      </c>
      <c r="P882">
        <v>64.47</v>
      </c>
    </row>
    <row r="883" spans="1:16" x14ac:dyDescent="0.2">
      <c r="A883" t="s">
        <v>16</v>
      </c>
      <c r="C883" t="b">
        <v>1</v>
      </c>
      <c r="D883" t="s">
        <v>115</v>
      </c>
      <c r="E883" t="s">
        <v>19</v>
      </c>
      <c r="F883" t="b">
        <v>0</v>
      </c>
      <c r="G883">
        <v>22.62</v>
      </c>
      <c r="H883">
        <v>10.16</v>
      </c>
      <c r="I883">
        <v>50.24</v>
      </c>
      <c r="J883">
        <v>-7.92</v>
      </c>
      <c r="K883">
        <v>-25.93</v>
      </c>
      <c r="L883">
        <v>-3.23</v>
      </c>
      <c r="M883">
        <v>-17.59</v>
      </c>
      <c r="N883">
        <v>72.44</v>
      </c>
      <c r="O883">
        <v>10.41</v>
      </c>
      <c r="P883">
        <v>160.88</v>
      </c>
    </row>
    <row r="884" spans="1:16" x14ac:dyDescent="0.2">
      <c r="A884" t="s">
        <v>16</v>
      </c>
      <c r="C884" t="b">
        <v>1</v>
      </c>
      <c r="D884" t="s">
        <v>115</v>
      </c>
      <c r="E884" t="s">
        <v>20</v>
      </c>
      <c r="F884" t="b">
        <v>0</v>
      </c>
      <c r="G884">
        <v>32.57</v>
      </c>
      <c r="H884">
        <v>14.63</v>
      </c>
      <c r="I884">
        <v>72.34</v>
      </c>
      <c r="J884">
        <v>-5.47</v>
      </c>
      <c r="K884">
        <v>-14.38</v>
      </c>
      <c r="L884">
        <v>-2.0499999999999998</v>
      </c>
      <c r="M884">
        <v>-12.15</v>
      </c>
      <c r="N884">
        <v>109.52</v>
      </c>
      <c r="O884">
        <v>15.74</v>
      </c>
      <c r="P884">
        <v>243.24</v>
      </c>
    </row>
    <row r="885" spans="1:16" x14ac:dyDescent="0.2">
      <c r="A885" t="s">
        <v>16</v>
      </c>
      <c r="C885" t="b">
        <v>1</v>
      </c>
      <c r="D885" t="s">
        <v>115</v>
      </c>
      <c r="E885" t="s">
        <v>21</v>
      </c>
      <c r="F885" t="b">
        <v>0</v>
      </c>
      <c r="G885">
        <v>34.94</v>
      </c>
      <c r="H885">
        <v>15.69</v>
      </c>
      <c r="I885">
        <v>77.599999999999994</v>
      </c>
      <c r="J885">
        <v>9.25</v>
      </c>
      <c r="K885">
        <v>36.01</v>
      </c>
      <c r="L885">
        <v>4.42</v>
      </c>
      <c r="M885">
        <v>20.54</v>
      </c>
      <c r="N885">
        <v>98.18</v>
      </c>
      <c r="O885">
        <v>14.11</v>
      </c>
      <c r="P885">
        <v>218.05</v>
      </c>
    </row>
    <row r="886" spans="1:16" x14ac:dyDescent="0.2">
      <c r="A886" t="s">
        <v>16</v>
      </c>
      <c r="C886" t="b">
        <v>1</v>
      </c>
      <c r="D886" t="s">
        <v>115</v>
      </c>
      <c r="E886" t="s">
        <v>22</v>
      </c>
      <c r="F886" t="b">
        <v>0</v>
      </c>
      <c r="G886">
        <v>51.3</v>
      </c>
      <c r="H886">
        <v>23.04</v>
      </c>
      <c r="I886">
        <v>113.93</v>
      </c>
      <c r="J886">
        <v>0.04</v>
      </c>
      <c r="K886">
        <v>0.08</v>
      </c>
      <c r="L886">
        <v>0.56000000000000005</v>
      </c>
      <c r="M886">
        <v>0.09</v>
      </c>
      <c r="N886">
        <v>166.39</v>
      </c>
      <c r="O886">
        <v>23.92</v>
      </c>
      <c r="P886">
        <v>369.54</v>
      </c>
    </row>
    <row r="887" spans="1:16" x14ac:dyDescent="0.2">
      <c r="A887" t="s">
        <v>16</v>
      </c>
      <c r="C887" t="b">
        <v>1</v>
      </c>
      <c r="D887" t="s">
        <v>115</v>
      </c>
      <c r="E887" t="s">
        <v>23</v>
      </c>
      <c r="F887" t="b">
        <v>0</v>
      </c>
      <c r="G887">
        <v>5.67</v>
      </c>
      <c r="H887">
        <v>2.5499999999999998</v>
      </c>
      <c r="I887">
        <v>12.59</v>
      </c>
      <c r="J887">
        <v>-0.69</v>
      </c>
      <c r="K887">
        <v>-10.85</v>
      </c>
      <c r="L887">
        <v>-0.24</v>
      </c>
      <c r="M887">
        <v>-1.53</v>
      </c>
      <c r="N887">
        <v>17.89</v>
      </c>
      <c r="O887">
        <v>2.57</v>
      </c>
      <c r="P887">
        <v>39.729999999999997</v>
      </c>
    </row>
    <row r="888" spans="1:16" x14ac:dyDescent="0.2">
      <c r="A888" t="s">
        <v>16</v>
      </c>
      <c r="C888" t="b">
        <v>1</v>
      </c>
      <c r="D888" t="s">
        <v>115</v>
      </c>
      <c r="E888" t="s">
        <v>24</v>
      </c>
      <c r="F888" t="b">
        <v>0</v>
      </c>
      <c r="G888">
        <v>1.41</v>
      </c>
      <c r="H888">
        <v>0.63</v>
      </c>
      <c r="I888">
        <v>3.13</v>
      </c>
      <c r="J888">
        <v>-0.13</v>
      </c>
      <c r="K888">
        <v>-8.44</v>
      </c>
      <c r="L888">
        <v>-0.05</v>
      </c>
      <c r="M888">
        <v>-0.28999999999999998</v>
      </c>
      <c r="N888">
        <v>4.4400000000000004</v>
      </c>
      <c r="O888">
        <v>0.64</v>
      </c>
      <c r="P888">
        <v>9.86</v>
      </c>
    </row>
    <row r="889" spans="1:16" x14ac:dyDescent="0.2">
      <c r="A889" t="s">
        <v>16</v>
      </c>
      <c r="C889" t="b">
        <v>1</v>
      </c>
      <c r="D889" t="s">
        <v>115</v>
      </c>
      <c r="E889" t="s">
        <v>25</v>
      </c>
      <c r="F889" t="b">
        <v>0</v>
      </c>
      <c r="G889">
        <v>21.86</v>
      </c>
      <c r="H889">
        <v>9.82</v>
      </c>
      <c r="I889">
        <v>48.55</v>
      </c>
      <c r="J889">
        <v>3.96</v>
      </c>
      <c r="K889">
        <v>22.12</v>
      </c>
      <c r="L889">
        <v>1.97</v>
      </c>
      <c r="M889">
        <v>8.7899999999999991</v>
      </c>
      <c r="N889">
        <v>44.94</v>
      </c>
      <c r="O889">
        <v>6.46</v>
      </c>
      <c r="P889">
        <v>99.81</v>
      </c>
    </row>
    <row r="890" spans="1:16" x14ac:dyDescent="0.2">
      <c r="A890" t="s">
        <v>16</v>
      </c>
      <c r="C890" t="b">
        <v>1</v>
      </c>
      <c r="D890" t="s">
        <v>115</v>
      </c>
      <c r="E890" t="s">
        <v>26</v>
      </c>
      <c r="F890" t="b">
        <v>1</v>
      </c>
      <c r="G890">
        <v>222.67</v>
      </c>
      <c r="H890">
        <v>100</v>
      </c>
      <c r="I890">
        <v>494.54</v>
      </c>
      <c r="J890">
        <v>-5.36</v>
      </c>
      <c r="K890">
        <v>-2.35</v>
      </c>
      <c r="L890">
        <v>0</v>
      </c>
      <c r="M890">
        <v>-11.9</v>
      </c>
      <c r="N890">
        <v>695.65</v>
      </c>
      <c r="O890">
        <v>100</v>
      </c>
      <c r="P890">
        <v>1545</v>
      </c>
    </row>
    <row r="891" spans="1:16" x14ac:dyDescent="0.2">
      <c r="A891" t="s">
        <v>16</v>
      </c>
      <c r="C891" t="b">
        <v>1</v>
      </c>
      <c r="D891" t="s">
        <v>115</v>
      </c>
      <c r="E891" t="s">
        <v>27</v>
      </c>
      <c r="F891" t="b">
        <v>0</v>
      </c>
      <c r="G891">
        <v>42.52</v>
      </c>
      <c r="H891">
        <v>19.100000000000001</v>
      </c>
      <c r="I891">
        <v>94.43</v>
      </c>
      <c r="J891">
        <v>-4.0599999999999996</v>
      </c>
      <c r="K891">
        <v>-8.7200000000000006</v>
      </c>
      <c r="L891">
        <v>-1.33</v>
      </c>
      <c r="M891">
        <v>-9.02</v>
      </c>
      <c r="N891">
        <v>152.82</v>
      </c>
      <c r="O891">
        <v>21.97</v>
      </c>
      <c r="P891">
        <v>339.4</v>
      </c>
    </row>
    <row r="892" spans="1:16" x14ac:dyDescent="0.2">
      <c r="A892" t="s">
        <v>16</v>
      </c>
      <c r="C892" t="b">
        <v>1</v>
      </c>
      <c r="D892" t="s">
        <v>116</v>
      </c>
      <c r="E892" t="s">
        <v>18</v>
      </c>
      <c r="F892" t="b">
        <v>0</v>
      </c>
      <c r="G892">
        <v>8.6300000000000008</v>
      </c>
      <c r="H892">
        <v>4.21</v>
      </c>
      <c r="I892">
        <v>19.170000000000002</v>
      </c>
      <c r="J892">
        <v>-0.47</v>
      </c>
      <c r="K892">
        <v>-5.16</v>
      </c>
      <c r="L892">
        <v>-0.32</v>
      </c>
      <c r="M892">
        <v>-1.04</v>
      </c>
      <c r="N892">
        <v>37.659999999999997</v>
      </c>
      <c r="O892">
        <v>4.18</v>
      </c>
      <c r="P892">
        <v>83.64</v>
      </c>
    </row>
    <row r="893" spans="1:16" x14ac:dyDescent="0.2">
      <c r="A893" t="s">
        <v>16</v>
      </c>
      <c r="C893" t="b">
        <v>1</v>
      </c>
      <c r="D893" t="s">
        <v>116</v>
      </c>
      <c r="E893" t="s">
        <v>19</v>
      </c>
      <c r="F893" t="b">
        <v>0</v>
      </c>
      <c r="G893">
        <v>17.309999999999999</v>
      </c>
      <c r="H893">
        <v>8.44</v>
      </c>
      <c r="I893">
        <v>38.44</v>
      </c>
      <c r="J893">
        <v>-7.08</v>
      </c>
      <c r="K893">
        <v>-29.03</v>
      </c>
      <c r="L893">
        <v>-3.7</v>
      </c>
      <c r="M893">
        <v>-15.72</v>
      </c>
      <c r="N893">
        <v>89.75</v>
      </c>
      <c r="O893">
        <v>9.9600000000000009</v>
      </c>
      <c r="P893">
        <v>199.33</v>
      </c>
    </row>
    <row r="894" spans="1:16" x14ac:dyDescent="0.2">
      <c r="A894" t="s">
        <v>16</v>
      </c>
      <c r="C894" t="b">
        <v>1</v>
      </c>
      <c r="D894" t="s">
        <v>116</v>
      </c>
      <c r="E894" t="s">
        <v>20</v>
      </c>
      <c r="F894" t="b">
        <v>0</v>
      </c>
      <c r="G894">
        <v>24.24</v>
      </c>
      <c r="H894">
        <v>11.82</v>
      </c>
      <c r="I894">
        <v>53.84</v>
      </c>
      <c r="J894">
        <v>-6.79</v>
      </c>
      <c r="K894">
        <v>-21.88</v>
      </c>
      <c r="L894">
        <v>-3.63</v>
      </c>
      <c r="M894">
        <v>-15.08</v>
      </c>
      <c r="N894">
        <v>133.76</v>
      </c>
      <c r="O894">
        <v>14.85</v>
      </c>
      <c r="P894">
        <v>297.07</v>
      </c>
    </row>
    <row r="895" spans="1:16" x14ac:dyDescent="0.2">
      <c r="A895" t="s">
        <v>16</v>
      </c>
      <c r="C895" t="b">
        <v>1</v>
      </c>
      <c r="D895" t="s">
        <v>116</v>
      </c>
      <c r="E895" t="s">
        <v>21</v>
      </c>
      <c r="F895" t="b">
        <v>0</v>
      </c>
      <c r="G895">
        <v>32.46</v>
      </c>
      <c r="H895">
        <v>15.83</v>
      </c>
      <c r="I895">
        <v>72.09</v>
      </c>
      <c r="J895">
        <v>7.85</v>
      </c>
      <c r="K895">
        <v>31.9</v>
      </c>
      <c r="L895">
        <v>3.58</v>
      </c>
      <c r="M895">
        <v>17.43</v>
      </c>
      <c r="N895">
        <v>130.63999999999999</v>
      </c>
      <c r="O895">
        <v>14.5</v>
      </c>
      <c r="P895">
        <v>290.14</v>
      </c>
    </row>
    <row r="896" spans="1:16" x14ac:dyDescent="0.2">
      <c r="A896" t="s">
        <v>16</v>
      </c>
      <c r="C896" t="b">
        <v>1</v>
      </c>
      <c r="D896" t="s">
        <v>116</v>
      </c>
      <c r="E896" t="s">
        <v>22</v>
      </c>
      <c r="F896" t="b">
        <v>0</v>
      </c>
      <c r="G896">
        <v>45.29</v>
      </c>
      <c r="H896">
        <v>22.09</v>
      </c>
      <c r="I896">
        <v>100.59</v>
      </c>
      <c r="J896">
        <v>-2.09</v>
      </c>
      <c r="K896">
        <v>-4.41</v>
      </c>
      <c r="L896">
        <v>-1.5</v>
      </c>
      <c r="M896">
        <v>-4.6399999999999997</v>
      </c>
      <c r="N896">
        <v>211.68</v>
      </c>
      <c r="O896">
        <v>23.5</v>
      </c>
      <c r="P896">
        <v>470.13</v>
      </c>
    </row>
    <row r="897" spans="1:16" x14ac:dyDescent="0.2">
      <c r="A897" t="s">
        <v>16</v>
      </c>
      <c r="C897" t="b">
        <v>1</v>
      </c>
      <c r="D897" t="s">
        <v>116</v>
      </c>
      <c r="E897" t="s">
        <v>23</v>
      </c>
      <c r="F897" t="b">
        <v>0</v>
      </c>
      <c r="G897">
        <v>5.33</v>
      </c>
      <c r="H897">
        <v>2.6</v>
      </c>
      <c r="I897">
        <v>11.84</v>
      </c>
      <c r="J897">
        <v>0.02</v>
      </c>
      <c r="K897">
        <v>0.38</v>
      </c>
      <c r="L897">
        <v>-0.04</v>
      </c>
      <c r="M897">
        <v>0.04</v>
      </c>
      <c r="N897">
        <v>23.22</v>
      </c>
      <c r="O897">
        <v>2.58</v>
      </c>
      <c r="P897">
        <v>51.57</v>
      </c>
    </row>
    <row r="898" spans="1:16" x14ac:dyDescent="0.2">
      <c r="A898" t="s">
        <v>16</v>
      </c>
      <c r="C898" t="b">
        <v>1</v>
      </c>
      <c r="D898" t="s">
        <v>116</v>
      </c>
      <c r="E898" t="s">
        <v>24</v>
      </c>
      <c r="F898" t="b">
        <v>0</v>
      </c>
      <c r="G898">
        <v>1.33</v>
      </c>
      <c r="H898">
        <v>0.65</v>
      </c>
      <c r="I898">
        <v>2.95</v>
      </c>
      <c r="J898">
        <v>-0.11</v>
      </c>
      <c r="K898">
        <v>-7.64</v>
      </c>
      <c r="L898">
        <v>-7.0000000000000007E-2</v>
      </c>
      <c r="M898">
        <v>-0.24</v>
      </c>
      <c r="N898">
        <v>5.77</v>
      </c>
      <c r="O898">
        <v>0.64</v>
      </c>
      <c r="P898">
        <v>12.81</v>
      </c>
    </row>
    <row r="899" spans="1:16" x14ac:dyDescent="0.2">
      <c r="A899" t="s">
        <v>16</v>
      </c>
      <c r="C899" t="b">
        <v>1</v>
      </c>
      <c r="D899" t="s">
        <v>116</v>
      </c>
      <c r="E899" t="s">
        <v>25</v>
      </c>
      <c r="F899" t="b">
        <v>0</v>
      </c>
      <c r="G899">
        <v>29.66</v>
      </c>
      <c r="H899">
        <v>14.47</v>
      </c>
      <c r="I899">
        <v>65.87</v>
      </c>
      <c r="J899">
        <v>5.57</v>
      </c>
      <c r="K899">
        <v>23.12</v>
      </c>
      <c r="L899">
        <v>2.48</v>
      </c>
      <c r="M899">
        <v>12.37</v>
      </c>
      <c r="N899">
        <v>74.599999999999994</v>
      </c>
      <c r="O899">
        <v>8.2799999999999994</v>
      </c>
      <c r="P899">
        <v>165.68</v>
      </c>
    </row>
    <row r="900" spans="1:16" x14ac:dyDescent="0.2">
      <c r="A900" t="s">
        <v>16</v>
      </c>
      <c r="C900" t="b">
        <v>1</v>
      </c>
      <c r="D900" t="s">
        <v>116</v>
      </c>
      <c r="E900" t="s">
        <v>26</v>
      </c>
      <c r="F900" t="b">
        <v>1</v>
      </c>
      <c r="G900">
        <v>205.02</v>
      </c>
      <c r="H900">
        <v>100</v>
      </c>
      <c r="I900">
        <v>455.34</v>
      </c>
      <c r="J900">
        <v>4.16</v>
      </c>
      <c r="K900">
        <v>2.0699999999999998</v>
      </c>
      <c r="L900">
        <v>0</v>
      </c>
      <c r="M900">
        <v>9.24</v>
      </c>
      <c r="N900">
        <v>900.67</v>
      </c>
      <c r="O900">
        <v>100</v>
      </c>
      <c r="P900">
        <v>2000.34</v>
      </c>
    </row>
    <row r="901" spans="1:16" x14ac:dyDescent="0.2">
      <c r="A901" t="s">
        <v>16</v>
      </c>
      <c r="C901" t="b">
        <v>1</v>
      </c>
      <c r="D901" t="s">
        <v>116</v>
      </c>
      <c r="E901" t="s">
        <v>27</v>
      </c>
      <c r="F901" t="b">
        <v>0</v>
      </c>
      <c r="G901">
        <v>40.770000000000003</v>
      </c>
      <c r="H901">
        <v>19.89</v>
      </c>
      <c r="I901">
        <v>90.55</v>
      </c>
      <c r="J901">
        <v>7.26</v>
      </c>
      <c r="K901">
        <v>21.67</v>
      </c>
      <c r="L901">
        <v>3.21</v>
      </c>
      <c r="M901">
        <v>16.12</v>
      </c>
      <c r="N901">
        <v>193.59</v>
      </c>
      <c r="O901">
        <v>21.49</v>
      </c>
      <c r="P901">
        <v>429.95</v>
      </c>
    </row>
    <row r="902" spans="1:16" x14ac:dyDescent="0.2">
      <c r="A902" t="s">
        <v>16</v>
      </c>
      <c r="C902" t="b">
        <v>1</v>
      </c>
      <c r="D902" t="s">
        <v>117</v>
      </c>
      <c r="E902" t="s">
        <v>18</v>
      </c>
      <c r="F902" t="b">
        <v>0</v>
      </c>
      <c r="G902">
        <v>8.52</v>
      </c>
      <c r="H902">
        <v>4.25</v>
      </c>
      <c r="I902">
        <v>18.920000000000002</v>
      </c>
      <c r="J902">
        <v>0.15</v>
      </c>
      <c r="K902">
        <v>1.79</v>
      </c>
      <c r="L902">
        <v>-0.01</v>
      </c>
      <c r="M902">
        <v>0.33</v>
      </c>
      <c r="N902">
        <v>46.18</v>
      </c>
      <c r="O902">
        <v>4.1900000000000004</v>
      </c>
      <c r="P902">
        <v>102.56</v>
      </c>
    </row>
    <row r="903" spans="1:16" x14ac:dyDescent="0.2">
      <c r="A903" t="s">
        <v>16</v>
      </c>
      <c r="C903" t="b">
        <v>1</v>
      </c>
      <c r="D903" t="s">
        <v>117</v>
      </c>
      <c r="E903" t="s">
        <v>19</v>
      </c>
      <c r="F903" t="b">
        <v>0</v>
      </c>
      <c r="G903">
        <v>16.34</v>
      </c>
      <c r="H903">
        <v>8.15</v>
      </c>
      <c r="I903">
        <v>36.29</v>
      </c>
      <c r="J903">
        <v>-2.96</v>
      </c>
      <c r="K903">
        <v>-15.34</v>
      </c>
      <c r="L903">
        <v>-1.68</v>
      </c>
      <c r="M903">
        <v>-6.57</v>
      </c>
      <c r="N903">
        <v>106.09</v>
      </c>
      <c r="O903">
        <v>9.6300000000000008</v>
      </c>
      <c r="P903">
        <v>235.62</v>
      </c>
    </row>
    <row r="904" spans="1:16" x14ac:dyDescent="0.2">
      <c r="A904" t="s">
        <v>16</v>
      </c>
      <c r="C904" t="b">
        <v>1</v>
      </c>
      <c r="D904" t="s">
        <v>117</v>
      </c>
      <c r="E904" t="s">
        <v>20</v>
      </c>
      <c r="F904" t="b">
        <v>0</v>
      </c>
      <c r="G904">
        <v>23.42</v>
      </c>
      <c r="H904">
        <v>11.68</v>
      </c>
      <c r="I904">
        <v>52.01</v>
      </c>
      <c r="J904">
        <v>-4.46</v>
      </c>
      <c r="K904">
        <v>-16</v>
      </c>
      <c r="L904">
        <v>-2.5099999999999998</v>
      </c>
      <c r="M904">
        <v>-9.91</v>
      </c>
      <c r="N904">
        <v>157.18</v>
      </c>
      <c r="O904">
        <v>14.27</v>
      </c>
      <c r="P904">
        <v>349.09</v>
      </c>
    </row>
    <row r="905" spans="1:16" x14ac:dyDescent="0.2">
      <c r="A905" t="s">
        <v>16</v>
      </c>
      <c r="C905" t="b">
        <v>1</v>
      </c>
      <c r="D905" t="s">
        <v>117</v>
      </c>
      <c r="E905" t="s">
        <v>21</v>
      </c>
      <c r="F905" t="b">
        <v>0</v>
      </c>
      <c r="G905">
        <v>34.24</v>
      </c>
      <c r="H905">
        <v>17.07</v>
      </c>
      <c r="I905">
        <v>76.05</v>
      </c>
      <c r="J905">
        <v>5.01</v>
      </c>
      <c r="K905">
        <v>17.14</v>
      </c>
      <c r="L905">
        <v>2.19</v>
      </c>
      <c r="M905">
        <v>11.13</v>
      </c>
      <c r="N905">
        <v>164.88</v>
      </c>
      <c r="O905">
        <v>14.97</v>
      </c>
      <c r="P905">
        <v>366.19</v>
      </c>
    </row>
    <row r="906" spans="1:16" x14ac:dyDescent="0.2">
      <c r="A906" t="s">
        <v>16</v>
      </c>
      <c r="C906" t="b">
        <v>1</v>
      </c>
      <c r="D906" t="s">
        <v>117</v>
      </c>
      <c r="E906" t="s">
        <v>22</v>
      </c>
      <c r="F906" t="b">
        <v>0</v>
      </c>
      <c r="G906">
        <v>45.75</v>
      </c>
      <c r="H906">
        <v>22.81</v>
      </c>
      <c r="I906">
        <v>101.61</v>
      </c>
      <c r="J906">
        <v>2.29</v>
      </c>
      <c r="K906">
        <v>5.27</v>
      </c>
      <c r="L906">
        <v>0.69</v>
      </c>
      <c r="M906">
        <v>5.09</v>
      </c>
      <c r="N906">
        <v>257.43</v>
      </c>
      <c r="O906">
        <v>23.38</v>
      </c>
      <c r="P906">
        <v>571.74</v>
      </c>
    </row>
    <row r="907" spans="1:16" x14ac:dyDescent="0.2">
      <c r="A907" t="s">
        <v>16</v>
      </c>
      <c r="C907" t="b">
        <v>1</v>
      </c>
      <c r="D907" t="s">
        <v>117</v>
      </c>
      <c r="E907" t="s">
        <v>23</v>
      </c>
      <c r="F907" t="b">
        <v>0</v>
      </c>
      <c r="G907">
        <v>5.25</v>
      </c>
      <c r="H907">
        <v>2.62</v>
      </c>
      <c r="I907">
        <v>11.66</v>
      </c>
      <c r="J907">
        <v>0</v>
      </c>
      <c r="K907">
        <v>0</v>
      </c>
      <c r="L907">
        <v>-0.05</v>
      </c>
      <c r="M907">
        <v>0</v>
      </c>
      <c r="N907">
        <v>28.47</v>
      </c>
      <c r="O907">
        <v>2.59</v>
      </c>
      <c r="P907">
        <v>63.23</v>
      </c>
    </row>
    <row r="908" spans="1:16" x14ac:dyDescent="0.2">
      <c r="A908" t="s">
        <v>16</v>
      </c>
      <c r="C908" t="b">
        <v>1</v>
      </c>
      <c r="D908" t="s">
        <v>117</v>
      </c>
      <c r="E908" t="s">
        <v>24</v>
      </c>
      <c r="F908" t="b">
        <v>0</v>
      </c>
      <c r="G908">
        <v>1.38</v>
      </c>
      <c r="H908">
        <v>0.69</v>
      </c>
      <c r="I908">
        <v>3.06</v>
      </c>
      <c r="J908">
        <v>-0.02</v>
      </c>
      <c r="K908">
        <v>-1.43</v>
      </c>
      <c r="L908">
        <v>-0.02</v>
      </c>
      <c r="M908">
        <v>-0.04</v>
      </c>
      <c r="N908">
        <v>7.15</v>
      </c>
      <c r="O908">
        <v>0.65</v>
      </c>
      <c r="P908">
        <v>15.88</v>
      </c>
    </row>
    <row r="909" spans="1:16" x14ac:dyDescent="0.2">
      <c r="A909" t="s">
        <v>16</v>
      </c>
      <c r="C909" t="b">
        <v>1</v>
      </c>
      <c r="D909" t="s">
        <v>117</v>
      </c>
      <c r="E909" t="s">
        <v>25</v>
      </c>
      <c r="F909" t="b">
        <v>0</v>
      </c>
      <c r="G909">
        <v>37.21</v>
      </c>
      <c r="H909">
        <v>18.55</v>
      </c>
      <c r="I909">
        <v>82.64</v>
      </c>
      <c r="J909">
        <v>7.31</v>
      </c>
      <c r="K909">
        <v>24.45</v>
      </c>
      <c r="L909">
        <v>3.33</v>
      </c>
      <c r="M909">
        <v>16.239999999999998</v>
      </c>
      <c r="N909">
        <v>111.81</v>
      </c>
      <c r="O909">
        <v>10.15</v>
      </c>
      <c r="P909">
        <v>248.32</v>
      </c>
    </row>
    <row r="910" spans="1:16" x14ac:dyDescent="0.2">
      <c r="A910" t="s">
        <v>16</v>
      </c>
      <c r="C910" t="b">
        <v>1</v>
      </c>
      <c r="D910" t="s">
        <v>117</v>
      </c>
      <c r="E910" t="s">
        <v>26</v>
      </c>
      <c r="F910" t="b">
        <v>1</v>
      </c>
      <c r="G910">
        <v>200.56</v>
      </c>
      <c r="H910">
        <v>100</v>
      </c>
      <c r="I910">
        <v>445.43</v>
      </c>
      <c r="J910">
        <v>4.13</v>
      </c>
      <c r="K910">
        <v>2.1</v>
      </c>
      <c r="L910">
        <v>0</v>
      </c>
      <c r="M910">
        <v>9.17</v>
      </c>
      <c r="N910">
        <v>1101.23</v>
      </c>
      <c r="O910">
        <v>100</v>
      </c>
      <c r="P910">
        <v>2445.77</v>
      </c>
    </row>
    <row r="911" spans="1:16" x14ac:dyDescent="0.2">
      <c r="A911" t="s">
        <v>16</v>
      </c>
      <c r="C911" t="b">
        <v>1</v>
      </c>
      <c r="D911" t="s">
        <v>117</v>
      </c>
      <c r="E911" t="s">
        <v>27</v>
      </c>
      <c r="F911" t="b">
        <v>0</v>
      </c>
      <c r="G911">
        <v>28.45</v>
      </c>
      <c r="H911">
        <v>14.19</v>
      </c>
      <c r="I911">
        <v>63.19</v>
      </c>
      <c r="J911">
        <v>-3.19</v>
      </c>
      <c r="K911">
        <v>-10.08</v>
      </c>
      <c r="L911">
        <v>-1.92</v>
      </c>
      <c r="M911">
        <v>-7.08</v>
      </c>
      <c r="N911">
        <v>222.04</v>
      </c>
      <c r="O911">
        <v>20.16</v>
      </c>
      <c r="P911">
        <v>493.14</v>
      </c>
    </row>
    <row r="912" spans="1:16" x14ac:dyDescent="0.2">
      <c r="A912" t="s">
        <v>16</v>
      </c>
      <c r="C912" t="b">
        <v>1</v>
      </c>
      <c r="D912" t="s">
        <v>118</v>
      </c>
      <c r="E912" t="s">
        <v>18</v>
      </c>
      <c r="F912" t="b">
        <v>0</v>
      </c>
      <c r="G912">
        <v>7.59</v>
      </c>
      <c r="H912">
        <v>3.82</v>
      </c>
      <c r="I912">
        <v>16.86</v>
      </c>
      <c r="J912">
        <v>0.28000000000000003</v>
      </c>
      <c r="K912">
        <v>3.83</v>
      </c>
      <c r="L912">
        <v>-0.02</v>
      </c>
      <c r="M912">
        <v>0.62</v>
      </c>
      <c r="N912">
        <v>53.77</v>
      </c>
      <c r="O912">
        <v>4.1399999999999997</v>
      </c>
      <c r="P912">
        <v>119.42</v>
      </c>
    </row>
    <row r="913" spans="1:16" x14ac:dyDescent="0.2">
      <c r="A913" t="s">
        <v>16</v>
      </c>
      <c r="C913" t="b">
        <v>1</v>
      </c>
      <c r="D913" t="s">
        <v>118</v>
      </c>
      <c r="E913" t="s">
        <v>19</v>
      </c>
      <c r="F913" t="b">
        <v>0</v>
      </c>
      <c r="G913">
        <v>17.28</v>
      </c>
      <c r="H913">
        <v>8.69</v>
      </c>
      <c r="I913">
        <v>38.380000000000003</v>
      </c>
      <c r="J913">
        <v>-2.1800000000000002</v>
      </c>
      <c r="K913">
        <v>-11.2</v>
      </c>
      <c r="L913">
        <v>-1.53</v>
      </c>
      <c r="M913">
        <v>-4.84</v>
      </c>
      <c r="N913">
        <v>123.37</v>
      </c>
      <c r="O913">
        <v>9.49</v>
      </c>
      <c r="P913">
        <v>274</v>
      </c>
    </row>
    <row r="914" spans="1:16" x14ac:dyDescent="0.2">
      <c r="A914" t="s">
        <v>16</v>
      </c>
      <c r="C914" t="b">
        <v>1</v>
      </c>
      <c r="D914" t="s">
        <v>118</v>
      </c>
      <c r="E914" t="s">
        <v>20</v>
      </c>
      <c r="F914" t="b">
        <v>0</v>
      </c>
      <c r="G914">
        <v>25.23</v>
      </c>
      <c r="H914">
        <v>12.69</v>
      </c>
      <c r="I914">
        <v>56.03</v>
      </c>
      <c r="J914">
        <v>-7.77</v>
      </c>
      <c r="K914">
        <v>-23.55</v>
      </c>
      <c r="L914">
        <v>-4.63</v>
      </c>
      <c r="M914">
        <v>-17.260000000000002</v>
      </c>
      <c r="N914">
        <v>182.41</v>
      </c>
      <c r="O914">
        <v>14.03</v>
      </c>
      <c r="P914">
        <v>405.12</v>
      </c>
    </row>
    <row r="915" spans="1:16" x14ac:dyDescent="0.2">
      <c r="A915" t="s">
        <v>16</v>
      </c>
      <c r="C915" t="b">
        <v>1</v>
      </c>
      <c r="D915" t="s">
        <v>118</v>
      </c>
      <c r="E915" t="s">
        <v>21</v>
      </c>
      <c r="F915" t="b">
        <v>0</v>
      </c>
      <c r="G915">
        <v>31.6</v>
      </c>
      <c r="H915">
        <v>15.9</v>
      </c>
      <c r="I915">
        <v>70.180000000000007</v>
      </c>
      <c r="J915">
        <v>4.21</v>
      </c>
      <c r="K915">
        <v>15.37</v>
      </c>
      <c r="L915">
        <v>1.52</v>
      </c>
      <c r="M915">
        <v>9.35</v>
      </c>
      <c r="N915">
        <v>196.48</v>
      </c>
      <c r="O915">
        <v>15.11</v>
      </c>
      <c r="P915">
        <v>436.37</v>
      </c>
    </row>
    <row r="916" spans="1:16" x14ac:dyDescent="0.2">
      <c r="A916" t="s">
        <v>16</v>
      </c>
      <c r="C916" t="b">
        <v>1</v>
      </c>
      <c r="D916" t="s">
        <v>118</v>
      </c>
      <c r="E916" t="s">
        <v>22</v>
      </c>
      <c r="F916" t="b">
        <v>0</v>
      </c>
      <c r="G916">
        <v>45.55</v>
      </c>
      <c r="H916">
        <v>22.91</v>
      </c>
      <c r="I916">
        <v>101.16</v>
      </c>
      <c r="J916">
        <v>2.6</v>
      </c>
      <c r="K916">
        <v>6.05</v>
      </c>
      <c r="L916">
        <v>0.36</v>
      </c>
      <c r="M916">
        <v>5.77</v>
      </c>
      <c r="N916">
        <v>302.98</v>
      </c>
      <c r="O916">
        <v>23.31</v>
      </c>
      <c r="P916">
        <v>672.9</v>
      </c>
    </row>
    <row r="917" spans="1:16" x14ac:dyDescent="0.2">
      <c r="A917" t="s">
        <v>16</v>
      </c>
      <c r="C917" t="b">
        <v>1</v>
      </c>
      <c r="D917" t="s">
        <v>118</v>
      </c>
      <c r="E917" t="s">
        <v>23</v>
      </c>
      <c r="F917" t="b">
        <v>0</v>
      </c>
      <c r="G917">
        <v>5.8</v>
      </c>
      <c r="H917">
        <v>2.92</v>
      </c>
      <c r="I917">
        <v>12.88</v>
      </c>
      <c r="J917">
        <v>1.1599999999999999</v>
      </c>
      <c r="K917">
        <v>25</v>
      </c>
      <c r="L917">
        <v>0.48</v>
      </c>
      <c r="M917">
        <v>2.58</v>
      </c>
      <c r="N917">
        <v>34.270000000000003</v>
      </c>
      <c r="O917">
        <v>2.64</v>
      </c>
      <c r="P917">
        <v>76.11</v>
      </c>
    </row>
    <row r="918" spans="1:16" x14ac:dyDescent="0.2">
      <c r="A918" t="s">
        <v>16</v>
      </c>
      <c r="C918" t="b">
        <v>1</v>
      </c>
      <c r="D918" t="s">
        <v>118</v>
      </c>
      <c r="E918" t="s">
        <v>24</v>
      </c>
      <c r="F918" t="b">
        <v>0</v>
      </c>
      <c r="G918">
        <v>1.28</v>
      </c>
      <c r="H918">
        <v>0.64</v>
      </c>
      <c r="I918">
        <v>2.84</v>
      </c>
      <c r="J918">
        <v>0.01</v>
      </c>
      <c r="K918">
        <v>0.79</v>
      </c>
      <c r="L918">
        <v>-0.03</v>
      </c>
      <c r="M918">
        <v>0.02</v>
      </c>
      <c r="N918">
        <v>8.43</v>
      </c>
      <c r="O918">
        <v>0.65</v>
      </c>
      <c r="P918">
        <v>18.72</v>
      </c>
    </row>
    <row r="919" spans="1:16" x14ac:dyDescent="0.2">
      <c r="A919" t="s">
        <v>16</v>
      </c>
      <c r="C919" t="b">
        <v>1</v>
      </c>
      <c r="D919" t="s">
        <v>118</v>
      </c>
      <c r="E919" t="s">
        <v>25</v>
      </c>
      <c r="F919" t="b">
        <v>0</v>
      </c>
      <c r="G919">
        <v>37.69</v>
      </c>
      <c r="H919">
        <v>18.96</v>
      </c>
      <c r="I919">
        <v>83.71</v>
      </c>
      <c r="J919">
        <v>4.66</v>
      </c>
      <c r="K919">
        <v>14.11</v>
      </c>
      <c r="L919">
        <v>1.62</v>
      </c>
      <c r="M919">
        <v>10.35</v>
      </c>
      <c r="N919">
        <v>149.5</v>
      </c>
      <c r="O919">
        <v>11.5</v>
      </c>
      <c r="P919">
        <v>332.03</v>
      </c>
    </row>
    <row r="920" spans="1:16" x14ac:dyDescent="0.2">
      <c r="A920" t="s">
        <v>16</v>
      </c>
      <c r="C920" t="b">
        <v>1</v>
      </c>
      <c r="D920" t="s">
        <v>118</v>
      </c>
      <c r="E920" t="s">
        <v>26</v>
      </c>
      <c r="F920" t="b">
        <v>1</v>
      </c>
      <c r="G920">
        <v>198.78</v>
      </c>
      <c r="H920">
        <v>100</v>
      </c>
      <c r="I920">
        <v>441.48</v>
      </c>
      <c r="J920">
        <v>8.2899999999999991</v>
      </c>
      <c r="K920">
        <v>4.3499999999999996</v>
      </c>
      <c r="L920">
        <v>0</v>
      </c>
      <c r="M920">
        <v>18.41</v>
      </c>
      <c r="N920">
        <v>1300.01</v>
      </c>
      <c r="O920">
        <v>100</v>
      </c>
      <c r="P920">
        <v>2887.25</v>
      </c>
    </row>
    <row r="921" spans="1:16" x14ac:dyDescent="0.2">
      <c r="A921" t="s">
        <v>16</v>
      </c>
      <c r="C921" t="b">
        <v>1</v>
      </c>
      <c r="D921" t="s">
        <v>118</v>
      </c>
      <c r="E921" t="s">
        <v>27</v>
      </c>
      <c r="F921" t="b">
        <v>0</v>
      </c>
      <c r="G921">
        <v>26.76</v>
      </c>
      <c r="H921">
        <v>13.46</v>
      </c>
      <c r="I921">
        <v>59.43</v>
      </c>
      <c r="J921">
        <v>5.32</v>
      </c>
      <c r="K921">
        <v>24.81</v>
      </c>
      <c r="L921">
        <v>2.2000000000000002</v>
      </c>
      <c r="M921">
        <v>11.82</v>
      </c>
      <c r="N921">
        <v>248.8</v>
      </c>
      <c r="O921">
        <v>19.14</v>
      </c>
      <c r="P921">
        <v>552.57000000000005</v>
      </c>
    </row>
    <row r="922" spans="1:16" x14ac:dyDescent="0.2">
      <c r="A922" t="s">
        <v>16</v>
      </c>
      <c r="C922" t="b">
        <v>1</v>
      </c>
      <c r="D922" t="s">
        <v>119</v>
      </c>
      <c r="E922" t="s">
        <v>18</v>
      </c>
      <c r="F922" t="b">
        <v>0</v>
      </c>
      <c r="G922">
        <v>7.66</v>
      </c>
      <c r="H922">
        <v>3.58</v>
      </c>
      <c r="I922">
        <v>17.010000000000002</v>
      </c>
      <c r="J922">
        <v>0.06</v>
      </c>
      <c r="K922">
        <v>0.79</v>
      </c>
      <c r="L922">
        <v>-0.17</v>
      </c>
      <c r="M922">
        <v>0.13</v>
      </c>
      <c r="N922">
        <v>61.43</v>
      </c>
      <c r="O922">
        <v>4.0599999999999996</v>
      </c>
      <c r="P922">
        <v>136.43</v>
      </c>
    </row>
    <row r="923" spans="1:16" x14ac:dyDescent="0.2">
      <c r="A923" t="s">
        <v>16</v>
      </c>
      <c r="C923" t="b">
        <v>1</v>
      </c>
      <c r="D923" t="s">
        <v>119</v>
      </c>
      <c r="E923" t="s">
        <v>19</v>
      </c>
      <c r="F923" t="b">
        <v>0</v>
      </c>
      <c r="G923">
        <v>18.18</v>
      </c>
      <c r="H923">
        <v>8.49</v>
      </c>
      <c r="I923">
        <v>40.380000000000003</v>
      </c>
      <c r="J923">
        <v>-1.23</v>
      </c>
      <c r="K923">
        <v>-6.34</v>
      </c>
      <c r="L923">
        <v>-1.08</v>
      </c>
      <c r="M923">
        <v>-2.73</v>
      </c>
      <c r="N923">
        <v>141.55000000000001</v>
      </c>
      <c r="O923">
        <v>9.35</v>
      </c>
      <c r="P923">
        <v>314.37</v>
      </c>
    </row>
    <row r="924" spans="1:16" x14ac:dyDescent="0.2">
      <c r="A924" t="s">
        <v>16</v>
      </c>
      <c r="C924" t="b">
        <v>1</v>
      </c>
      <c r="D924" t="s">
        <v>119</v>
      </c>
      <c r="E924" t="s">
        <v>20</v>
      </c>
      <c r="F924" t="b">
        <v>0</v>
      </c>
      <c r="G924">
        <v>32.17</v>
      </c>
      <c r="H924">
        <v>15.03</v>
      </c>
      <c r="I924">
        <v>71.45</v>
      </c>
      <c r="J924">
        <v>-4.1100000000000003</v>
      </c>
      <c r="K924">
        <v>-11.33</v>
      </c>
      <c r="L924">
        <v>-2.85</v>
      </c>
      <c r="M924">
        <v>-9.1300000000000008</v>
      </c>
      <c r="N924">
        <v>214.58</v>
      </c>
      <c r="O924">
        <v>14.17</v>
      </c>
      <c r="P924">
        <v>476.57</v>
      </c>
    </row>
    <row r="925" spans="1:16" x14ac:dyDescent="0.2">
      <c r="A925" t="s">
        <v>16</v>
      </c>
      <c r="C925" t="b">
        <v>1</v>
      </c>
      <c r="D925" t="s">
        <v>119</v>
      </c>
      <c r="E925" t="s">
        <v>21</v>
      </c>
      <c r="F925" t="b">
        <v>0</v>
      </c>
      <c r="G925">
        <v>29.48</v>
      </c>
      <c r="H925">
        <v>13.77</v>
      </c>
      <c r="I925">
        <v>65.47</v>
      </c>
      <c r="J925">
        <v>6.9</v>
      </c>
      <c r="K925">
        <v>30.56</v>
      </c>
      <c r="L925">
        <v>2.64</v>
      </c>
      <c r="M925">
        <v>15.32</v>
      </c>
      <c r="N925">
        <v>225.96</v>
      </c>
      <c r="O925">
        <v>14.92</v>
      </c>
      <c r="P925">
        <v>501.84</v>
      </c>
    </row>
    <row r="926" spans="1:16" x14ac:dyDescent="0.2">
      <c r="A926" t="s">
        <v>16</v>
      </c>
      <c r="C926" t="b">
        <v>1</v>
      </c>
      <c r="D926" t="s">
        <v>119</v>
      </c>
      <c r="E926" t="s">
        <v>22</v>
      </c>
      <c r="F926" t="b">
        <v>0</v>
      </c>
      <c r="G926">
        <v>51.22</v>
      </c>
      <c r="H926">
        <v>23.93</v>
      </c>
      <c r="I926">
        <v>113.76</v>
      </c>
      <c r="J926">
        <v>4.2</v>
      </c>
      <c r="K926">
        <v>8.93</v>
      </c>
      <c r="L926">
        <v>0.75</v>
      </c>
      <c r="M926">
        <v>9.33</v>
      </c>
      <c r="N926">
        <v>354.2</v>
      </c>
      <c r="O926">
        <v>23.39</v>
      </c>
      <c r="P926">
        <v>786.66</v>
      </c>
    </row>
    <row r="927" spans="1:16" x14ac:dyDescent="0.2">
      <c r="A927" t="s">
        <v>16</v>
      </c>
      <c r="C927" t="b">
        <v>1</v>
      </c>
      <c r="D927" t="s">
        <v>119</v>
      </c>
      <c r="E927" t="s">
        <v>23</v>
      </c>
      <c r="F927" t="b">
        <v>0</v>
      </c>
      <c r="G927">
        <v>6.1</v>
      </c>
      <c r="H927">
        <v>2.85</v>
      </c>
      <c r="I927">
        <v>13.55</v>
      </c>
      <c r="J927">
        <v>0.79</v>
      </c>
      <c r="K927">
        <v>14.88</v>
      </c>
      <c r="L927">
        <v>0.23</v>
      </c>
      <c r="M927">
        <v>1.75</v>
      </c>
      <c r="N927">
        <v>40.369999999999997</v>
      </c>
      <c r="O927">
        <v>2.67</v>
      </c>
      <c r="P927">
        <v>89.66</v>
      </c>
    </row>
    <row r="928" spans="1:16" x14ac:dyDescent="0.2">
      <c r="A928" t="s">
        <v>16</v>
      </c>
      <c r="C928" t="b">
        <v>1</v>
      </c>
      <c r="D928" t="s">
        <v>119</v>
      </c>
      <c r="E928" t="s">
        <v>24</v>
      </c>
      <c r="F928" t="b">
        <v>0</v>
      </c>
      <c r="G928">
        <v>1.37</v>
      </c>
      <c r="H928">
        <v>0.64</v>
      </c>
      <c r="I928">
        <v>3.04</v>
      </c>
      <c r="J928">
        <v>7.0000000000000007E-2</v>
      </c>
      <c r="K928">
        <v>5.38</v>
      </c>
      <c r="L928">
        <v>0</v>
      </c>
      <c r="M928">
        <v>0.16</v>
      </c>
      <c r="N928">
        <v>9.8000000000000007</v>
      </c>
      <c r="O928">
        <v>0.65</v>
      </c>
      <c r="P928">
        <v>21.77</v>
      </c>
    </row>
    <row r="929" spans="1:16" x14ac:dyDescent="0.2">
      <c r="A929" t="s">
        <v>16</v>
      </c>
      <c r="C929" t="b">
        <v>1</v>
      </c>
      <c r="D929" t="s">
        <v>119</v>
      </c>
      <c r="E929" t="s">
        <v>25</v>
      </c>
      <c r="F929" t="b">
        <v>0</v>
      </c>
      <c r="G929">
        <v>41.3</v>
      </c>
      <c r="H929">
        <v>19.3</v>
      </c>
      <c r="I929">
        <v>91.72</v>
      </c>
      <c r="J929">
        <v>8.6199999999999992</v>
      </c>
      <c r="K929">
        <v>26.38</v>
      </c>
      <c r="L929">
        <v>3.19</v>
      </c>
      <c r="M929">
        <v>19.14</v>
      </c>
      <c r="N929">
        <v>190.8</v>
      </c>
      <c r="O929">
        <v>12.6</v>
      </c>
      <c r="P929">
        <v>423.76</v>
      </c>
    </row>
    <row r="930" spans="1:16" x14ac:dyDescent="0.2">
      <c r="A930" t="s">
        <v>16</v>
      </c>
      <c r="C930" t="b">
        <v>1</v>
      </c>
      <c r="D930" t="s">
        <v>119</v>
      </c>
      <c r="E930" t="s">
        <v>26</v>
      </c>
      <c r="F930" t="b">
        <v>1</v>
      </c>
      <c r="G930">
        <v>214.02</v>
      </c>
      <c r="H930">
        <v>100</v>
      </c>
      <c r="I930">
        <v>475.33</v>
      </c>
      <c r="J930">
        <v>11.14</v>
      </c>
      <c r="K930">
        <v>5.49</v>
      </c>
      <c r="L930">
        <v>0</v>
      </c>
      <c r="M930">
        <v>24.74</v>
      </c>
      <c r="N930">
        <v>1514.03</v>
      </c>
      <c r="O930">
        <v>100</v>
      </c>
      <c r="P930">
        <v>3362.57</v>
      </c>
    </row>
    <row r="931" spans="1:16" x14ac:dyDescent="0.2">
      <c r="A931" t="s">
        <v>16</v>
      </c>
      <c r="C931" t="b">
        <v>1</v>
      </c>
      <c r="D931" t="s">
        <v>119</v>
      </c>
      <c r="E931" t="s">
        <v>27</v>
      </c>
      <c r="F931" t="b">
        <v>0</v>
      </c>
      <c r="G931">
        <v>26.54</v>
      </c>
      <c r="H931">
        <v>12.4</v>
      </c>
      <c r="I931">
        <v>58.94</v>
      </c>
      <c r="J931">
        <v>-4.16</v>
      </c>
      <c r="K931">
        <v>-13.55</v>
      </c>
      <c r="L931">
        <v>-2.73</v>
      </c>
      <c r="M931">
        <v>-9.24</v>
      </c>
      <c r="N931">
        <v>275.33999999999997</v>
      </c>
      <c r="O931">
        <v>18.190000000000001</v>
      </c>
      <c r="P931">
        <v>611.51</v>
      </c>
    </row>
    <row r="932" spans="1:16" x14ac:dyDescent="0.2">
      <c r="A932" t="s">
        <v>16</v>
      </c>
      <c r="C932" t="b">
        <v>1</v>
      </c>
      <c r="D932" t="s">
        <v>120</v>
      </c>
      <c r="E932" t="s">
        <v>18</v>
      </c>
      <c r="F932" t="b">
        <v>0</v>
      </c>
      <c r="G932">
        <v>7.6</v>
      </c>
      <c r="H932">
        <v>3.68</v>
      </c>
      <c r="I932">
        <v>16.88</v>
      </c>
      <c r="J932">
        <v>-0.3</v>
      </c>
      <c r="K932">
        <v>-3.8</v>
      </c>
      <c r="L932">
        <v>-0.31</v>
      </c>
      <c r="M932">
        <v>-0.67</v>
      </c>
      <c r="N932">
        <v>69.03</v>
      </c>
      <c r="O932">
        <v>4.01</v>
      </c>
      <c r="P932">
        <v>153.31</v>
      </c>
    </row>
    <row r="933" spans="1:16" x14ac:dyDescent="0.2">
      <c r="A933" t="s">
        <v>16</v>
      </c>
      <c r="C933" t="b">
        <v>1</v>
      </c>
      <c r="D933" t="s">
        <v>120</v>
      </c>
      <c r="E933" t="s">
        <v>19</v>
      </c>
      <c r="F933" t="b">
        <v>0</v>
      </c>
      <c r="G933">
        <v>18.79</v>
      </c>
      <c r="H933">
        <v>9.1</v>
      </c>
      <c r="I933">
        <v>41.73</v>
      </c>
      <c r="J933">
        <v>-2.82</v>
      </c>
      <c r="K933">
        <v>-13.05</v>
      </c>
      <c r="L933">
        <v>-1.83</v>
      </c>
      <c r="M933">
        <v>-6.26</v>
      </c>
      <c r="N933">
        <v>160.34</v>
      </c>
      <c r="O933">
        <v>9.32</v>
      </c>
      <c r="P933">
        <v>356.11</v>
      </c>
    </row>
    <row r="934" spans="1:16" x14ac:dyDescent="0.2">
      <c r="A934" t="s">
        <v>16</v>
      </c>
      <c r="C934" t="b">
        <v>1</v>
      </c>
      <c r="D934" t="s">
        <v>120</v>
      </c>
      <c r="E934" t="s">
        <v>20</v>
      </c>
      <c r="F934" t="b">
        <v>0</v>
      </c>
      <c r="G934">
        <v>32.130000000000003</v>
      </c>
      <c r="H934">
        <v>15.56</v>
      </c>
      <c r="I934">
        <v>71.36</v>
      </c>
      <c r="J934">
        <v>-2.2200000000000002</v>
      </c>
      <c r="K934">
        <v>-6.46</v>
      </c>
      <c r="L934">
        <v>-1.81</v>
      </c>
      <c r="M934">
        <v>-4.93</v>
      </c>
      <c r="N934">
        <v>246.71</v>
      </c>
      <c r="O934">
        <v>14.34</v>
      </c>
      <c r="P934">
        <v>547.92999999999995</v>
      </c>
    </row>
    <row r="935" spans="1:16" x14ac:dyDescent="0.2">
      <c r="A935" t="s">
        <v>16</v>
      </c>
      <c r="C935" t="b">
        <v>1</v>
      </c>
      <c r="D935" t="s">
        <v>120</v>
      </c>
      <c r="E935" t="s">
        <v>21</v>
      </c>
      <c r="F935" t="b">
        <v>0</v>
      </c>
      <c r="G935">
        <v>22.85</v>
      </c>
      <c r="H935">
        <v>11.07</v>
      </c>
      <c r="I935">
        <v>50.75</v>
      </c>
      <c r="J935">
        <v>-1.76</v>
      </c>
      <c r="K935">
        <v>-7.15</v>
      </c>
      <c r="L935">
        <v>-1.38</v>
      </c>
      <c r="M935">
        <v>-3.91</v>
      </c>
      <c r="N935">
        <v>248.81</v>
      </c>
      <c r="O935">
        <v>14.46</v>
      </c>
      <c r="P935">
        <v>552.59</v>
      </c>
    </row>
    <row r="936" spans="1:16" x14ac:dyDescent="0.2">
      <c r="A936" t="s">
        <v>16</v>
      </c>
      <c r="C936" t="b">
        <v>1</v>
      </c>
      <c r="D936" t="s">
        <v>120</v>
      </c>
      <c r="E936" t="s">
        <v>22</v>
      </c>
      <c r="F936" t="b">
        <v>0</v>
      </c>
      <c r="G936">
        <v>51.59</v>
      </c>
      <c r="H936">
        <v>24.99</v>
      </c>
      <c r="I936">
        <v>114.58</v>
      </c>
      <c r="J936">
        <v>5.59</v>
      </c>
      <c r="K936">
        <v>12.15</v>
      </c>
      <c r="L936">
        <v>1.73</v>
      </c>
      <c r="M936">
        <v>12.42</v>
      </c>
      <c r="N936">
        <v>405.79</v>
      </c>
      <c r="O936">
        <v>23.59</v>
      </c>
      <c r="P936">
        <v>901.24</v>
      </c>
    </row>
    <row r="937" spans="1:16" x14ac:dyDescent="0.2">
      <c r="A937" t="s">
        <v>16</v>
      </c>
      <c r="C937" t="b">
        <v>1</v>
      </c>
      <c r="D937" t="s">
        <v>120</v>
      </c>
      <c r="E937" t="s">
        <v>23</v>
      </c>
      <c r="F937" t="b">
        <v>0</v>
      </c>
      <c r="G937">
        <v>5.93</v>
      </c>
      <c r="H937">
        <v>2.87</v>
      </c>
      <c r="I937">
        <v>13.17</v>
      </c>
      <c r="J937">
        <v>0.34</v>
      </c>
      <c r="K937">
        <v>6.08</v>
      </c>
      <c r="L937">
        <v>0.04</v>
      </c>
      <c r="M937">
        <v>0.76</v>
      </c>
      <c r="N937">
        <v>46.3</v>
      </c>
      <c r="O937">
        <v>2.69</v>
      </c>
      <c r="P937">
        <v>102.83</v>
      </c>
    </row>
    <row r="938" spans="1:16" x14ac:dyDescent="0.2">
      <c r="A938" t="s">
        <v>16</v>
      </c>
      <c r="C938" t="b">
        <v>1</v>
      </c>
      <c r="D938" t="s">
        <v>120</v>
      </c>
      <c r="E938" t="s">
        <v>24</v>
      </c>
      <c r="F938" t="b">
        <v>0</v>
      </c>
      <c r="G938">
        <v>1.36</v>
      </c>
      <c r="H938">
        <v>0.66</v>
      </c>
      <c r="I938">
        <v>3.02</v>
      </c>
      <c r="J938">
        <v>7.0000000000000007E-2</v>
      </c>
      <c r="K938">
        <v>5.43</v>
      </c>
      <c r="L938">
        <v>0.01</v>
      </c>
      <c r="M938">
        <v>0.16</v>
      </c>
      <c r="N938">
        <v>11.16</v>
      </c>
      <c r="O938">
        <v>0.65</v>
      </c>
      <c r="P938">
        <v>24.79</v>
      </c>
    </row>
    <row r="939" spans="1:16" x14ac:dyDescent="0.2">
      <c r="A939" t="s">
        <v>16</v>
      </c>
      <c r="C939" t="b">
        <v>1</v>
      </c>
      <c r="D939" t="s">
        <v>120</v>
      </c>
      <c r="E939" t="s">
        <v>25</v>
      </c>
      <c r="F939" t="b">
        <v>0</v>
      </c>
      <c r="G939">
        <v>39.29</v>
      </c>
      <c r="H939">
        <v>19.03</v>
      </c>
      <c r="I939">
        <v>87.26</v>
      </c>
      <c r="J939">
        <v>9.86</v>
      </c>
      <c r="K939">
        <v>33.5</v>
      </c>
      <c r="L939">
        <v>4.1500000000000004</v>
      </c>
      <c r="M939">
        <v>21.9</v>
      </c>
      <c r="N939">
        <v>230.09</v>
      </c>
      <c r="O939">
        <v>13.37</v>
      </c>
      <c r="P939">
        <v>511.02</v>
      </c>
    </row>
    <row r="940" spans="1:16" x14ac:dyDescent="0.2">
      <c r="A940" t="s">
        <v>16</v>
      </c>
      <c r="C940" t="b">
        <v>1</v>
      </c>
      <c r="D940" t="s">
        <v>120</v>
      </c>
      <c r="E940" t="s">
        <v>26</v>
      </c>
      <c r="F940" t="b">
        <v>1</v>
      </c>
      <c r="G940">
        <v>206.48</v>
      </c>
      <c r="H940">
        <v>100</v>
      </c>
      <c r="I940">
        <v>458.58</v>
      </c>
      <c r="J940">
        <v>8.73</v>
      </c>
      <c r="K940">
        <v>4.41</v>
      </c>
      <c r="L940">
        <v>0</v>
      </c>
      <c r="M940">
        <v>19.39</v>
      </c>
      <c r="N940">
        <v>1720.51</v>
      </c>
      <c r="O940">
        <v>100</v>
      </c>
      <c r="P940">
        <v>3821.15</v>
      </c>
    </row>
    <row r="941" spans="1:16" x14ac:dyDescent="0.2">
      <c r="A941" t="s">
        <v>16</v>
      </c>
      <c r="C941" t="b">
        <v>1</v>
      </c>
      <c r="D941" t="s">
        <v>120</v>
      </c>
      <c r="E941" t="s">
        <v>27</v>
      </c>
      <c r="F941" t="b">
        <v>0</v>
      </c>
      <c r="G941">
        <v>26.94</v>
      </c>
      <c r="H941">
        <v>13.05</v>
      </c>
      <c r="I941">
        <v>59.83</v>
      </c>
      <c r="J941">
        <v>-0.03</v>
      </c>
      <c r="K941">
        <v>-0.11</v>
      </c>
      <c r="L941">
        <v>-0.59</v>
      </c>
      <c r="M941">
        <v>-7.0000000000000007E-2</v>
      </c>
      <c r="N941">
        <v>302.27999999999997</v>
      </c>
      <c r="O941">
        <v>17.57</v>
      </c>
      <c r="P941">
        <v>671.35</v>
      </c>
    </row>
    <row r="942" spans="1:16" x14ac:dyDescent="0.2">
      <c r="A942" t="s">
        <v>16</v>
      </c>
      <c r="C942" t="b">
        <v>1</v>
      </c>
      <c r="D942" t="s">
        <v>121</v>
      </c>
      <c r="E942" t="s">
        <v>18</v>
      </c>
      <c r="F942" t="b">
        <v>0</v>
      </c>
      <c r="G942">
        <v>7.67</v>
      </c>
      <c r="H942">
        <v>3.84</v>
      </c>
      <c r="I942">
        <v>17.03</v>
      </c>
      <c r="J942">
        <v>-0.12</v>
      </c>
      <c r="K942">
        <v>-1.54</v>
      </c>
      <c r="L942">
        <v>-0.21</v>
      </c>
      <c r="M942">
        <v>-0.27</v>
      </c>
      <c r="N942">
        <v>76.7</v>
      </c>
      <c r="O942">
        <v>3.99</v>
      </c>
      <c r="P942">
        <v>170.35</v>
      </c>
    </row>
    <row r="943" spans="1:16" x14ac:dyDescent="0.2">
      <c r="A943" t="s">
        <v>16</v>
      </c>
      <c r="C943" t="b">
        <v>1</v>
      </c>
      <c r="D943" t="s">
        <v>121</v>
      </c>
      <c r="E943" t="s">
        <v>19</v>
      </c>
      <c r="F943" t="b">
        <v>0</v>
      </c>
      <c r="G943">
        <v>18.649999999999999</v>
      </c>
      <c r="H943">
        <v>9.33</v>
      </c>
      <c r="I943">
        <v>41.42</v>
      </c>
      <c r="J943">
        <v>-4.8600000000000003</v>
      </c>
      <c r="K943">
        <v>-20.67</v>
      </c>
      <c r="L943">
        <v>-2.88</v>
      </c>
      <c r="M943">
        <v>-10.79</v>
      </c>
      <c r="N943">
        <v>178.99</v>
      </c>
      <c r="O943">
        <v>9.32</v>
      </c>
      <c r="P943">
        <v>397.53</v>
      </c>
    </row>
    <row r="944" spans="1:16" x14ac:dyDescent="0.2">
      <c r="A944" t="s">
        <v>16</v>
      </c>
      <c r="C944" t="b">
        <v>1</v>
      </c>
      <c r="D944" t="s">
        <v>121</v>
      </c>
      <c r="E944" t="s">
        <v>20</v>
      </c>
      <c r="F944" t="b">
        <v>0</v>
      </c>
      <c r="G944">
        <v>29.84</v>
      </c>
      <c r="H944">
        <v>14.92</v>
      </c>
      <c r="I944">
        <v>66.27</v>
      </c>
      <c r="J944">
        <v>-4.17</v>
      </c>
      <c r="K944">
        <v>-12.26</v>
      </c>
      <c r="L944">
        <v>-2.75</v>
      </c>
      <c r="M944">
        <v>-9.26</v>
      </c>
      <c r="N944">
        <v>276.55</v>
      </c>
      <c r="O944">
        <v>14.4</v>
      </c>
      <c r="P944">
        <v>614.20000000000005</v>
      </c>
    </row>
    <row r="945" spans="1:16" x14ac:dyDescent="0.2">
      <c r="A945" t="s">
        <v>16</v>
      </c>
      <c r="C945" t="b">
        <v>1</v>
      </c>
      <c r="D945" t="s">
        <v>121</v>
      </c>
      <c r="E945" t="s">
        <v>21</v>
      </c>
      <c r="F945" t="b">
        <v>0</v>
      </c>
      <c r="G945">
        <v>23.43</v>
      </c>
      <c r="H945">
        <v>11.72</v>
      </c>
      <c r="I945">
        <v>52.04</v>
      </c>
      <c r="J945">
        <v>2.73</v>
      </c>
      <c r="K945">
        <v>13.19</v>
      </c>
      <c r="L945">
        <v>0.97</v>
      </c>
      <c r="M945">
        <v>6.06</v>
      </c>
      <c r="N945">
        <v>272.24</v>
      </c>
      <c r="O945">
        <v>14.18</v>
      </c>
      <c r="P945">
        <v>604.63</v>
      </c>
    </row>
    <row r="946" spans="1:16" x14ac:dyDescent="0.2">
      <c r="A946" t="s">
        <v>16</v>
      </c>
      <c r="C946" t="b">
        <v>1</v>
      </c>
      <c r="D946" t="s">
        <v>121</v>
      </c>
      <c r="E946" t="s">
        <v>22</v>
      </c>
      <c r="F946" t="b">
        <v>0</v>
      </c>
      <c r="G946">
        <v>48.19</v>
      </c>
      <c r="H946">
        <v>24.1</v>
      </c>
      <c r="I946">
        <v>107.03</v>
      </c>
      <c r="J946">
        <v>1.45</v>
      </c>
      <c r="K946">
        <v>3.1</v>
      </c>
      <c r="L946">
        <v>-0.18</v>
      </c>
      <c r="M946">
        <v>3.22</v>
      </c>
      <c r="N946">
        <v>453.98</v>
      </c>
      <c r="O946">
        <v>23.64</v>
      </c>
      <c r="P946">
        <v>1008.26</v>
      </c>
    </row>
    <row r="947" spans="1:16" x14ac:dyDescent="0.2">
      <c r="A947" t="s">
        <v>16</v>
      </c>
      <c r="C947" t="b">
        <v>1</v>
      </c>
      <c r="D947" t="s">
        <v>121</v>
      </c>
      <c r="E947" t="s">
        <v>23</v>
      </c>
      <c r="F947" t="b">
        <v>0</v>
      </c>
      <c r="G947">
        <v>5.57</v>
      </c>
      <c r="H947">
        <v>2.79</v>
      </c>
      <c r="I947">
        <v>12.37</v>
      </c>
      <c r="J947">
        <v>0.36</v>
      </c>
      <c r="K947">
        <v>6.91</v>
      </c>
      <c r="L947">
        <v>0.08</v>
      </c>
      <c r="M947">
        <v>0.8</v>
      </c>
      <c r="N947">
        <v>51.87</v>
      </c>
      <c r="O947">
        <v>2.7</v>
      </c>
      <c r="P947">
        <v>115.2</v>
      </c>
    </row>
    <row r="948" spans="1:16" x14ac:dyDescent="0.2">
      <c r="A948" t="s">
        <v>16</v>
      </c>
      <c r="C948" t="b">
        <v>1</v>
      </c>
      <c r="D948" t="s">
        <v>121</v>
      </c>
      <c r="E948" t="s">
        <v>24</v>
      </c>
      <c r="F948" t="b">
        <v>0</v>
      </c>
      <c r="G948">
        <v>1.33</v>
      </c>
      <c r="H948">
        <v>0.67</v>
      </c>
      <c r="I948">
        <v>2.95</v>
      </c>
      <c r="J948">
        <v>-0.01</v>
      </c>
      <c r="K948">
        <v>-0.75</v>
      </c>
      <c r="L948">
        <v>-0.03</v>
      </c>
      <c r="M948">
        <v>-0.02</v>
      </c>
      <c r="N948">
        <v>12.49</v>
      </c>
      <c r="O948">
        <v>0.65</v>
      </c>
      <c r="P948">
        <v>27.74</v>
      </c>
    </row>
    <row r="949" spans="1:16" x14ac:dyDescent="0.2">
      <c r="A949" t="s">
        <v>16</v>
      </c>
      <c r="C949" t="b">
        <v>1</v>
      </c>
      <c r="D949" t="s">
        <v>121</v>
      </c>
      <c r="E949" t="s">
        <v>25</v>
      </c>
      <c r="F949" t="b">
        <v>0</v>
      </c>
      <c r="G949">
        <v>28.81</v>
      </c>
      <c r="H949">
        <v>14.41</v>
      </c>
      <c r="I949">
        <v>63.99</v>
      </c>
      <c r="J949">
        <v>2.57</v>
      </c>
      <c r="K949">
        <v>9.7899999999999991</v>
      </c>
      <c r="L949">
        <v>0.78</v>
      </c>
      <c r="M949">
        <v>5.71</v>
      </c>
      <c r="N949">
        <v>258.89999999999998</v>
      </c>
      <c r="O949">
        <v>13.48</v>
      </c>
      <c r="P949">
        <v>575</v>
      </c>
    </row>
    <row r="950" spans="1:16" x14ac:dyDescent="0.2">
      <c r="A950" t="s">
        <v>16</v>
      </c>
      <c r="C950" t="b">
        <v>1</v>
      </c>
      <c r="D950" t="s">
        <v>121</v>
      </c>
      <c r="E950" t="s">
        <v>26</v>
      </c>
      <c r="F950" t="b">
        <v>1</v>
      </c>
      <c r="G950">
        <v>199.99</v>
      </c>
      <c r="H950">
        <v>100</v>
      </c>
      <c r="I950">
        <v>444.17</v>
      </c>
      <c r="J950">
        <v>7.52</v>
      </c>
      <c r="K950">
        <v>3.91</v>
      </c>
      <c r="L950">
        <v>0</v>
      </c>
      <c r="M950">
        <v>16.7</v>
      </c>
      <c r="N950">
        <v>1920.5</v>
      </c>
      <c r="O950">
        <v>100</v>
      </c>
      <c r="P950">
        <v>4265.32</v>
      </c>
    </row>
    <row r="951" spans="1:16" x14ac:dyDescent="0.2">
      <c r="A951" t="s">
        <v>16</v>
      </c>
      <c r="C951" t="b">
        <v>1</v>
      </c>
      <c r="D951" t="s">
        <v>121</v>
      </c>
      <c r="E951" t="s">
        <v>27</v>
      </c>
      <c r="F951" t="b">
        <v>0</v>
      </c>
      <c r="G951">
        <v>36.5</v>
      </c>
      <c r="H951">
        <v>18.25</v>
      </c>
      <c r="I951">
        <v>81.06</v>
      </c>
      <c r="J951">
        <v>9.57</v>
      </c>
      <c r="K951">
        <v>35.54</v>
      </c>
      <c r="L951">
        <v>4.26</v>
      </c>
      <c r="M951">
        <v>21.25</v>
      </c>
      <c r="N951">
        <v>338.78</v>
      </c>
      <c r="O951">
        <v>17.64</v>
      </c>
      <c r="P951">
        <v>752.41</v>
      </c>
    </row>
    <row r="952" spans="1:16" x14ac:dyDescent="0.2">
      <c r="A952" t="s">
        <v>16</v>
      </c>
      <c r="C952" t="b">
        <v>1</v>
      </c>
      <c r="D952" t="s">
        <v>122</v>
      </c>
      <c r="E952" t="s">
        <v>18</v>
      </c>
      <c r="F952" t="b">
        <v>0</v>
      </c>
      <c r="G952">
        <v>8.44</v>
      </c>
      <c r="H952">
        <v>4.01</v>
      </c>
      <c r="I952">
        <v>18.739999999999998</v>
      </c>
      <c r="J952">
        <v>0.09</v>
      </c>
      <c r="K952">
        <v>1.08</v>
      </c>
      <c r="L952">
        <v>-0.04</v>
      </c>
      <c r="M952">
        <v>0.2</v>
      </c>
      <c r="N952">
        <v>85.14</v>
      </c>
      <c r="O952">
        <v>4</v>
      </c>
      <c r="P952">
        <v>189.09</v>
      </c>
    </row>
    <row r="953" spans="1:16" x14ac:dyDescent="0.2">
      <c r="A953" t="s">
        <v>16</v>
      </c>
      <c r="C953" t="b">
        <v>1</v>
      </c>
      <c r="D953" t="s">
        <v>122</v>
      </c>
      <c r="E953" t="s">
        <v>19</v>
      </c>
      <c r="F953" t="b">
        <v>0</v>
      </c>
      <c r="G953">
        <v>23.48</v>
      </c>
      <c r="H953">
        <v>11.15</v>
      </c>
      <c r="I953">
        <v>52.15</v>
      </c>
      <c r="J953">
        <v>-2.0499999999999998</v>
      </c>
      <c r="K953">
        <v>-8.0299999999999994</v>
      </c>
      <c r="L953">
        <v>-1.23</v>
      </c>
      <c r="M953">
        <v>-4.55</v>
      </c>
      <c r="N953">
        <v>202.47</v>
      </c>
      <c r="O953">
        <v>9.5</v>
      </c>
      <c r="P953">
        <v>449.67</v>
      </c>
    </row>
    <row r="954" spans="1:16" x14ac:dyDescent="0.2">
      <c r="A954" t="s">
        <v>16</v>
      </c>
      <c r="C954" t="b">
        <v>1</v>
      </c>
      <c r="D954" t="s">
        <v>122</v>
      </c>
      <c r="E954" t="s">
        <v>20</v>
      </c>
      <c r="F954" t="b">
        <v>0</v>
      </c>
      <c r="G954">
        <v>30.59</v>
      </c>
      <c r="H954">
        <v>14.53</v>
      </c>
      <c r="I954">
        <v>67.94</v>
      </c>
      <c r="J954">
        <v>-2.2200000000000002</v>
      </c>
      <c r="K954">
        <v>-6.77</v>
      </c>
      <c r="L954">
        <v>-1.39</v>
      </c>
      <c r="M954">
        <v>-4.93</v>
      </c>
      <c r="N954">
        <v>307.14</v>
      </c>
      <c r="O954">
        <v>14.41</v>
      </c>
      <c r="P954">
        <v>682.14</v>
      </c>
    </row>
    <row r="955" spans="1:16" x14ac:dyDescent="0.2">
      <c r="A955" t="s">
        <v>16</v>
      </c>
      <c r="C955" t="b">
        <v>1</v>
      </c>
      <c r="D955" t="s">
        <v>122</v>
      </c>
      <c r="E955" t="s">
        <v>21</v>
      </c>
      <c r="F955" t="b">
        <v>0</v>
      </c>
      <c r="G955">
        <v>30.33</v>
      </c>
      <c r="H955">
        <v>14.41</v>
      </c>
      <c r="I955">
        <v>67.36</v>
      </c>
      <c r="J955">
        <v>7.76</v>
      </c>
      <c r="K955">
        <v>34.380000000000003</v>
      </c>
      <c r="L955">
        <v>3.46</v>
      </c>
      <c r="M955">
        <v>17.23</v>
      </c>
      <c r="N955">
        <v>302.57</v>
      </c>
      <c r="O955">
        <v>14.2</v>
      </c>
      <c r="P955">
        <v>671.99</v>
      </c>
    </row>
    <row r="956" spans="1:16" x14ac:dyDescent="0.2">
      <c r="A956" t="s">
        <v>16</v>
      </c>
      <c r="C956" t="b">
        <v>1</v>
      </c>
      <c r="D956" t="s">
        <v>122</v>
      </c>
      <c r="E956" t="s">
        <v>22</v>
      </c>
      <c r="F956" t="b">
        <v>0</v>
      </c>
      <c r="G956">
        <v>51.31</v>
      </c>
      <c r="H956">
        <v>24.37</v>
      </c>
      <c r="I956">
        <v>113.96</v>
      </c>
      <c r="J956">
        <v>1.88</v>
      </c>
      <c r="K956">
        <v>3.8</v>
      </c>
      <c r="L956">
        <v>0.39</v>
      </c>
      <c r="M956">
        <v>4.18</v>
      </c>
      <c r="N956">
        <v>505.29</v>
      </c>
      <c r="O956">
        <v>23.71</v>
      </c>
      <c r="P956">
        <v>1122.22</v>
      </c>
    </row>
    <row r="957" spans="1:16" x14ac:dyDescent="0.2">
      <c r="A957" t="s">
        <v>16</v>
      </c>
      <c r="C957" t="b">
        <v>1</v>
      </c>
      <c r="D957" t="s">
        <v>122</v>
      </c>
      <c r="E957" t="s">
        <v>23</v>
      </c>
      <c r="F957" t="b">
        <v>0</v>
      </c>
      <c r="G957">
        <v>5.94</v>
      </c>
      <c r="H957">
        <v>2.82</v>
      </c>
      <c r="I957">
        <v>13.19</v>
      </c>
      <c r="J957">
        <v>0.51</v>
      </c>
      <c r="K957">
        <v>9.39</v>
      </c>
      <c r="L957">
        <v>0.19</v>
      </c>
      <c r="M957">
        <v>1.1299999999999999</v>
      </c>
      <c r="N957">
        <v>57.81</v>
      </c>
      <c r="O957">
        <v>2.71</v>
      </c>
      <c r="P957">
        <v>128.38999999999999</v>
      </c>
    </row>
    <row r="958" spans="1:16" x14ac:dyDescent="0.2">
      <c r="A958" t="s">
        <v>16</v>
      </c>
      <c r="C958" t="b">
        <v>1</v>
      </c>
      <c r="D958" t="s">
        <v>122</v>
      </c>
      <c r="E958" t="s">
        <v>24</v>
      </c>
      <c r="F958" t="b">
        <v>0</v>
      </c>
      <c r="G958">
        <v>1.43</v>
      </c>
      <c r="H958">
        <v>0.68</v>
      </c>
      <c r="I958">
        <v>3.18</v>
      </c>
      <c r="J958">
        <v>0</v>
      </c>
      <c r="K958">
        <v>0</v>
      </c>
      <c r="L958">
        <v>-0.01</v>
      </c>
      <c r="M958">
        <v>0</v>
      </c>
      <c r="N958">
        <v>13.92</v>
      </c>
      <c r="O958">
        <v>0.65</v>
      </c>
      <c r="P958">
        <v>30.92</v>
      </c>
    </row>
    <row r="959" spans="1:16" x14ac:dyDescent="0.2">
      <c r="A959" t="s">
        <v>16</v>
      </c>
      <c r="C959" t="b">
        <v>1</v>
      </c>
      <c r="D959" t="s">
        <v>122</v>
      </c>
      <c r="E959" t="s">
        <v>25</v>
      </c>
      <c r="F959" t="b">
        <v>0</v>
      </c>
      <c r="G959">
        <v>19.48</v>
      </c>
      <c r="H959">
        <v>9.25</v>
      </c>
      <c r="I959">
        <v>43.26</v>
      </c>
      <c r="J959">
        <v>2.87</v>
      </c>
      <c r="K959">
        <v>17.28</v>
      </c>
      <c r="L959">
        <v>1.19</v>
      </c>
      <c r="M959">
        <v>6.37</v>
      </c>
      <c r="N959">
        <v>278.38</v>
      </c>
      <c r="O959">
        <v>13.06</v>
      </c>
      <c r="P959">
        <v>618.27</v>
      </c>
    </row>
    <row r="960" spans="1:16" x14ac:dyDescent="0.2">
      <c r="A960" t="s">
        <v>16</v>
      </c>
      <c r="C960" t="b">
        <v>1</v>
      </c>
      <c r="D960" t="s">
        <v>122</v>
      </c>
      <c r="E960" t="s">
        <v>26</v>
      </c>
      <c r="F960" t="b">
        <v>1</v>
      </c>
      <c r="G960">
        <v>210.54</v>
      </c>
      <c r="H960">
        <v>100</v>
      </c>
      <c r="I960">
        <v>467.6</v>
      </c>
      <c r="J960">
        <v>4.3899999999999997</v>
      </c>
      <c r="K960">
        <v>2.13</v>
      </c>
      <c r="L960">
        <v>0</v>
      </c>
      <c r="M960">
        <v>9.75</v>
      </c>
      <c r="N960">
        <v>2131.04</v>
      </c>
      <c r="O960">
        <v>100</v>
      </c>
      <c r="P960">
        <v>4732.92</v>
      </c>
    </row>
    <row r="961" spans="1:16" x14ac:dyDescent="0.2">
      <c r="A961" t="s">
        <v>16</v>
      </c>
      <c r="C961" t="b">
        <v>1</v>
      </c>
      <c r="D961" t="s">
        <v>122</v>
      </c>
      <c r="E961" t="s">
        <v>27</v>
      </c>
      <c r="F961" t="b">
        <v>0</v>
      </c>
      <c r="G961">
        <v>39.54</v>
      </c>
      <c r="H961">
        <v>18.78</v>
      </c>
      <c r="I961">
        <v>87.82</v>
      </c>
      <c r="J961">
        <v>-4.45</v>
      </c>
      <c r="K961">
        <v>-10.119999999999999</v>
      </c>
      <c r="L961">
        <v>-2.56</v>
      </c>
      <c r="M961">
        <v>-9.8800000000000008</v>
      </c>
      <c r="N961">
        <v>378.32</v>
      </c>
      <c r="O961">
        <v>17.75</v>
      </c>
      <c r="P961">
        <v>840.23</v>
      </c>
    </row>
    <row r="962" spans="1:16" x14ac:dyDescent="0.2">
      <c r="A962" t="s">
        <v>16</v>
      </c>
      <c r="C962" t="b">
        <v>1</v>
      </c>
      <c r="D962" t="s">
        <v>123</v>
      </c>
      <c r="E962" t="s">
        <v>18</v>
      </c>
      <c r="F962" t="b">
        <v>0</v>
      </c>
      <c r="G962">
        <v>9.26</v>
      </c>
      <c r="H962">
        <v>4.1500000000000004</v>
      </c>
      <c r="I962">
        <v>20.57</v>
      </c>
      <c r="J962">
        <v>7.0000000000000007E-2</v>
      </c>
      <c r="K962">
        <v>0.76</v>
      </c>
      <c r="L962">
        <v>-0.02</v>
      </c>
      <c r="M962">
        <v>0.16</v>
      </c>
      <c r="N962">
        <v>94.4</v>
      </c>
      <c r="O962">
        <v>4.01</v>
      </c>
      <c r="P962">
        <v>209.66</v>
      </c>
    </row>
    <row r="963" spans="1:16" x14ac:dyDescent="0.2">
      <c r="A963" t="s">
        <v>16</v>
      </c>
      <c r="C963" t="b">
        <v>1</v>
      </c>
      <c r="D963" t="s">
        <v>123</v>
      </c>
      <c r="E963" t="s">
        <v>19</v>
      </c>
      <c r="F963" t="b">
        <v>0</v>
      </c>
      <c r="G963">
        <v>27.75</v>
      </c>
      <c r="H963">
        <v>12.43</v>
      </c>
      <c r="I963">
        <v>61.63</v>
      </c>
      <c r="J963">
        <v>-0.56999999999999995</v>
      </c>
      <c r="K963">
        <v>-2.0099999999999998</v>
      </c>
      <c r="L963">
        <v>-0.41</v>
      </c>
      <c r="M963">
        <v>-1.27</v>
      </c>
      <c r="N963">
        <v>230.22</v>
      </c>
      <c r="O963">
        <v>9.7799999999999994</v>
      </c>
      <c r="P963">
        <v>511.31</v>
      </c>
    </row>
    <row r="964" spans="1:16" x14ac:dyDescent="0.2">
      <c r="A964" t="s">
        <v>16</v>
      </c>
      <c r="C964" t="b">
        <v>1</v>
      </c>
      <c r="D964" t="s">
        <v>123</v>
      </c>
      <c r="E964" t="s">
        <v>20</v>
      </c>
      <c r="F964" t="b">
        <v>0</v>
      </c>
      <c r="G964">
        <v>45.78</v>
      </c>
      <c r="H964">
        <v>20.5</v>
      </c>
      <c r="I964">
        <v>101.67</v>
      </c>
      <c r="J964">
        <v>13.01</v>
      </c>
      <c r="K964">
        <v>39.700000000000003</v>
      </c>
      <c r="L964">
        <v>5.64</v>
      </c>
      <c r="M964">
        <v>28.89</v>
      </c>
      <c r="N964">
        <v>352.92</v>
      </c>
      <c r="O964">
        <v>14.99</v>
      </c>
      <c r="P964">
        <v>783.81</v>
      </c>
    </row>
    <row r="965" spans="1:16" x14ac:dyDescent="0.2">
      <c r="A965" t="s">
        <v>16</v>
      </c>
      <c r="C965" t="b">
        <v>1</v>
      </c>
      <c r="D965" t="s">
        <v>123</v>
      </c>
      <c r="E965" t="s">
        <v>21</v>
      </c>
      <c r="F965" t="b">
        <v>0</v>
      </c>
      <c r="G965">
        <v>23.89</v>
      </c>
      <c r="H965">
        <v>10.7</v>
      </c>
      <c r="I965">
        <v>53.06</v>
      </c>
      <c r="J965">
        <v>-8.61</v>
      </c>
      <c r="K965">
        <v>-26.49</v>
      </c>
      <c r="L965">
        <v>-4.04</v>
      </c>
      <c r="M965">
        <v>-19.12</v>
      </c>
      <c r="N965">
        <v>326.45999999999998</v>
      </c>
      <c r="O965">
        <v>13.87</v>
      </c>
      <c r="P965">
        <v>725.05</v>
      </c>
    </row>
    <row r="966" spans="1:16" x14ac:dyDescent="0.2">
      <c r="A966" t="s">
        <v>16</v>
      </c>
      <c r="C966" t="b">
        <v>1</v>
      </c>
      <c r="D966" t="s">
        <v>123</v>
      </c>
      <c r="E966" t="s">
        <v>22</v>
      </c>
      <c r="F966" t="b">
        <v>0</v>
      </c>
      <c r="G966">
        <v>53.24</v>
      </c>
      <c r="H966">
        <v>23.84</v>
      </c>
      <c r="I966">
        <v>118.24</v>
      </c>
      <c r="J966">
        <v>3.44</v>
      </c>
      <c r="K966">
        <v>6.91</v>
      </c>
      <c r="L966">
        <v>1.26</v>
      </c>
      <c r="M966">
        <v>7.64</v>
      </c>
      <c r="N966">
        <v>558.53</v>
      </c>
      <c r="O966">
        <v>23.72</v>
      </c>
      <c r="P966">
        <v>1240.46</v>
      </c>
    </row>
    <row r="967" spans="1:16" x14ac:dyDescent="0.2">
      <c r="A967" t="s">
        <v>16</v>
      </c>
      <c r="C967" t="b">
        <v>1</v>
      </c>
      <c r="D967" t="s">
        <v>123</v>
      </c>
      <c r="E967" t="s">
        <v>23</v>
      </c>
      <c r="F967" t="b">
        <v>0</v>
      </c>
      <c r="G967">
        <v>6.31</v>
      </c>
      <c r="H967">
        <v>2.83</v>
      </c>
      <c r="I967">
        <v>14.01</v>
      </c>
      <c r="J967">
        <v>0.49</v>
      </c>
      <c r="K967">
        <v>8.42</v>
      </c>
      <c r="L967">
        <v>0.19</v>
      </c>
      <c r="M967">
        <v>1.0900000000000001</v>
      </c>
      <c r="N967">
        <v>64.12</v>
      </c>
      <c r="O967">
        <v>2.72</v>
      </c>
      <c r="P967">
        <v>142.41</v>
      </c>
    </row>
    <row r="968" spans="1:16" x14ac:dyDescent="0.2">
      <c r="A968" t="s">
        <v>16</v>
      </c>
      <c r="C968" t="b">
        <v>1</v>
      </c>
      <c r="D968" t="s">
        <v>123</v>
      </c>
      <c r="E968" t="s">
        <v>24</v>
      </c>
      <c r="F968" t="b">
        <v>0</v>
      </c>
      <c r="G968">
        <v>1.42</v>
      </c>
      <c r="H968">
        <v>0.64</v>
      </c>
      <c r="I968">
        <v>3.15</v>
      </c>
      <c r="J968">
        <v>-0.04</v>
      </c>
      <c r="K968">
        <v>-2.74</v>
      </c>
      <c r="L968">
        <v>-0.02</v>
      </c>
      <c r="M968">
        <v>-0.09</v>
      </c>
      <c r="N968">
        <v>15.34</v>
      </c>
      <c r="O968">
        <v>0.65</v>
      </c>
      <c r="P968">
        <v>34.07</v>
      </c>
    </row>
    <row r="969" spans="1:16" x14ac:dyDescent="0.2">
      <c r="A969" t="s">
        <v>16</v>
      </c>
      <c r="C969" t="b">
        <v>1</v>
      </c>
      <c r="D969" t="s">
        <v>123</v>
      </c>
      <c r="E969" t="s">
        <v>25</v>
      </c>
      <c r="F969" t="b">
        <v>0</v>
      </c>
      <c r="G969">
        <v>12.32</v>
      </c>
      <c r="H969">
        <v>5.52</v>
      </c>
      <c r="I969">
        <v>27.36</v>
      </c>
      <c r="J969">
        <v>2.54</v>
      </c>
      <c r="K969">
        <v>25.97</v>
      </c>
      <c r="L969">
        <v>1.0900000000000001</v>
      </c>
      <c r="M969">
        <v>5.64</v>
      </c>
      <c r="N969">
        <v>290.7</v>
      </c>
      <c r="O969">
        <v>12.35</v>
      </c>
      <c r="P969">
        <v>645.63</v>
      </c>
    </row>
    <row r="970" spans="1:16" x14ac:dyDescent="0.2">
      <c r="A970" t="s">
        <v>16</v>
      </c>
      <c r="C970" t="b">
        <v>1</v>
      </c>
      <c r="D970" t="s">
        <v>123</v>
      </c>
      <c r="E970" t="s">
        <v>26</v>
      </c>
      <c r="F970" t="b">
        <v>1</v>
      </c>
      <c r="G970">
        <v>223.3</v>
      </c>
      <c r="H970">
        <v>100</v>
      </c>
      <c r="I970">
        <v>495.94</v>
      </c>
      <c r="J970">
        <v>2.78</v>
      </c>
      <c r="K970">
        <v>1.26</v>
      </c>
      <c r="L970">
        <v>0</v>
      </c>
      <c r="M970">
        <v>6.17</v>
      </c>
      <c r="N970">
        <v>2354.34</v>
      </c>
      <c r="O970">
        <v>100</v>
      </c>
      <c r="P970">
        <v>5228.8500000000004</v>
      </c>
    </row>
    <row r="971" spans="1:16" x14ac:dyDescent="0.2">
      <c r="A971" t="s">
        <v>16</v>
      </c>
      <c r="C971" t="b">
        <v>1</v>
      </c>
      <c r="D971" t="s">
        <v>123</v>
      </c>
      <c r="E971" t="s">
        <v>27</v>
      </c>
      <c r="F971" t="b">
        <v>0</v>
      </c>
      <c r="G971">
        <v>43.33</v>
      </c>
      <c r="H971">
        <v>19.399999999999999</v>
      </c>
      <c r="I971">
        <v>96.23</v>
      </c>
      <c r="J971">
        <v>-7.55</v>
      </c>
      <c r="K971">
        <v>-14.84</v>
      </c>
      <c r="L971">
        <v>-3.67</v>
      </c>
      <c r="M971">
        <v>-16.77</v>
      </c>
      <c r="N971">
        <v>421.65</v>
      </c>
      <c r="O971">
        <v>17.91</v>
      </c>
      <c r="P971">
        <v>936.46</v>
      </c>
    </row>
    <row r="972" spans="1:16" x14ac:dyDescent="0.2">
      <c r="A972" t="s">
        <v>16</v>
      </c>
      <c r="C972" t="b">
        <v>1</v>
      </c>
      <c r="D972" t="s">
        <v>124</v>
      </c>
      <c r="E972" t="s">
        <v>18</v>
      </c>
      <c r="F972" t="b">
        <v>0</v>
      </c>
      <c r="G972">
        <v>9.84</v>
      </c>
      <c r="H972">
        <v>4.13</v>
      </c>
      <c r="I972">
        <v>21.85</v>
      </c>
      <c r="J972">
        <v>-0.09</v>
      </c>
      <c r="K972">
        <v>-0.91</v>
      </c>
      <c r="L972">
        <v>-0.1</v>
      </c>
      <c r="M972">
        <v>-0.2</v>
      </c>
      <c r="N972">
        <v>104.24</v>
      </c>
      <c r="O972">
        <v>4.0199999999999996</v>
      </c>
      <c r="P972">
        <v>231.51</v>
      </c>
    </row>
    <row r="973" spans="1:16" x14ac:dyDescent="0.2">
      <c r="A973" t="s">
        <v>16</v>
      </c>
      <c r="C973" t="b">
        <v>1</v>
      </c>
      <c r="D973" t="s">
        <v>124</v>
      </c>
      <c r="E973" t="s">
        <v>19</v>
      </c>
      <c r="F973" t="b">
        <v>0</v>
      </c>
      <c r="G973">
        <v>26.39</v>
      </c>
      <c r="H973">
        <v>11.08</v>
      </c>
      <c r="I973">
        <v>58.61</v>
      </c>
      <c r="J973">
        <v>-1.79</v>
      </c>
      <c r="K973">
        <v>-6.35</v>
      </c>
      <c r="L973">
        <v>-0.91</v>
      </c>
      <c r="M973">
        <v>-3.98</v>
      </c>
      <c r="N973">
        <v>256.61</v>
      </c>
      <c r="O973">
        <v>9.9</v>
      </c>
      <c r="P973">
        <v>569.91999999999996</v>
      </c>
    </row>
    <row r="974" spans="1:16" x14ac:dyDescent="0.2">
      <c r="A974" t="s">
        <v>16</v>
      </c>
      <c r="C974" t="b">
        <v>1</v>
      </c>
      <c r="D974" t="s">
        <v>124</v>
      </c>
      <c r="E974" t="s">
        <v>20</v>
      </c>
      <c r="F974" t="b">
        <v>0</v>
      </c>
      <c r="G974">
        <v>44.95</v>
      </c>
      <c r="H974">
        <v>18.87</v>
      </c>
      <c r="I974">
        <v>99.83</v>
      </c>
      <c r="J974">
        <v>7.54</v>
      </c>
      <c r="K974">
        <v>20.16</v>
      </c>
      <c r="L974">
        <v>2.95</v>
      </c>
      <c r="M974">
        <v>16.75</v>
      </c>
      <c r="N974">
        <v>397.87</v>
      </c>
      <c r="O974">
        <v>15.35</v>
      </c>
      <c r="P974">
        <v>883.65</v>
      </c>
    </row>
    <row r="975" spans="1:16" x14ac:dyDescent="0.2">
      <c r="A975" t="s">
        <v>16</v>
      </c>
      <c r="C975" t="b">
        <v>1</v>
      </c>
      <c r="D975" t="s">
        <v>124</v>
      </c>
      <c r="E975" t="s">
        <v>21</v>
      </c>
      <c r="F975" t="b">
        <v>0</v>
      </c>
      <c r="G975">
        <v>24.57</v>
      </c>
      <c r="H975">
        <v>10.31</v>
      </c>
      <c r="I975">
        <v>54.57</v>
      </c>
      <c r="J975">
        <v>-9.24</v>
      </c>
      <c r="K975">
        <v>-27.33</v>
      </c>
      <c r="L975">
        <v>-4.08</v>
      </c>
      <c r="M975">
        <v>-20.52</v>
      </c>
      <c r="N975">
        <v>351.03</v>
      </c>
      <c r="O975">
        <v>13.54</v>
      </c>
      <c r="P975">
        <v>779.62</v>
      </c>
    </row>
    <row r="976" spans="1:16" x14ac:dyDescent="0.2">
      <c r="A976" t="s">
        <v>16</v>
      </c>
      <c r="C976" t="b">
        <v>1</v>
      </c>
      <c r="D976" t="s">
        <v>124</v>
      </c>
      <c r="E976" t="s">
        <v>22</v>
      </c>
      <c r="F976" t="b">
        <v>0</v>
      </c>
      <c r="G976">
        <v>59.96</v>
      </c>
      <c r="H976">
        <v>25.16</v>
      </c>
      <c r="I976">
        <v>133.16999999999999</v>
      </c>
      <c r="J976">
        <v>3.58</v>
      </c>
      <c r="K976">
        <v>6.35</v>
      </c>
      <c r="L976">
        <v>1.17</v>
      </c>
      <c r="M976">
        <v>7.95</v>
      </c>
      <c r="N976">
        <v>618.49</v>
      </c>
      <c r="O976">
        <v>23.86</v>
      </c>
      <c r="P976">
        <v>1373.63</v>
      </c>
    </row>
    <row r="977" spans="1:16" x14ac:dyDescent="0.2">
      <c r="A977" t="s">
        <v>16</v>
      </c>
      <c r="C977" t="b">
        <v>1</v>
      </c>
      <c r="D977" t="s">
        <v>124</v>
      </c>
      <c r="E977" t="s">
        <v>23</v>
      </c>
      <c r="F977" t="b">
        <v>0</v>
      </c>
      <c r="G977">
        <v>6.41</v>
      </c>
      <c r="H977">
        <v>2.69</v>
      </c>
      <c r="I977">
        <v>14.24</v>
      </c>
      <c r="J977">
        <v>0.34</v>
      </c>
      <c r="K977">
        <v>5.6</v>
      </c>
      <c r="L977">
        <v>0.11</v>
      </c>
      <c r="M977">
        <v>0.76</v>
      </c>
      <c r="N977">
        <v>70.53</v>
      </c>
      <c r="O977">
        <v>2.72</v>
      </c>
      <c r="P977">
        <v>156.63999999999999</v>
      </c>
    </row>
    <row r="978" spans="1:16" x14ac:dyDescent="0.2">
      <c r="A978" t="s">
        <v>16</v>
      </c>
      <c r="C978" t="b">
        <v>1</v>
      </c>
      <c r="D978" t="s">
        <v>124</v>
      </c>
      <c r="E978" t="s">
        <v>24</v>
      </c>
      <c r="F978" t="b">
        <v>0</v>
      </c>
      <c r="G978">
        <v>1.48</v>
      </c>
      <c r="H978">
        <v>0.62</v>
      </c>
      <c r="I978">
        <v>3.29</v>
      </c>
      <c r="J978">
        <v>0.05</v>
      </c>
      <c r="K978">
        <v>3.5</v>
      </c>
      <c r="L978">
        <v>0.01</v>
      </c>
      <c r="M978">
        <v>0.11</v>
      </c>
      <c r="N978">
        <v>16.82</v>
      </c>
      <c r="O978">
        <v>0.65</v>
      </c>
      <c r="P978">
        <v>37.36</v>
      </c>
    </row>
    <row r="979" spans="1:16" x14ac:dyDescent="0.2">
      <c r="A979" t="s">
        <v>16</v>
      </c>
      <c r="C979" t="b">
        <v>1</v>
      </c>
      <c r="D979" t="s">
        <v>124</v>
      </c>
      <c r="E979" t="s">
        <v>25</v>
      </c>
      <c r="F979" t="b">
        <v>0</v>
      </c>
      <c r="G979">
        <v>10.1</v>
      </c>
      <c r="H979">
        <v>4.24</v>
      </c>
      <c r="I979">
        <v>22.43</v>
      </c>
      <c r="J979">
        <v>2.65</v>
      </c>
      <c r="K979">
        <v>35.57</v>
      </c>
      <c r="L979">
        <v>1.07</v>
      </c>
      <c r="M979">
        <v>5.89</v>
      </c>
      <c r="N979">
        <v>300.8</v>
      </c>
      <c r="O979">
        <v>11.6</v>
      </c>
      <c r="P979">
        <v>668.06</v>
      </c>
    </row>
    <row r="980" spans="1:16" x14ac:dyDescent="0.2">
      <c r="A980" t="s">
        <v>16</v>
      </c>
      <c r="C980" t="b">
        <v>1</v>
      </c>
      <c r="D980" t="s">
        <v>124</v>
      </c>
      <c r="E980" t="s">
        <v>26</v>
      </c>
      <c r="F980" t="b">
        <v>1</v>
      </c>
      <c r="G980">
        <v>238.27</v>
      </c>
      <c r="H980">
        <v>100</v>
      </c>
      <c r="I980">
        <v>529.17999999999995</v>
      </c>
      <c r="J980">
        <v>3.28</v>
      </c>
      <c r="K980">
        <v>1.4</v>
      </c>
      <c r="L980">
        <v>0</v>
      </c>
      <c r="M980">
        <v>7.28</v>
      </c>
      <c r="N980">
        <v>2592.61</v>
      </c>
      <c r="O980">
        <v>100</v>
      </c>
      <c r="P980">
        <v>5758.04</v>
      </c>
    </row>
    <row r="981" spans="1:16" x14ac:dyDescent="0.2">
      <c r="A981" t="s">
        <v>16</v>
      </c>
      <c r="C981" t="b">
        <v>1</v>
      </c>
      <c r="D981" t="s">
        <v>124</v>
      </c>
      <c r="E981" t="s">
        <v>27</v>
      </c>
      <c r="F981" t="b">
        <v>0</v>
      </c>
      <c r="G981">
        <v>54.57</v>
      </c>
      <c r="H981">
        <v>22.9</v>
      </c>
      <c r="I981">
        <v>121.2</v>
      </c>
      <c r="J981">
        <v>0.24</v>
      </c>
      <c r="K981">
        <v>0.44</v>
      </c>
      <c r="L981">
        <v>-0.22</v>
      </c>
      <c r="M981">
        <v>0.53</v>
      </c>
      <c r="N981">
        <v>476.22</v>
      </c>
      <c r="O981">
        <v>18.37</v>
      </c>
      <c r="P981">
        <v>1057.6600000000001</v>
      </c>
    </row>
    <row r="982" spans="1:16" x14ac:dyDescent="0.2">
      <c r="A982" t="s">
        <v>16</v>
      </c>
      <c r="C982" t="b">
        <v>1</v>
      </c>
      <c r="D982" t="s">
        <v>125</v>
      </c>
      <c r="E982" t="s">
        <v>18</v>
      </c>
      <c r="F982" t="b">
        <v>0</v>
      </c>
      <c r="G982">
        <v>10</v>
      </c>
      <c r="H982">
        <v>3.98</v>
      </c>
      <c r="I982">
        <v>22.27</v>
      </c>
      <c r="J982">
        <v>0</v>
      </c>
      <c r="K982">
        <v>0</v>
      </c>
      <c r="L982">
        <v>0</v>
      </c>
      <c r="M982">
        <v>0</v>
      </c>
      <c r="N982">
        <v>10</v>
      </c>
      <c r="O982">
        <v>3.98</v>
      </c>
      <c r="P982">
        <v>22.27</v>
      </c>
    </row>
    <row r="983" spans="1:16" x14ac:dyDescent="0.2">
      <c r="A983" t="s">
        <v>16</v>
      </c>
      <c r="C983" t="b">
        <v>1</v>
      </c>
      <c r="D983" t="s">
        <v>125</v>
      </c>
      <c r="E983" t="s">
        <v>19</v>
      </c>
      <c r="F983" t="b">
        <v>0</v>
      </c>
      <c r="G983">
        <v>28.36</v>
      </c>
      <c r="H983">
        <v>11.28</v>
      </c>
      <c r="I983">
        <v>63.16</v>
      </c>
      <c r="J983">
        <v>1.1599999999999999</v>
      </c>
      <c r="K983">
        <v>4.26</v>
      </c>
      <c r="L983">
        <v>0.46</v>
      </c>
      <c r="M983">
        <v>2.58</v>
      </c>
      <c r="N983">
        <v>28.36</v>
      </c>
      <c r="O983">
        <v>11.28</v>
      </c>
      <c r="P983">
        <v>63.16</v>
      </c>
    </row>
    <row r="984" spans="1:16" x14ac:dyDescent="0.2">
      <c r="A984" t="s">
        <v>16</v>
      </c>
      <c r="C984" t="b">
        <v>1</v>
      </c>
      <c r="D984" t="s">
        <v>125</v>
      </c>
      <c r="E984" t="s">
        <v>20</v>
      </c>
      <c r="F984" t="b">
        <v>0</v>
      </c>
      <c r="G984">
        <v>47.6</v>
      </c>
      <c r="H984">
        <v>18.940000000000001</v>
      </c>
      <c r="I984">
        <v>106.02</v>
      </c>
      <c r="J984">
        <v>3.74</v>
      </c>
      <c r="K984">
        <v>8.5299999999999994</v>
      </c>
      <c r="L984">
        <v>1.49</v>
      </c>
      <c r="M984">
        <v>8.33</v>
      </c>
      <c r="N984">
        <v>47.6</v>
      </c>
      <c r="O984">
        <v>18.940000000000001</v>
      </c>
      <c r="P984">
        <v>106.02</v>
      </c>
    </row>
    <row r="985" spans="1:16" x14ac:dyDescent="0.2">
      <c r="A985" t="s">
        <v>16</v>
      </c>
      <c r="C985" t="b">
        <v>1</v>
      </c>
      <c r="D985" t="s">
        <v>125</v>
      </c>
      <c r="E985" t="s">
        <v>21</v>
      </c>
      <c r="F985" t="b">
        <v>0</v>
      </c>
      <c r="G985">
        <v>29.26</v>
      </c>
      <c r="H985">
        <v>11.64</v>
      </c>
      <c r="I985">
        <v>65.17</v>
      </c>
      <c r="J985">
        <v>-4.8499999999999996</v>
      </c>
      <c r="K985">
        <v>-14.22</v>
      </c>
      <c r="L985">
        <v>-1.93</v>
      </c>
      <c r="M985">
        <v>-10.8</v>
      </c>
      <c r="N985">
        <v>29.26</v>
      </c>
      <c r="O985">
        <v>11.64</v>
      </c>
      <c r="P985">
        <v>65.17</v>
      </c>
    </row>
    <row r="986" spans="1:16" x14ac:dyDescent="0.2">
      <c r="A986" t="s">
        <v>16</v>
      </c>
      <c r="C986" t="b">
        <v>1</v>
      </c>
      <c r="D986" t="s">
        <v>125</v>
      </c>
      <c r="E986" t="s">
        <v>22</v>
      </c>
      <c r="F986" t="b">
        <v>0</v>
      </c>
      <c r="G986">
        <v>63.2</v>
      </c>
      <c r="H986">
        <v>25.14</v>
      </c>
      <c r="I986">
        <v>140.76</v>
      </c>
      <c r="J986">
        <v>2</v>
      </c>
      <c r="K986">
        <v>3.27</v>
      </c>
      <c r="L986">
        <v>0.78</v>
      </c>
      <c r="M986">
        <v>4.45</v>
      </c>
      <c r="N986">
        <v>63.2</v>
      </c>
      <c r="O986">
        <v>25.14</v>
      </c>
      <c r="P986">
        <v>140.76</v>
      </c>
    </row>
    <row r="987" spans="1:16" x14ac:dyDescent="0.2">
      <c r="A987" t="s">
        <v>16</v>
      </c>
      <c r="C987" t="b">
        <v>1</v>
      </c>
      <c r="D987" t="s">
        <v>125</v>
      </c>
      <c r="E987" t="s">
        <v>23</v>
      </c>
      <c r="F987" t="b">
        <v>0</v>
      </c>
      <c r="G987">
        <v>6.2</v>
      </c>
      <c r="H987">
        <v>2.4700000000000002</v>
      </c>
      <c r="I987">
        <v>13.81</v>
      </c>
      <c r="J987">
        <v>-0.33</v>
      </c>
      <c r="K987">
        <v>-5.05</v>
      </c>
      <c r="L987">
        <v>-0.13</v>
      </c>
      <c r="M987">
        <v>-0.73</v>
      </c>
      <c r="N987">
        <v>6.2</v>
      </c>
      <c r="O987">
        <v>2.4700000000000002</v>
      </c>
      <c r="P987">
        <v>13.81</v>
      </c>
    </row>
    <row r="988" spans="1:16" x14ac:dyDescent="0.2">
      <c r="A988" t="s">
        <v>16</v>
      </c>
      <c r="C988" t="b">
        <v>1</v>
      </c>
      <c r="D988" t="s">
        <v>125</v>
      </c>
      <c r="E988" t="s">
        <v>24</v>
      </c>
      <c r="F988" t="b">
        <v>0</v>
      </c>
      <c r="G988">
        <v>1.51</v>
      </c>
      <c r="H988">
        <v>0.6</v>
      </c>
      <c r="I988">
        <v>3.36</v>
      </c>
      <c r="J988">
        <v>-0.08</v>
      </c>
      <c r="K988">
        <v>-5.03</v>
      </c>
      <c r="L988">
        <v>-0.03</v>
      </c>
      <c r="M988">
        <v>-0.18</v>
      </c>
      <c r="N988">
        <v>1.51</v>
      </c>
      <c r="O988">
        <v>0.6</v>
      </c>
      <c r="P988">
        <v>3.36</v>
      </c>
    </row>
    <row r="989" spans="1:16" x14ac:dyDescent="0.2">
      <c r="A989" t="s">
        <v>16</v>
      </c>
      <c r="C989" t="b">
        <v>1</v>
      </c>
      <c r="D989" t="s">
        <v>125</v>
      </c>
      <c r="E989" t="s">
        <v>25</v>
      </c>
      <c r="F989" t="b">
        <v>0</v>
      </c>
      <c r="G989">
        <v>11.66</v>
      </c>
      <c r="H989">
        <v>4.6399999999999997</v>
      </c>
      <c r="I989">
        <v>25.97</v>
      </c>
      <c r="J989">
        <v>1.68</v>
      </c>
      <c r="K989">
        <v>16.829999999999998</v>
      </c>
      <c r="L989">
        <v>0.67</v>
      </c>
      <c r="M989">
        <v>3.74</v>
      </c>
      <c r="N989">
        <v>11.66</v>
      </c>
      <c r="O989">
        <v>4.6399999999999997</v>
      </c>
      <c r="P989">
        <v>25.97</v>
      </c>
    </row>
    <row r="990" spans="1:16" x14ac:dyDescent="0.2">
      <c r="A990" t="s">
        <v>16</v>
      </c>
      <c r="C990" t="b">
        <v>1</v>
      </c>
      <c r="D990" t="s">
        <v>125</v>
      </c>
      <c r="E990" t="s">
        <v>26</v>
      </c>
      <c r="F990" t="b">
        <v>1</v>
      </c>
      <c r="G990">
        <v>251.36</v>
      </c>
      <c r="H990">
        <v>100</v>
      </c>
      <c r="I990">
        <v>559.83000000000004</v>
      </c>
      <c r="J990">
        <v>0.08</v>
      </c>
      <c r="K990">
        <v>0.03</v>
      </c>
      <c r="L990">
        <v>0</v>
      </c>
      <c r="M990">
        <v>0.18</v>
      </c>
      <c r="N990">
        <v>251.36</v>
      </c>
      <c r="O990">
        <v>100</v>
      </c>
      <c r="P990">
        <v>559.83000000000004</v>
      </c>
    </row>
    <row r="991" spans="1:16" x14ac:dyDescent="0.2">
      <c r="A991" t="s">
        <v>16</v>
      </c>
      <c r="C991" t="b">
        <v>1</v>
      </c>
      <c r="D991" t="s">
        <v>125</v>
      </c>
      <c r="E991" t="s">
        <v>27</v>
      </c>
      <c r="F991" t="b">
        <v>0</v>
      </c>
      <c r="G991">
        <v>53.57</v>
      </c>
      <c r="H991">
        <v>21.31</v>
      </c>
      <c r="I991">
        <v>119.31</v>
      </c>
      <c r="J991">
        <v>-3.24</v>
      </c>
      <c r="K991">
        <v>-5.7</v>
      </c>
      <c r="L991">
        <v>-1.3</v>
      </c>
      <c r="M991">
        <v>-7.22</v>
      </c>
      <c r="N991">
        <v>53.57</v>
      </c>
      <c r="O991">
        <v>21.31</v>
      </c>
      <c r="P991">
        <v>119.31</v>
      </c>
    </row>
    <row r="992" spans="1:16" x14ac:dyDescent="0.2">
      <c r="A992" t="s">
        <v>16</v>
      </c>
      <c r="C992" t="b">
        <v>1</v>
      </c>
      <c r="D992" t="s">
        <v>126</v>
      </c>
      <c r="E992" t="s">
        <v>18</v>
      </c>
      <c r="F992" t="b">
        <v>0</v>
      </c>
      <c r="G992">
        <v>9.27</v>
      </c>
      <c r="H992">
        <v>4.1100000000000003</v>
      </c>
      <c r="I992">
        <v>20.65</v>
      </c>
      <c r="J992">
        <v>0.02</v>
      </c>
      <c r="K992">
        <v>0.22</v>
      </c>
      <c r="L992">
        <v>-0.06</v>
      </c>
      <c r="M992">
        <v>0.04</v>
      </c>
      <c r="N992">
        <v>19.27</v>
      </c>
      <c r="O992">
        <v>4.04</v>
      </c>
      <c r="P992">
        <v>42.92</v>
      </c>
    </row>
    <row r="993" spans="1:16" x14ac:dyDescent="0.2">
      <c r="A993" t="s">
        <v>16</v>
      </c>
      <c r="C993" t="b">
        <v>1</v>
      </c>
      <c r="D993" t="s">
        <v>126</v>
      </c>
      <c r="E993" t="s">
        <v>19</v>
      </c>
      <c r="F993" t="b">
        <v>0</v>
      </c>
      <c r="G993">
        <v>28.96</v>
      </c>
      <c r="H993">
        <v>12.84</v>
      </c>
      <c r="I993">
        <v>64.5</v>
      </c>
      <c r="J993">
        <v>6.34</v>
      </c>
      <c r="K993">
        <v>28.03</v>
      </c>
      <c r="L993">
        <v>2.64</v>
      </c>
      <c r="M993">
        <v>14.12</v>
      </c>
      <c r="N993">
        <v>57.32</v>
      </c>
      <c r="O993">
        <v>12.02</v>
      </c>
      <c r="P993">
        <v>127.66</v>
      </c>
    </row>
    <row r="994" spans="1:16" x14ac:dyDescent="0.2">
      <c r="A994" t="s">
        <v>16</v>
      </c>
      <c r="C994" t="b">
        <v>1</v>
      </c>
      <c r="D994" t="s">
        <v>126</v>
      </c>
      <c r="E994" t="s">
        <v>20</v>
      </c>
      <c r="F994" t="b">
        <v>0</v>
      </c>
      <c r="G994">
        <v>45.36</v>
      </c>
      <c r="H994">
        <v>20.12</v>
      </c>
      <c r="I994">
        <v>101.03</v>
      </c>
      <c r="J994">
        <v>12.27</v>
      </c>
      <c r="K994">
        <v>37.08</v>
      </c>
      <c r="L994">
        <v>5.19</v>
      </c>
      <c r="M994">
        <v>27.33</v>
      </c>
      <c r="N994">
        <v>92.96</v>
      </c>
      <c r="O994">
        <v>19.5</v>
      </c>
      <c r="P994">
        <v>207.04</v>
      </c>
    </row>
    <row r="995" spans="1:16" x14ac:dyDescent="0.2">
      <c r="A995" t="s">
        <v>16</v>
      </c>
      <c r="C995" t="b">
        <v>1</v>
      </c>
      <c r="D995" t="s">
        <v>126</v>
      </c>
      <c r="E995" t="s">
        <v>21</v>
      </c>
      <c r="F995" t="b">
        <v>0</v>
      </c>
      <c r="G995">
        <v>27.6</v>
      </c>
      <c r="H995">
        <v>12.24</v>
      </c>
      <c r="I995">
        <v>61.47</v>
      </c>
      <c r="J995">
        <v>-1.53</v>
      </c>
      <c r="K995">
        <v>-5.25</v>
      </c>
      <c r="L995">
        <v>-0.9</v>
      </c>
      <c r="M995">
        <v>-3.41</v>
      </c>
      <c r="N995">
        <v>56.86</v>
      </c>
      <c r="O995">
        <v>11.92</v>
      </c>
      <c r="P995">
        <v>126.64</v>
      </c>
    </row>
    <row r="996" spans="1:16" x14ac:dyDescent="0.2">
      <c r="A996" t="s">
        <v>16</v>
      </c>
      <c r="C996" t="b">
        <v>1</v>
      </c>
      <c r="D996" t="s">
        <v>126</v>
      </c>
      <c r="E996" t="s">
        <v>22</v>
      </c>
      <c r="F996" t="b">
        <v>0</v>
      </c>
      <c r="G996">
        <v>54.53</v>
      </c>
      <c r="H996">
        <v>24.18</v>
      </c>
      <c r="I996">
        <v>121.45</v>
      </c>
      <c r="J996">
        <v>0.64</v>
      </c>
      <c r="K996">
        <v>1.19</v>
      </c>
      <c r="L996">
        <v>-0.13</v>
      </c>
      <c r="M996">
        <v>1.43</v>
      </c>
      <c r="N996">
        <v>117.73</v>
      </c>
      <c r="O996">
        <v>24.69</v>
      </c>
      <c r="P996">
        <v>262.20999999999998</v>
      </c>
    </row>
    <row r="997" spans="1:16" x14ac:dyDescent="0.2">
      <c r="A997" t="s">
        <v>16</v>
      </c>
      <c r="C997" t="b">
        <v>1</v>
      </c>
      <c r="D997" t="s">
        <v>126</v>
      </c>
      <c r="E997" t="s">
        <v>23</v>
      </c>
      <c r="F997" t="b">
        <v>0</v>
      </c>
      <c r="G997">
        <v>5.92</v>
      </c>
      <c r="H997">
        <v>2.63</v>
      </c>
      <c r="I997">
        <v>13.19</v>
      </c>
      <c r="J997">
        <v>0.23</v>
      </c>
      <c r="K997">
        <v>4.04</v>
      </c>
      <c r="L997">
        <v>0.06</v>
      </c>
      <c r="M997">
        <v>0.51</v>
      </c>
      <c r="N997">
        <v>12.12</v>
      </c>
      <c r="O997">
        <v>2.54</v>
      </c>
      <c r="P997">
        <v>26.99</v>
      </c>
    </row>
    <row r="998" spans="1:16" x14ac:dyDescent="0.2">
      <c r="A998" t="s">
        <v>16</v>
      </c>
      <c r="C998" t="b">
        <v>1</v>
      </c>
      <c r="D998" t="s">
        <v>126</v>
      </c>
      <c r="E998" t="s">
        <v>24</v>
      </c>
      <c r="F998" t="b">
        <v>0</v>
      </c>
      <c r="G998">
        <v>1.36</v>
      </c>
      <c r="H998">
        <v>0.6</v>
      </c>
      <c r="I998">
        <v>3.03</v>
      </c>
      <c r="J998">
        <v>-0.08</v>
      </c>
      <c r="K998">
        <v>-5.56</v>
      </c>
      <c r="L998">
        <v>-0.05</v>
      </c>
      <c r="M998">
        <v>-0.18</v>
      </c>
      <c r="N998">
        <v>2.87</v>
      </c>
      <c r="O998">
        <v>0.6</v>
      </c>
      <c r="P998">
        <v>6.39</v>
      </c>
    </row>
    <row r="999" spans="1:16" x14ac:dyDescent="0.2">
      <c r="A999" t="s">
        <v>16</v>
      </c>
      <c r="C999" t="b">
        <v>1</v>
      </c>
      <c r="D999" t="s">
        <v>126</v>
      </c>
      <c r="E999" t="s">
        <v>25</v>
      </c>
      <c r="F999" t="b">
        <v>0</v>
      </c>
      <c r="G999">
        <v>17.78</v>
      </c>
      <c r="H999">
        <v>7.89</v>
      </c>
      <c r="I999">
        <v>39.6</v>
      </c>
      <c r="J999">
        <v>4.68</v>
      </c>
      <c r="K999">
        <v>35.729999999999997</v>
      </c>
      <c r="L999">
        <v>1.98</v>
      </c>
      <c r="M999">
        <v>10.42</v>
      </c>
      <c r="N999">
        <v>29.44</v>
      </c>
      <c r="O999">
        <v>6.17</v>
      </c>
      <c r="P999">
        <v>65.569999999999993</v>
      </c>
    </row>
    <row r="1000" spans="1:16" x14ac:dyDescent="0.2">
      <c r="A1000" t="s">
        <v>16</v>
      </c>
      <c r="C1000" t="b">
        <v>1</v>
      </c>
      <c r="D1000" t="s">
        <v>126</v>
      </c>
      <c r="E1000" t="s">
        <v>26</v>
      </c>
      <c r="F1000" t="b">
        <v>1</v>
      </c>
      <c r="G1000">
        <v>225.48</v>
      </c>
      <c r="H1000">
        <v>100</v>
      </c>
      <c r="I1000">
        <v>502.19</v>
      </c>
      <c r="J1000">
        <v>3.78</v>
      </c>
      <c r="K1000">
        <v>1.71</v>
      </c>
      <c r="L1000">
        <v>0</v>
      </c>
      <c r="M1000">
        <v>8.42</v>
      </c>
      <c r="N1000">
        <v>476.84</v>
      </c>
      <c r="O1000">
        <v>100</v>
      </c>
      <c r="P1000">
        <v>1062.02</v>
      </c>
    </row>
    <row r="1001" spans="1:16" x14ac:dyDescent="0.2">
      <c r="A1001" t="s">
        <v>16</v>
      </c>
      <c r="C1001" t="b">
        <v>1</v>
      </c>
      <c r="D1001" t="s">
        <v>126</v>
      </c>
      <c r="E1001" t="s">
        <v>27</v>
      </c>
      <c r="F1001" t="b">
        <v>0</v>
      </c>
      <c r="G1001">
        <v>34.700000000000003</v>
      </c>
      <c r="H1001">
        <v>15.39</v>
      </c>
      <c r="I1001">
        <v>77.28</v>
      </c>
      <c r="J1001">
        <v>-18.79</v>
      </c>
      <c r="K1001">
        <v>-35.130000000000003</v>
      </c>
      <c r="L1001">
        <v>-8.74</v>
      </c>
      <c r="M1001">
        <v>-41.85</v>
      </c>
      <c r="N1001">
        <v>88.27</v>
      </c>
      <c r="O1001">
        <v>18.510000000000002</v>
      </c>
      <c r="P1001">
        <v>196.6</v>
      </c>
    </row>
    <row r="1002" spans="1:16" x14ac:dyDescent="0.2">
      <c r="A1002" t="s">
        <v>16</v>
      </c>
      <c r="C1002" t="b">
        <v>1</v>
      </c>
      <c r="D1002" t="s">
        <v>127</v>
      </c>
      <c r="E1002" t="s">
        <v>18</v>
      </c>
      <c r="F1002" t="b">
        <v>0</v>
      </c>
      <c r="G1002">
        <v>9.65</v>
      </c>
      <c r="H1002">
        <v>4.21</v>
      </c>
      <c r="I1002">
        <v>21.49</v>
      </c>
      <c r="J1002">
        <v>-0.13</v>
      </c>
      <c r="K1002">
        <v>-1.33</v>
      </c>
      <c r="L1002">
        <v>-0.18</v>
      </c>
      <c r="M1002">
        <v>-0.28999999999999998</v>
      </c>
      <c r="N1002">
        <v>28.92</v>
      </c>
      <c r="O1002">
        <v>4.0999999999999996</v>
      </c>
      <c r="P1002">
        <v>64.41</v>
      </c>
    </row>
    <row r="1003" spans="1:16" x14ac:dyDescent="0.2">
      <c r="A1003" t="s">
        <v>16</v>
      </c>
      <c r="C1003" t="b">
        <v>1</v>
      </c>
      <c r="D1003" t="s">
        <v>127</v>
      </c>
      <c r="E1003" t="s">
        <v>19</v>
      </c>
      <c r="F1003" t="b">
        <v>0</v>
      </c>
      <c r="G1003">
        <v>24.51</v>
      </c>
      <c r="H1003">
        <v>10.7</v>
      </c>
      <c r="I1003">
        <v>54.59</v>
      </c>
      <c r="J1003">
        <v>1.89</v>
      </c>
      <c r="K1003">
        <v>8.36</v>
      </c>
      <c r="L1003">
        <v>0.54</v>
      </c>
      <c r="M1003">
        <v>4.21</v>
      </c>
      <c r="N1003">
        <v>81.83</v>
      </c>
      <c r="O1003">
        <v>11.59</v>
      </c>
      <c r="P1003">
        <v>182.25</v>
      </c>
    </row>
    <row r="1004" spans="1:16" x14ac:dyDescent="0.2">
      <c r="A1004" t="s">
        <v>16</v>
      </c>
      <c r="C1004" t="b">
        <v>1</v>
      </c>
      <c r="D1004" t="s">
        <v>127</v>
      </c>
      <c r="E1004" t="s">
        <v>20</v>
      </c>
      <c r="F1004" t="b">
        <v>0</v>
      </c>
      <c r="G1004">
        <v>36.729999999999997</v>
      </c>
      <c r="H1004">
        <v>16.03</v>
      </c>
      <c r="I1004">
        <v>81.81</v>
      </c>
      <c r="J1004">
        <v>4.16</v>
      </c>
      <c r="K1004">
        <v>12.77</v>
      </c>
      <c r="L1004">
        <v>1.4</v>
      </c>
      <c r="M1004">
        <v>9.27</v>
      </c>
      <c r="N1004">
        <v>129.69</v>
      </c>
      <c r="O1004">
        <v>18.37</v>
      </c>
      <c r="P1004">
        <v>288.85000000000002</v>
      </c>
    </row>
    <row r="1005" spans="1:16" x14ac:dyDescent="0.2">
      <c r="A1005" t="s">
        <v>16</v>
      </c>
      <c r="C1005" t="b">
        <v>1</v>
      </c>
      <c r="D1005" t="s">
        <v>127</v>
      </c>
      <c r="E1005" t="s">
        <v>21</v>
      </c>
      <c r="F1005" t="b">
        <v>0</v>
      </c>
      <c r="G1005">
        <v>26.45</v>
      </c>
      <c r="H1005">
        <v>11.55</v>
      </c>
      <c r="I1005">
        <v>58.91</v>
      </c>
      <c r="J1005">
        <v>-8.49</v>
      </c>
      <c r="K1005">
        <v>-24.3</v>
      </c>
      <c r="L1005">
        <v>-4.1399999999999997</v>
      </c>
      <c r="M1005">
        <v>-18.91</v>
      </c>
      <c r="N1005">
        <v>83.31</v>
      </c>
      <c r="O1005">
        <v>11.8</v>
      </c>
      <c r="P1005">
        <v>185.55</v>
      </c>
    </row>
    <row r="1006" spans="1:16" x14ac:dyDescent="0.2">
      <c r="A1006" t="s">
        <v>16</v>
      </c>
      <c r="C1006" t="b">
        <v>1</v>
      </c>
      <c r="D1006" t="s">
        <v>127</v>
      </c>
      <c r="E1006" t="s">
        <v>22</v>
      </c>
      <c r="F1006" t="b">
        <v>0</v>
      </c>
      <c r="G1006">
        <v>54.85</v>
      </c>
      <c r="H1006">
        <v>23.94</v>
      </c>
      <c r="I1006">
        <v>122.16</v>
      </c>
      <c r="J1006">
        <v>3.55</v>
      </c>
      <c r="K1006">
        <v>6.92</v>
      </c>
      <c r="L1006">
        <v>0.9</v>
      </c>
      <c r="M1006">
        <v>7.91</v>
      </c>
      <c r="N1006">
        <v>172.58</v>
      </c>
      <c r="O1006">
        <v>24.45</v>
      </c>
      <c r="P1006">
        <v>384.37</v>
      </c>
    </row>
    <row r="1007" spans="1:16" x14ac:dyDescent="0.2">
      <c r="A1007" t="s">
        <v>16</v>
      </c>
      <c r="C1007" t="b">
        <v>1</v>
      </c>
      <c r="D1007" t="s">
        <v>127</v>
      </c>
      <c r="E1007" t="s">
        <v>23</v>
      </c>
      <c r="F1007" t="b">
        <v>0</v>
      </c>
      <c r="G1007">
        <v>5.77</v>
      </c>
      <c r="H1007">
        <v>2.52</v>
      </c>
      <c r="I1007">
        <v>12.85</v>
      </c>
      <c r="J1007">
        <v>0.1</v>
      </c>
      <c r="K1007">
        <v>1.76</v>
      </c>
      <c r="L1007">
        <v>-0.03</v>
      </c>
      <c r="M1007">
        <v>0.22</v>
      </c>
      <c r="N1007">
        <v>17.89</v>
      </c>
      <c r="O1007">
        <v>2.5299999999999998</v>
      </c>
      <c r="P1007">
        <v>39.840000000000003</v>
      </c>
    </row>
    <row r="1008" spans="1:16" x14ac:dyDescent="0.2">
      <c r="A1008" t="s">
        <v>16</v>
      </c>
      <c r="C1008" t="b">
        <v>1</v>
      </c>
      <c r="D1008" t="s">
        <v>127</v>
      </c>
      <c r="E1008" t="s">
        <v>24</v>
      </c>
      <c r="F1008" t="b">
        <v>0</v>
      </c>
      <c r="G1008">
        <v>1.45</v>
      </c>
      <c r="H1008">
        <v>0.63</v>
      </c>
      <c r="I1008">
        <v>3.23</v>
      </c>
      <c r="J1008">
        <v>0.04</v>
      </c>
      <c r="K1008">
        <v>2.84</v>
      </c>
      <c r="L1008">
        <v>0</v>
      </c>
      <c r="M1008">
        <v>0.09</v>
      </c>
      <c r="N1008">
        <v>4.32</v>
      </c>
      <c r="O1008">
        <v>0.61</v>
      </c>
      <c r="P1008">
        <v>9.6199999999999992</v>
      </c>
    </row>
    <row r="1009" spans="1:16" x14ac:dyDescent="0.2">
      <c r="A1009" t="s">
        <v>16</v>
      </c>
      <c r="C1009" t="b">
        <v>1</v>
      </c>
      <c r="D1009" t="s">
        <v>127</v>
      </c>
      <c r="E1009" t="s">
        <v>25</v>
      </c>
      <c r="F1009" t="b">
        <v>0</v>
      </c>
      <c r="G1009">
        <v>29.84</v>
      </c>
      <c r="H1009">
        <v>13.03</v>
      </c>
      <c r="I1009">
        <v>66.459999999999994</v>
      </c>
      <c r="J1009">
        <v>7.98</v>
      </c>
      <c r="K1009">
        <v>36.51</v>
      </c>
      <c r="L1009">
        <v>3.21</v>
      </c>
      <c r="M1009">
        <v>17.77</v>
      </c>
      <c r="N1009">
        <v>59.28</v>
      </c>
      <c r="O1009">
        <v>8.4</v>
      </c>
      <c r="P1009">
        <v>132.03</v>
      </c>
    </row>
    <row r="1010" spans="1:16" x14ac:dyDescent="0.2">
      <c r="A1010" t="s">
        <v>16</v>
      </c>
      <c r="C1010" t="b">
        <v>1</v>
      </c>
      <c r="D1010" t="s">
        <v>127</v>
      </c>
      <c r="E1010" t="s">
        <v>26</v>
      </c>
      <c r="F1010" t="b">
        <v>1</v>
      </c>
      <c r="G1010">
        <v>229.07</v>
      </c>
      <c r="H1010">
        <v>100</v>
      </c>
      <c r="I1010">
        <v>510.19</v>
      </c>
      <c r="J1010">
        <v>6.4</v>
      </c>
      <c r="K1010">
        <v>2.87</v>
      </c>
      <c r="L1010">
        <v>0</v>
      </c>
      <c r="M1010">
        <v>14.25</v>
      </c>
      <c r="N1010">
        <v>705.91</v>
      </c>
      <c r="O1010">
        <v>100</v>
      </c>
      <c r="P1010">
        <v>1572.21</v>
      </c>
    </row>
    <row r="1011" spans="1:16" x14ac:dyDescent="0.2">
      <c r="A1011" t="s">
        <v>16</v>
      </c>
      <c r="C1011" t="b">
        <v>1</v>
      </c>
      <c r="D1011" t="s">
        <v>127</v>
      </c>
      <c r="E1011" t="s">
        <v>27</v>
      </c>
      <c r="F1011" t="b">
        <v>0</v>
      </c>
      <c r="G1011">
        <v>39.82</v>
      </c>
      <c r="H1011">
        <v>17.38</v>
      </c>
      <c r="I1011">
        <v>88.69</v>
      </c>
      <c r="J1011">
        <v>-2.7</v>
      </c>
      <c r="K1011">
        <v>-6.35</v>
      </c>
      <c r="L1011">
        <v>-1.72</v>
      </c>
      <c r="M1011">
        <v>-6.01</v>
      </c>
      <c r="N1011">
        <v>128.09</v>
      </c>
      <c r="O1011">
        <v>18.149999999999999</v>
      </c>
      <c r="P1011">
        <v>285.27999999999997</v>
      </c>
    </row>
    <row r="1012" spans="1:16" x14ac:dyDescent="0.2">
      <c r="A1012" t="s">
        <v>16</v>
      </c>
      <c r="C1012" t="b">
        <v>1</v>
      </c>
      <c r="D1012" t="s">
        <v>128</v>
      </c>
      <c r="E1012" t="s">
        <v>18</v>
      </c>
      <c r="F1012" t="b">
        <v>0</v>
      </c>
      <c r="G1012">
        <v>8.69</v>
      </c>
      <c r="H1012">
        <v>4.3099999999999996</v>
      </c>
      <c r="I1012">
        <v>19.350000000000001</v>
      </c>
      <c r="J1012">
        <v>0.06</v>
      </c>
      <c r="K1012">
        <v>0.7</v>
      </c>
      <c r="L1012">
        <v>0.1</v>
      </c>
      <c r="M1012">
        <v>0.13</v>
      </c>
      <c r="N1012">
        <v>37.61</v>
      </c>
      <c r="O1012">
        <v>4.1399999999999997</v>
      </c>
      <c r="P1012">
        <v>83.77</v>
      </c>
    </row>
    <row r="1013" spans="1:16" x14ac:dyDescent="0.2">
      <c r="A1013" t="s">
        <v>16</v>
      </c>
      <c r="C1013" t="b">
        <v>1</v>
      </c>
      <c r="D1013" t="s">
        <v>128</v>
      </c>
      <c r="E1013" t="s">
        <v>19</v>
      </c>
      <c r="F1013" t="b">
        <v>0</v>
      </c>
      <c r="G1013">
        <v>18.36</v>
      </c>
      <c r="H1013">
        <v>9.11</v>
      </c>
      <c r="I1013">
        <v>40.89</v>
      </c>
      <c r="J1013">
        <v>1.05</v>
      </c>
      <c r="K1013">
        <v>6.07</v>
      </c>
      <c r="L1013">
        <v>0.67</v>
      </c>
      <c r="M1013">
        <v>2.34</v>
      </c>
      <c r="N1013">
        <v>100.19</v>
      </c>
      <c r="O1013">
        <v>11.04</v>
      </c>
      <c r="P1013">
        <v>223.14</v>
      </c>
    </row>
    <row r="1014" spans="1:16" x14ac:dyDescent="0.2">
      <c r="A1014" t="s">
        <v>16</v>
      </c>
      <c r="C1014" t="b">
        <v>1</v>
      </c>
      <c r="D1014" t="s">
        <v>128</v>
      </c>
      <c r="E1014" t="s">
        <v>20</v>
      </c>
      <c r="F1014" t="b">
        <v>0</v>
      </c>
      <c r="G1014">
        <v>26.91</v>
      </c>
      <c r="H1014">
        <v>13.36</v>
      </c>
      <c r="I1014">
        <v>59.93</v>
      </c>
      <c r="J1014">
        <v>2.67</v>
      </c>
      <c r="K1014">
        <v>11.01</v>
      </c>
      <c r="L1014">
        <v>1.54</v>
      </c>
      <c r="M1014">
        <v>5.95</v>
      </c>
      <c r="N1014">
        <v>156.6</v>
      </c>
      <c r="O1014">
        <v>17.260000000000002</v>
      </c>
      <c r="P1014">
        <v>348.78</v>
      </c>
    </row>
    <row r="1015" spans="1:16" x14ac:dyDescent="0.2">
      <c r="A1015" t="s">
        <v>16</v>
      </c>
      <c r="C1015" t="b">
        <v>1</v>
      </c>
      <c r="D1015" t="s">
        <v>128</v>
      </c>
      <c r="E1015" t="s">
        <v>21</v>
      </c>
      <c r="F1015" t="b">
        <v>0</v>
      </c>
      <c r="G1015">
        <v>27.08</v>
      </c>
      <c r="H1015">
        <v>13.44</v>
      </c>
      <c r="I1015">
        <v>60.31</v>
      </c>
      <c r="J1015">
        <v>-5.38</v>
      </c>
      <c r="K1015">
        <v>-16.57</v>
      </c>
      <c r="L1015">
        <v>-2.39</v>
      </c>
      <c r="M1015">
        <v>-11.98</v>
      </c>
      <c r="N1015">
        <v>110.39</v>
      </c>
      <c r="O1015">
        <v>12.17</v>
      </c>
      <c r="P1015">
        <v>245.86</v>
      </c>
    </row>
    <row r="1016" spans="1:16" x14ac:dyDescent="0.2">
      <c r="A1016" t="s">
        <v>16</v>
      </c>
      <c r="C1016" t="b">
        <v>1</v>
      </c>
      <c r="D1016" t="s">
        <v>128</v>
      </c>
      <c r="E1016" t="s">
        <v>22</v>
      </c>
      <c r="F1016" t="b">
        <v>0</v>
      </c>
      <c r="G1016">
        <v>45</v>
      </c>
      <c r="H1016">
        <v>22.34</v>
      </c>
      <c r="I1016">
        <v>100.22</v>
      </c>
      <c r="J1016">
        <v>-0.28999999999999998</v>
      </c>
      <c r="K1016">
        <v>-0.64</v>
      </c>
      <c r="L1016">
        <v>0.25</v>
      </c>
      <c r="M1016">
        <v>-0.65</v>
      </c>
      <c r="N1016">
        <v>217.58</v>
      </c>
      <c r="O1016">
        <v>23.98</v>
      </c>
      <c r="P1016">
        <v>484.6</v>
      </c>
    </row>
    <row r="1017" spans="1:16" x14ac:dyDescent="0.2">
      <c r="A1017" t="s">
        <v>16</v>
      </c>
      <c r="C1017" t="b">
        <v>1</v>
      </c>
      <c r="D1017" t="s">
        <v>128</v>
      </c>
      <c r="E1017" t="s">
        <v>23</v>
      </c>
      <c r="F1017" t="b">
        <v>0</v>
      </c>
      <c r="G1017">
        <v>5.46</v>
      </c>
      <c r="H1017">
        <v>2.71</v>
      </c>
      <c r="I1017">
        <v>12.16</v>
      </c>
      <c r="J1017">
        <v>0.13</v>
      </c>
      <c r="K1017">
        <v>2.44</v>
      </c>
      <c r="L1017">
        <v>0.11</v>
      </c>
      <c r="M1017">
        <v>0.28999999999999998</v>
      </c>
      <c r="N1017">
        <v>23.35</v>
      </c>
      <c r="O1017">
        <v>2.57</v>
      </c>
      <c r="P1017">
        <v>52.01</v>
      </c>
    </row>
    <row r="1018" spans="1:16" x14ac:dyDescent="0.2">
      <c r="A1018" t="s">
        <v>16</v>
      </c>
      <c r="C1018" t="b">
        <v>1</v>
      </c>
      <c r="D1018" t="s">
        <v>128</v>
      </c>
      <c r="E1018" t="s">
        <v>24</v>
      </c>
      <c r="F1018" t="b">
        <v>0</v>
      </c>
      <c r="G1018">
        <v>1.36</v>
      </c>
      <c r="H1018">
        <v>0.68</v>
      </c>
      <c r="I1018">
        <v>3.03</v>
      </c>
      <c r="J1018">
        <v>0.03</v>
      </c>
      <c r="K1018">
        <v>2.2599999999999998</v>
      </c>
      <c r="L1018">
        <v>0.03</v>
      </c>
      <c r="M1018">
        <v>7.0000000000000007E-2</v>
      </c>
      <c r="N1018">
        <v>5.68</v>
      </c>
      <c r="O1018">
        <v>0.63</v>
      </c>
      <c r="P1018">
        <v>12.65</v>
      </c>
    </row>
    <row r="1019" spans="1:16" x14ac:dyDescent="0.2">
      <c r="A1019" t="s">
        <v>16</v>
      </c>
      <c r="C1019" t="b">
        <v>1</v>
      </c>
      <c r="D1019" t="s">
        <v>128</v>
      </c>
      <c r="E1019" t="s">
        <v>25</v>
      </c>
      <c r="F1019" t="b">
        <v>0</v>
      </c>
      <c r="G1019">
        <v>37.36</v>
      </c>
      <c r="H1019">
        <v>18.54</v>
      </c>
      <c r="I1019">
        <v>83.21</v>
      </c>
      <c r="J1019">
        <v>7.7</v>
      </c>
      <c r="K1019">
        <v>25.96</v>
      </c>
      <c r="L1019">
        <v>4.07</v>
      </c>
      <c r="M1019">
        <v>17.149999999999999</v>
      </c>
      <c r="N1019">
        <v>96.64</v>
      </c>
      <c r="O1019">
        <v>10.65</v>
      </c>
      <c r="P1019">
        <v>215.24</v>
      </c>
    </row>
    <row r="1020" spans="1:16" x14ac:dyDescent="0.2">
      <c r="A1020" t="s">
        <v>16</v>
      </c>
      <c r="C1020" t="b">
        <v>1</v>
      </c>
      <c r="D1020" t="s">
        <v>128</v>
      </c>
      <c r="E1020" t="s">
        <v>26</v>
      </c>
      <c r="F1020" t="b">
        <v>1</v>
      </c>
      <c r="G1020">
        <v>201.46</v>
      </c>
      <c r="H1020">
        <v>100</v>
      </c>
      <c r="I1020">
        <v>448.69</v>
      </c>
      <c r="J1020">
        <v>-3.56</v>
      </c>
      <c r="K1020">
        <v>-1.74</v>
      </c>
      <c r="L1020">
        <v>0</v>
      </c>
      <c r="M1020">
        <v>-7.93</v>
      </c>
      <c r="N1020">
        <v>907.37</v>
      </c>
      <c r="O1020">
        <v>100</v>
      </c>
      <c r="P1020">
        <v>2020.9</v>
      </c>
    </row>
    <row r="1021" spans="1:16" x14ac:dyDescent="0.2">
      <c r="A1021" t="s">
        <v>16</v>
      </c>
      <c r="C1021" t="b">
        <v>1</v>
      </c>
      <c r="D1021" t="s">
        <v>128</v>
      </c>
      <c r="E1021" t="s">
        <v>27</v>
      </c>
      <c r="F1021" t="b">
        <v>0</v>
      </c>
      <c r="G1021">
        <v>31.24</v>
      </c>
      <c r="H1021">
        <v>15.51</v>
      </c>
      <c r="I1021">
        <v>69.58</v>
      </c>
      <c r="J1021">
        <v>-9.5299999999999994</v>
      </c>
      <c r="K1021">
        <v>-23.38</v>
      </c>
      <c r="L1021">
        <v>-4.38</v>
      </c>
      <c r="M1021">
        <v>-21.23</v>
      </c>
      <c r="N1021">
        <v>159.33000000000001</v>
      </c>
      <c r="O1021">
        <v>17.559999999999999</v>
      </c>
      <c r="P1021">
        <v>354.86</v>
      </c>
    </row>
    <row r="1022" spans="1:16" x14ac:dyDescent="0.2">
      <c r="A1022" t="s">
        <v>16</v>
      </c>
      <c r="C1022" t="b">
        <v>1</v>
      </c>
      <c r="D1022" t="s">
        <v>129</v>
      </c>
      <c r="E1022" t="s">
        <v>18</v>
      </c>
      <c r="F1022" t="b">
        <v>0</v>
      </c>
      <c r="G1022">
        <v>8.0500000000000007</v>
      </c>
      <c r="H1022">
        <v>3.99</v>
      </c>
      <c r="I1022">
        <v>17.93</v>
      </c>
      <c r="J1022">
        <v>-0.47</v>
      </c>
      <c r="K1022">
        <v>-5.52</v>
      </c>
      <c r="L1022">
        <v>-0.26</v>
      </c>
      <c r="M1022">
        <v>-1.05</v>
      </c>
      <c r="N1022">
        <v>45.66</v>
      </c>
      <c r="O1022">
        <v>4.12</v>
      </c>
      <c r="P1022">
        <v>101.69</v>
      </c>
    </row>
    <row r="1023" spans="1:16" x14ac:dyDescent="0.2">
      <c r="A1023" t="s">
        <v>16</v>
      </c>
      <c r="C1023" t="b">
        <v>1</v>
      </c>
      <c r="D1023" t="s">
        <v>129</v>
      </c>
      <c r="E1023" t="s">
        <v>19</v>
      </c>
      <c r="F1023" t="b">
        <v>0</v>
      </c>
      <c r="G1023">
        <v>13.73</v>
      </c>
      <c r="H1023">
        <v>6.8</v>
      </c>
      <c r="I1023">
        <v>30.58</v>
      </c>
      <c r="J1023">
        <v>-2.61</v>
      </c>
      <c r="K1023">
        <v>-15.97</v>
      </c>
      <c r="L1023">
        <v>-1.35</v>
      </c>
      <c r="M1023">
        <v>-5.81</v>
      </c>
      <c r="N1023">
        <v>113.92</v>
      </c>
      <c r="O1023">
        <v>10.27</v>
      </c>
      <c r="P1023">
        <v>253.72</v>
      </c>
    </row>
    <row r="1024" spans="1:16" x14ac:dyDescent="0.2">
      <c r="A1024" t="s">
        <v>16</v>
      </c>
      <c r="C1024" t="b">
        <v>1</v>
      </c>
      <c r="D1024" t="s">
        <v>129</v>
      </c>
      <c r="E1024" t="s">
        <v>20</v>
      </c>
      <c r="F1024" t="b">
        <v>0</v>
      </c>
      <c r="G1024">
        <v>23.99</v>
      </c>
      <c r="H1024">
        <v>11.89</v>
      </c>
      <c r="I1024">
        <v>53.43</v>
      </c>
      <c r="J1024">
        <v>0.56999999999999995</v>
      </c>
      <c r="K1024">
        <v>2.4300000000000002</v>
      </c>
      <c r="L1024">
        <v>0.21</v>
      </c>
      <c r="M1024">
        <v>1.27</v>
      </c>
      <c r="N1024">
        <v>180.59</v>
      </c>
      <c r="O1024">
        <v>16.28</v>
      </c>
      <c r="P1024">
        <v>402.21</v>
      </c>
    </row>
    <row r="1025" spans="1:16" x14ac:dyDescent="0.2">
      <c r="A1025" t="s">
        <v>16</v>
      </c>
      <c r="C1025" t="b">
        <v>1</v>
      </c>
      <c r="D1025" t="s">
        <v>129</v>
      </c>
      <c r="E1025" t="s">
        <v>21</v>
      </c>
      <c r="F1025" t="b">
        <v>0</v>
      </c>
      <c r="G1025">
        <v>28.47</v>
      </c>
      <c r="H1025">
        <v>14.11</v>
      </c>
      <c r="I1025">
        <v>63.41</v>
      </c>
      <c r="J1025">
        <v>-5.77</v>
      </c>
      <c r="K1025">
        <v>-16.850000000000001</v>
      </c>
      <c r="L1025">
        <v>-2.96</v>
      </c>
      <c r="M1025">
        <v>-12.85</v>
      </c>
      <c r="N1025">
        <v>138.86000000000001</v>
      </c>
      <c r="O1025">
        <v>12.52</v>
      </c>
      <c r="P1025">
        <v>309.27</v>
      </c>
    </row>
    <row r="1026" spans="1:16" x14ac:dyDescent="0.2">
      <c r="A1026" t="s">
        <v>16</v>
      </c>
      <c r="C1026" t="b">
        <v>1</v>
      </c>
      <c r="D1026" t="s">
        <v>129</v>
      </c>
      <c r="E1026" t="s">
        <v>22</v>
      </c>
      <c r="F1026" t="b">
        <v>0</v>
      </c>
      <c r="G1026">
        <v>43.66</v>
      </c>
      <c r="H1026">
        <v>21.63</v>
      </c>
      <c r="I1026">
        <v>97.24</v>
      </c>
      <c r="J1026">
        <v>-2.09</v>
      </c>
      <c r="K1026">
        <v>-4.57</v>
      </c>
      <c r="L1026">
        <v>-1.18</v>
      </c>
      <c r="M1026">
        <v>-4.6500000000000004</v>
      </c>
      <c r="N1026">
        <v>261.24</v>
      </c>
      <c r="O1026">
        <v>23.55</v>
      </c>
      <c r="P1026">
        <v>581.84</v>
      </c>
    </row>
    <row r="1027" spans="1:16" x14ac:dyDescent="0.2">
      <c r="A1027" t="s">
        <v>16</v>
      </c>
      <c r="C1027" t="b">
        <v>1</v>
      </c>
      <c r="D1027" t="s">
        <v>129</v>
      </c>
      <c r="E1027" t="s">
        <v>23</v>
      </c>
      <c r="F1027" t="b">
        <v>0</v>
      </c>
      <c r="G1027">
        <v>5.22</v>
      </c>
      <c r="H1027">
        <v>2.59</v>
      </c>
      <c r="I1027">
        <v>11.63</v>
      </c>
      <c r="J1027">
        <v>-0.03</v>
      </c>
      <c r="K1027">
        <v>-0.56999999999999995</v>
      </c>
      <c r="L1027">
        <v>-0.03</v>
      </c>
      <c r="M1027">
        <v>-7.0000000000000007E-2</v>
      </c>
      <c r="N1027">
        <v>28.57</v>
      </c>
      <c r="O1027">
        <v>2.58</v>
      </c>
      <c r="P1027">
        <v>63.63</v>
      </c>
    </row>
    <row r="1028" spans="1:16" x14ac:dyDescent="0.2">
      <c r="A1028" t="s">
        <v>16</v>
      </c>
      <c r="C1028" t="b">
        <v>1</v>
      </c>
      <c r="D1028" t="s">
        <v>129</v>
      </c>
      <c r="E1028" t="s">
        <v>24</v>
      </c>
      <c r="F1028" t="b">
        <v>0</v>
      </c>
      <c r="G1028">
        <v>1.36</v>
      </c>
      <c r="H1028">
        <v>0.67</v>
      </c>
      <c r="I1028">
        <v>3.03</v>
      </c>
      <c r="J1028">
        <v>-0.02</v>
      </c>
      <c r="K1028">
        <v>-1.45</v>
      </c>
      <c r="L1028">
        <v>-0.02</v>
      </c>
      <c r="M1028">
        <v>-0.04</v>
      </c>
      <c r="N1028">
        <v>7.04</v>
      </c>
      <c r="O1028">
        <v>0.63</v>
      </c>
      <c r="P1028">
        <v>15.68</v>
      </c>
    </row>
    <row r="1029" spans="1:16" x14ac:dyDescent="0.2">
      <c r="A1029" t="s">
        <v>16</v>
      </c>
      <c r="C1029" t="b">
        <v>1</v>
      </c>
      <c r="D1029" t="s">
        <v>129</v>
      </c>
      <c r="E1029" t="s">
        <v>25</v>
      </c>
      <c r="F1029" t="b">
        <v>0</v>
      </c>
      <c r="G1029">
        <v>43.61</v>
      </c>
      <c r="H1029">
        <v>21.61</v>
      </c>
      <c r="I1029">
        <v>97.13</v>
      </c>
      <c r="J1029">
        <v>6.4</v>
      </c>
      <c r="K1029">
        <v>17.2</v>
      </c>
      <c r="L1029">
        <v>3.06</v>
      </c>
      <c r="M1029">
        <v>14.25</v>
      </c>
      <c r="N1029">
        <v>140.25</v>
      </c>
      <c r="O1029">
        <v>12.64</v>
      </c>
      <c r="P1029">
        <v>312.37</v>
      </c>
    </row>
    <row r="1030" spans="1:16" x14ac:dyDescent="0.2">
      <c r="A1030" t="s">
        <v>16</v>
      </c>
      <c r="C1030" t="b">
        <v>1</v>
      </c>
      <c r="D1030" t="s">
        <v>129</v>
      </c>
      <c r="E1030" t="s">
        <v>26</v>
      </c>
      <c r="F1030" t="b">
        <v>1</v>
      </c>
      <c r="G1030">
        <v>201.83</v>
      </c>
      <c r="H1030">
        <v>100</v>
      </c>
      <c r="I1030">
        <v>449.52</v>
      </c>
      <c r="J1030">
        <v>1.27</v>
      </c>
      <c r="K1030">
        <v>0.63</v>
      </c>
      <c r="L1030">
        <v>0</v>
      </c>
      <c r="M1030">
        <v>2.83</v>
      </c>
      <c r="N1030">
        <v>1109.2</v>
      </c>
      <c r="O1030">
        <v>100</v>
      </c>
      <c r="P1030">
        <v>2470.42</v>
      </c>
    </row>
    <row r="1031" spans="1:16" x14ac:dyDescent="0.2">
      <c r="A1031" t="s">
        <v>16</v>
      </c>
      <c r="C1031" t="b">
        <v>1</v>
      </c>
      <c r="D1031" t="s">
        <v>129</v>
      </c>
      <c r="E1031" t="s">
        <v>27</v>
      </c>
      <c r="F1031" t="b">
        <v>0</v>
      </c>
      <c r="G1031">
        <v>33.74</v>
      </c>
      <c r="H1031">
        <v>16.72</v>
      </c>
      <c r="I1031">
        <v>75.150000000000006</v>
      </c>
      <c r="J1031">
        <v>5.29</v>
      </c>
      <c r="K1031">
        <v>18.59</v>
      </c>
      <c r="L1031">
        <v>2.5299999999999998</v>
      </c>
      <c r="M1031">
        <v>11.78</v>
      </c>
      <c r="N1031">
        <v>193.07</v>
      </c>
      <c r="O1031">
        <v>17.41</v>
      </c>
      <c r="P1031">
        <v>430.01</v>
      </c>
    </row>
    <row r="1032" spans="1:16" x14ac:dyDescent="0.2">
      <c r="A1032" t="s">
        <v>16</v>
      </c>
      <c r="C1032" t="b">
        <v>1</v>
      </c>
      <c r="D1032" t="s">
        <v>130</v>
      </c>
      <c r="E1032" t="s">
        <v>18</v>
      </c>
      <c r="F1032" t="b">
        <v>0</v>
      </c>
      <c r="G1032">
        <v>7.17</v>
      </c>
      <c r="H1032">
        <v>3.5</v>
      </c>
      <c r="I1032">
        <v>15.97</v>
      </c>
      <c r="J1032">
        <v>-0.42</v>
      </c>
      <c r="K1032">
        <v>-5.53</v>
      </c>
      <c r="L1032">
        <v>-0.32</v>
      </c>
      <c r="M1032">
        <v>-0.94</v>
      </c>
      <c r="N1032">
        <v>52.83</v>
      </c>
      <c r="O1032">
        <v>4.0199999999999996</v>
      </c>
      <c r="P1032">
        <v>117.66</v>
      </c>
    </row>
    <row r="1033" spans="1:16" x14ac:dyDescent="0.2">
      <c r="A1033" t="s">
        <v>16</v>
      </c>
      <c r="C1033" t="b">
        <v>1</v>
      </c>
      <c r="D1033" t="s">
        <v>130</v>
      </c>
      <c r="E1033" t="s">
        <v>19</v>
      </c>
      <c r="F1033" t="b">
        <v>0</v>
      </c>
      <c r="G1033">
        <v>12.51</v>
      </c>
      <c r="H1033">
        <v>6.11</v>
      </c>
      <c r="I1033">
        <v>27.86</v>
      </c>
      <c r="J1033">
        <v>-4.7699999999999996</v>
      </c>
      <c r="K1033">
        <v>-27.6</v>
      </c>
      <c r="L1033">
        <v>-2.58</v>
      </c>
      <c r="M1033">
        <v>-10.62</v>
      </c>
      <c r="N1033">
        <v>126.43</v>
      </c>
      <c r="O1033">
        <v>9.6199999999999992</v>
      </c>
      <c r="P1033">
        <v>281.58999999999997</v>
      </c>
    </row>
    <row r="1034" spans="1:16" x14ac:dyDescent="0.2">
      <c r="A1034" t="s">
        <v>16</v>
      </c>
      <c r="C1034" t="b">
        <v>1</v>
      </c>
      <c r="D1034" t="s">
        <v>130</v>
      </c>
      <c r="E1034" t="s">
        <v>20</v>
      </c>
      <c r="F1034" t="b">
        <v>0</v>
      </c>
      <c r="G1034">
        <v>27.73</v>
      </c>
      <c r="H1034">
        <v>13.55</v>
      </c>
      <c r="I1034">
        <v>61.76</v>
      </c>
      <c r="J1034">
        <v>2.5</v>
      </c>
      <c r="K1034">
        <v>9.91</v>
      </c>
      <c r="L1034">
        <v>0.86</v>
      </c>
      <c r="M1034">
        <v>5.57</v>
      </c>
      <c r="N1034">
        <v>208.32</v>
      </c>
      <c r="O1034">
        <v>15.86</v>
      </c>
      <c r="P1034">
        <v>463.97</v>
      </c>
    </row>
    <row r="1035" spans="1:16" x14ac:dyDescent="0.2">
      <c r="A1035" t="s">
        <v>16</v>
      </c>
      <c r="C1035" t="b">
        <v>1</v>
      </c>
      <c r="D1035" t="s">
        <v>130</v>
      </c>
      <c r="E1035" t="s">
        <v>21</v>
      </c>
      <c r="F1035" t="b">
        <v>0</v>
      </c>
      <c r="G1035">
        <v>26.28</v>
      </c>
      <c r="H1035">
        <v>12.85</v>
      </c>
      <c r="I1035">
        <v>58.53</v>
      </c>
      <c r="J1035">
        <v>-5.32</v>
      </c>
      <c r="K1035">
        <v>-16.84</v>
      </c>
      <c r="L1035">
        <v>-3.05</v>
      </c>
      <c r="M1035">
        <v>-11.85</v>
      </c>
      <c r="N1035">
        <v>165.14</v>
      </c>
      <c r="O1035">
        <v>12.57</v>
      </c>
      <c r="P1035">
        <v>367.8</v>
      </c>
    </row>
    <row r="1036" spans="1:16" x14ac:dyDescent="0.2">
      <c r="A1036" t="s">
        <v>16</v>
      </c>
      <c r="C1036" t="b">
        <v>1</v>
      </c>
      <c r="D1036" t="s">
        <v>130</v>
      </c>
      <c r="E1036" t="s">
        <v>22</v>
      </c>
      <c r="F1036" t="b">
        <v>0</v>
      </c>
      <c r="G1036">
        <v>44.7</v>
      </c>
      <c r="H1036">
        <v>21.85</v>
      </c>
      <c r="I1036">
        <v>99.56</v>
      </c>
      <c r="J1036">
        <v>-0.85</v>
      </c>
      <c r="K1036">
        <v>-1.87</v>
      </c>
      <c r="L1036">
        <v>-1.06</v>
      </c>
      <c r="M1036">
        <v>-1.89</v>
      </c>
      <c r="N1036">
        <v>305.94</v>
      </c>
      <c r="O1036">
        <v>23.29</v>
      </c>
      <c r="P1036">
        <v>681.39</v>
      </c>
    </row>
    <row r="1037" spans="1:16" x14ac:dyDescent="0.2">
      <c r="A1037" t="s">
        <v>16</v>
      </c>
      <c r="C1037" t="b">
        <v>1</v>
      </c>
      <c r="D1037" t="s">
        <v>130</v>
      </c>
      <c r="E1037" t="s">
        <v>23</v>
      </c>
      <c r="F1037" t="b">
        <v>0</v>
      </c>
      <c r="G1037">
        <v>4.97</v>
      </c>
      <c r="H1037">
        <v>2.4300000000000002</v>
      </c>
      <c r="I1037">
        <v>11.07</v>
      </c>
      <c r="J1037">
        <v>-0.83</v>
      </c>
      <c r="K1037">
        <v>-14.31</v>
      </c>
      <c r="L1037">
        <v>-0.49</v>
      </c>
      <c r="M1037">
        <v>-1.85</v>
      </c>
      <c r="N1037">
        <v>33.54</v>
      </c>
      <c r="O1037">
        <v>2.5499999999999998</v>
      </c>
      <c r="P1037">
        <v>74.7</v>
      </c>
    </row>
    <row r="1038" spans="1:16" x14ac:dyDescent="0.2">
      <c r="A1038" t="s">
        <v>16</v>
      </c>
      <c r="C1038" t="b">
        <v>1</v>
      </c>
      <c r="D1038" t="s">
        <v>130</v>
      </c>
      <c r="E1038" t="s">
        <v>24</v>
      </c>
      <c r="F1038" t="b">
        <v>0</v>
      </c>
      <c r="G1038">
        <v>1.29</v>
      </c>
      <c r="H1038">
        <v>0.63</v>
      </c>
      <c r="I1038">
        <v>2.87</v>
      </c>
      <c r="J1038">
        <v>0.01</v>
      </c>
      <c r="K1038">
        <v>0.78</v>
      </c>
      <c r="L1038">
        <v>-0.01</v>
      </c>
      <c r="M1038">
        <v>0.02</v>
      </c>
      <c r="N1038">
        <v>8.33</v>
      </c>
      <c r="O1038">
        <v>0.63</v>
      </c>
      <c r="P1038">
        <v>18.55</v>
      </c>
    </row>
    <row r="1039" spans="1:16" x14ac:dyDescent="0.2">
      <c r="A1039" t="s">
        <v>16</v>
      </c>
      <c r="C1039" t="b">
        <v>1</v>
      </c>
      <c r="D1039" t="s">
        <v>130</v>
      </c>
      <c r="E1039" t="s">
        <v>25</v>
      </c>
      <c r="F1039" t="b">
        <v>0</v>
      </c>
      <c r="G1039">
        <v>47.64</v>
      </c>
      <c r="H1039">
        <v>23.29</v>
      </c>
      <c r="I1039">
        <v>106.1</v>
      </c>
      <c r="J1039">
        <v>9.9499999999999993</v>
      </c>
      <c r="K1039">
        <v>26.4</v>
      </c>
      <c r="L1039">
        <v>4.33</v>
      </c>
      <c r="M1039">
        <v>22.16</v>
      </c>
      <c r="N1039">
        <v>187.89</v>
      </c>
      <c r="O1039">
        <v>14.3</v>
      </c>
      <c r="P1039">
        <v>418.47</v>
      </c>
    </row>
    <row r="1040" spans="1:16" x14ac:dyDescent="0.2">
      <c r="A1040" t="s">
        <v>16</v>
      </c>
      <c r="C1040" t="b">
        <v>1</v>
      </c>
      <c r="D1040" t="s">
        <v>130</v>
      </c>
      <c r="E1040" t="s">
        <v>26</v>
      </c>
      <c r="F1040" t="b">
        <v>1</v>
      </c>
      <c r="G1040">
        <v>204.59</v>
      </c>
      <c r="H1040">
        <v>100</v>
      </c>
      <c r="I1040">
        <v>455.66</v>
      </c>
      <c r="J1040">
        <v>5.81</v>
      </c>
      <c r="K1040">
        <v>2.92</v>
      </c>
      <c r="L1040">
        <v>0</v>
      </c>
      <c r="M1040">
        <v>12.94</v>
      </c>
      <c r="N1040">
        <v>1313.79</v>
      </c>
      <c r="O1040">
        <v>100</v>
      </c>
      <c r="P1040">
        <v>2926.08</v>
      </c>
    </row>
    <row r="1041" spans="1:16" x14ac:dyDescent="0.2">
      <c r="A1041" t="s">
        <v>16</v>
      </c>
      <c r="C1041" t="b">
        <v>1</v>
      </c>
      <c r="D1041" t="s">
        <v>130</v>
      </c>
      <c r="E1041" t="s">
        <v>27</v>
      </c>
      <c r="F1041" t="b">
        <v>0</v>
      </c>
      <c r="G1041">
        <v>32.299999999999997</v>
      </c>
      <c r="H1041">
        <v>15.79</v>
      </c>
      <c r="I1041">
        <v>71.94</v>
      </c>
      <c r="J1041">
        <v>5.54</v>
      </c>
      <c r="K1041">
        <v>20.7</v>
      </c>
      <c r="L1041">
        <v>2.33</v>
      </c>
      <c r="M1041">
        <v>12.34</v>
      </c>
      <c r="N1041">
        <v>225.37</v>
      </c>
      <c r="O1041">
        <v>17.149999999999999</v>
      </c>
      <c r="P1041">
        <v>501.95</v>
      </c>
    </row>
    <row r="1042" spans="1:16" x14ac:dyDescent="0.2">
      <c r="A1042" t="s">
        <v>16</v>
      </c>
      <c r="C1042" t="b">
        <v>1</v>
      </c>
      <c r="D1042" t="s">
        <v>131</v>
      </c>
      <c r="E1042" t="s">
        <v>18</v>
      </c>
      <c r="F1042" t="b">
        <v>0</v>
      </c>
      <c r="G1042">
        <v>7.17</v>
      </c>
      <c r="H1042">
        <v>3.34</v>
      </c>
      <c r="I1042">
        <v>15.97</v>
      </c>
      <c r="J1042">
        <v>-0.49</v>
      </c>
      <c r="K1042">
        <v>-6.4</v>
      </c>
      <c r="L1042">
        <v>-0.24</v>
      </c>
      <c r="M1042">
        <v>-1.0900000000000001</v>
      </c>
      <c r="N1042">
        <v>60</v>
      </c>
      <c r="O1042">
        <v>3.93</v>
      </c>
      <c r="P1042">
        <v>133.63</v>
      </c>
    </row>
    <row r="1043" spans="1:16" x14ac:dyDescent="0.2">
      <c r="A1043" t="s">
        <v>16</v>
      </c>
      <c r="C1043" t="b">
        <v>1</v>
      </c>
      <c r="D1043" t="s">
        <v>131</v>
      </c>
      <c r="E1043" t="s">
        <v>19</v>
      </c>
      <c r="F1043" t="b">
        <v>0</v>
      </c>
      <c r="G1043">
        <v>17.98</v>
      </c>
      <c r="H1043">
        <v>8.3699999999999992</v>
      </c>
      <c r="I1043">
        <v>40.049999999999997</v>
      </c>
      <c r="J1043">
        <v>-0.2</v>
      </c>
      <c r="K1043">
        <v>-1.1000000000000001</v>
      </c>
      <c r="L1043">
        <v>-0.12</v>
      </c>
      <c r="M1043">
        <v>-0.45</v>
      </c>
      <c r="N1043">
        <v>144.41</v>
      </c>
      <c r="O1043">
        <v>9.4499999999999993</v>
      </c>
      <c r="P1043">
        <v>321.63</v>
      </c>
    </row>
    <row r="1044" spans="1:16" x14ac:dyDescent="0.2">
      <c r="A1044" t="s">
        <v>16</v>
      </c>
      <c r="C1044" t="b">
        <v>1</v>
      </c>
      <c r="D1044" t="s">
        <v>131</v>
      </c>
      <c r="E1044" t="s">
        <v>20</v>
      </c>
      <c r="F1044" t="b">
        <v>0</v>
      </c>
      <c r="G1044">
        <v>33.72</v>
      </c>
      <c r="H1044">
        <v>15.69</v>
      </c>
      <c r="I1044">
        <v>75.099999999999994</v>
      </c>
      <c r="J1044">
        <v>1.55</v>
      </c>
      <c r="K1044">
        <v>4.82</v>
      </c>
      <c r="L1044">
        <v>0.66</v>
      </c>
      <c r="M1044">
        <v>3.45</v>
      </c>
      <c r="N1044">
        <v>242.04</v>
      </c>
      <c r="O1044">
        <v>15.83</v>
      </c>
      <c r="P1044">
        <v>539.07000000000005</v>
      </c>
    </row>
    <row r="1045" spans="1:16" x14ac:dyDescent="0.2">
      <c r="A1045" t="s">
        <v>16</v>
      </c>
      <c r="C1045" t="b">
        <v>1</v>
      </c>
      <c r="D1045" t="s">
        <v>131</v>
      </c>
      <c r="E1045" t="s">
        <v>21</v>
      </c>
      <c r="F1045" t="b">
        <v>0</v>
      </c>
      <c r="G1045">
        <v>25.08</v>
      </c>
      <c r="H1045">
        <v>11.67</v>
      </c>
      <c r="I1045">
        <v>55.86</v>
      </c>
      <c r="J1045">
        <v>-4.4000000000000004</v>
      </c>
      <c r="K1045">
        <v>-14.93</v>
      </c>
      <c r="L1045">
        <v>-2.1</v>
      </c>
      <c r="M1045">
        <v>-9.8000000000000007</v>
      </c>
      <c r="N1045">
        <v>190.22</v>
      </c>
      <c r="O1045">
        <v>12.44</v>
      </c>
      <c r="P1045">
        <v>423.66</v>
      </c>
    </row>
    <row r="1046" spans="1:16" x14ac:dyDescent="0.2">
      <c r="A1046" t="s">
        <v>16</v>
      </c>
      <c r="C1046" t="b">
        <v>1</v>
      </c>
      <c r="D1046" t="s">
        <v>131</v>
      </c>
      <c r="E1046" t="s">
        <v>22</v>
      </c>
      <c r="F1046" t="b">
        <v>0</v>
      </c>
      <c r="G1046">
        <v>49.81</v>
      </c>
      <c r="H1046">
        <v>23.18</v>
      </c>
      <c r="I1046">
        <v>110.94</v>
      </c>
      <c r="J1046">
        <v>-1.41</v>
      </c>
      <c r="K1046">
        <v>-2.75</v>
      </c>
      <c r="L1046">
        <v>-0.75</v>
      </c>
      <c r="M1046">
        <v>-3.14</v>
      </c>
      <c r="N1046">
        <v>355.75</v>
      </c>
      <c r="O1046">
        <v>23.27</v>
      </c>
      <c r="P1046">
        <v>792.33</v>
      </c>
    </row>
    <row r="1047" spans="1:16" x14ac:dyDescent="0.2">
      <c r="A1047" t="s">
        <v>16</v>
      </c>
      <c r="C1047" t="b">
        <v>1</v>
      </c>
      <c r="D1047" t="s">
        <v>131</v>
      </c>
      <c r="E1047" t="s">
        <v>23</v>
      </c>
      <c r="F1047" t="b">
        <v>0</v>
      </c>
      <c r="G1047">
        <v>5.35</v>
      </c>
      <c r="H1047">
        <v>2.4900000000000002</v>
      </c>
      <c r="I1047">
        <v>11.92</v>
      </c>
      <c r="J1047">
        <v>-0.75</v>
      </c>
      <c r="K1047">
        <v>-12.3</v>
      </c>
      <c r="L1047">
        <v>-0.36</v>
      </c>
      <c r="M1047">
        <v>-1.67</v>
      </c>
      <c r="N1047">
        <v>38.89</v>
      </c>
      <c r="O1047">
        <v>2.54</v>
      </c>
      <c r="P1047">
        <v>86.62</v>
      </c>
    </row>
    <row r="1048" spans="1:16" x14ac:dyDescent="0.2">
      <c r="A1048" t="s">
        <v>16</v>
      </c>
      <c r="C1048" t="b">
        <v>1</v>
      </c>
      <c r="D1048" t="s">
        <v>131</v>
      </c>
      <c r="E1048" t="s">
        <v>24</v>
      </c>
      <c r="F1048" t="b">
        <v>0</v>
      </c>
      <c r="G1048">
        <v>1.37</v>
      </c>
      <c r="H1048">
        <v>0.64</v>
      </c>
      <c r="I1048">
        <v>3.05</v>
      </c>
      <c r="J1048">
        <v>0</v>
      </c>
      <c r="K1048">
        <v>0</v>
      </c>
      <c r="L1048">
        <v>0</v>
      </c>
      <c r="M1048">
        <v>0</v>
      </c>
      <c r="N1048">
        <v>9.6999999999999993</v>
      </c>
      <c r="O1048">
        <v>0.63</v>
      </c>
      <c r="P1048">
        <v>21.6</v>
      </c>
    </row>
    <row r="1049" spans="1:16" x14ac:dyDescent="0.2">
      <c r="A1049" t="s">
        <v>16</v>
      </c>
      <c r="C1049" t="b">
        <v>1</v>
      </c>
      <c r="D1049" t="s">
        <v>131</v>
      </c>
      <c r="E1049" t="s">
        <v>25</v>
      </c>
      <c r="F1049" t="b">
        <v>0</v>
      </c>
      <c r="G1049">
        <v>46.13</v>
      </c>
      <c r="H1049">
        <v>21.47</v>
      </c>
      <c r="I1049">
        <v>102.74</v>
      </c>
      <c r="J1049">
        <v>4.83</v>
      </c>
      <c r="K1049">
        <v>11.69</v>
      </c>
      <c r="L1049">
        <v>2.17</v>
      </c>
      <c r="M1049">
        <v>10.76</v>
      </c>
      <c r="N1049">
        <v>234.02</v>
      </c>
      <c r="O1049">
        <v>15.31</v>
      </c>
      <c r="P1049">
        <v>521.21</v>
      </c>
    </row>
    <row r="1050" spans="1:16" x14ac:dyDescent="0.2">
      <c r="A1050" t="s">
        <v>16</v>
      </c>
      <c r="C1050" t="b">
        <v>1</v>
      </c>
      <c r="D1050" t="s">
        <v>131</v>
      </c>
      <c r="E1050" t="s">
        <v>26</v>
      </c>
      <c r="F1050" t="b">
        <v>1</v>
      </c>
      <c r="G1050">
        <v>214.86</v>
      </c>
      <c r="H1050">
        <v>100</v>
      </c>
      <c r="I1050">
        <v>478.54</v>
      </c>
      <c r="J1050">
        <v>0.84</v>
      </c>
      <c r="K1050">
        <v>0.39</v>
      </c>
      <c r="L1050">
        <v>0</v>
      </c>
      <c r="M1050">
        <v>1.87</v>
      </c>
      <c r="N1050">
        <v>1528.65</v>
      </c>
      <c r="O1050">
        <v>100</v>
      </c>
      <c r="P1050">
        <v>3404.62</v>
      </c>
    </row>
    <row r="1051" spans="1:16" x14ac:dyDescent="0.2">
      <c r="A1051" t="s">
        <v>16</v>
      </c>
      <c r="C1051" t="b">
        <v>1</v>
      </c>
      <c r="D1051" t="s">
        <v>131</v>
      </c>
      <c r="E1051" t="s">
        <v>27</v>
      </c>
      <c r="F1051" t="b">
        <v>0</v>
      </c>
      <c r="G1051">
        <v>28.25</v>
      </c>
      <c r="H1051">
        <v>13.15</v>
      </c>
      <c r="I1051">
        <v>62.92</v>
      </c>
      <c r="J1051">
        <v>1.71</v>
      </c>
      <c r="K1051">
        <v>6.44</v>
      </c>
      <c r="L1051">
        <v>0.75</v>
      </c>
      <c r="M1051">
        <v>3.81</v>
      </c>
      <c r="N1051">
        <v>253.62</v>
      </c>
      <c r="O1051">
        <v>16.59</v>
      </c>
      <c r="P1051">
        <v>564.86</v>
      </c>
    </row>
    <row r="1052" spans="1:16" x14ac:dyDescent="0.2">
      <c r="A1052" t="s">
        <v>16</v>
      </c>
      <c r="C1052" t="b">
        <v>1</v>
      </c>
      <c r="D1052" t="s">
        <v>132</v>
      </c>
      <c r="E1052" t="s">
        <v>18</v>
      </c>
      <c r="F1052" t="b">
        <v>0</v>
      </c>
      <c r="G1052">
        <v>7.52</v>
      </c>
      <c r="H1052">
        <v>3.69</v>
      </c>
      <c r="I1052">
        <v>16.75</v>
      </c>
      <c r="J1052">
        <v>-0.08</v>
      </c>
      <c r="K1052">
        <v>-1.05</v>
      </c>
      <c r="L1052">
        <v>0.01</v>
      </c>
      <c r="M1052">
        <v>-0.18</v>
      </c>
      <c r="N1052">
        <v>67.52</v>
      </c>
      <c r="O1052">
        <v>3.9</v>
      </c>
      <c r="P1052">
        <v>150.38</v>
      </c>
    </row>
    <row r="1053" spans="1:16" x14ac:dyDescent="0.2">
      <c r="A1053" t="s">
        <v>16</v>
      </c>
      <c r="C1053" t="b">
        <v>1</v>
      </c>
      <c r="D1053" t="s">
        <v>132</v>
      </c>
      <c r="E1053" t="s">
        <v>19</v>
      </c>
      <c r="F1053" t="b">
        <v>0</v>
      </c>
      <c r="G1053">
        <v>15.1</v>
      </c>
      <c r="H1053">
        <v>7.41</v>
      </c>
      <c r="I1053">
        <v>33.630000000000003</v>
      </c>
      <c r="J1053">
        <v>-3.69</v>
      </c>
      <c r="K1053">
        <v>-19.64</v>
      </c>
      <c r="L1053">
        <v>-1.69</v>
      </c>
      <c r="M1053">
        <v>-8.2200000000000006</v>
      </c>
      <c r="N1053">
        <v>159.51</v>
      </c>
      <c r="O1053">
        <v>9.2100000000000009</v>
      </c>
      <c r="P1053">
        <v>355.26</v>
      </c>
    </row>
    <row r="1054" spans="1:16" x14ac:dyDescent="0.2">
      <c r="A1054" t="s">
        <v>16</v>
      </c>
      <c r="C1054" t="b">
        <v>1</v>
      </c>
      <c r="D1054" t="s">
        <v>132</v>
      </c>
      <c r="E1054" t="s">
        <v>20</v>
      </c>
      <c r="F1054" t="b">
        <v>0</v>
      </c>
      <c r="G1054">
        <v>29.74</v>
      </c>
      <c r="H1054">
        <v>14.6</v>
      </c>
      <c r="I1054">
        <v>66.239999999999995</v>
      </c>
      <c r="J1054">
        <v>-2.39</v>
      </c>
      <c r="K1054">
        <v>-7.44</v>
      </c>
      <c r="L1054">
        <v>-0.96</v>
      </c>
      <c r="M1054">
        <v>-5.32</v>
      </c>
      <c r="N1054">
        <v>271.77999999999997</v>
      </c>
      <c r="O1054">
        <v>15.69</v>
      </c>
      <c r="P1054">
        <v>605.30999999999995</v>
      </c>
    </row>
    <row r="1055" spans="1:16" x14ac:dyDescent="0.2">
      <c r="A1055" t="s">
        <v>16</v>
      </c>
      <c r="C1055" t="b">
        <v>1</v>
      </c>
      <c r="D1055" t="s">
        <v>132</v>
      </c>
      <c r="E1055" t="s">
        <v>21</v>
      </c>
      <c r="F1055" t="b">
        <v>0</v>
      </c>
      <c r="G1055">
        <v>22.86</v>
      </c>
      <c r="H1055">
        <v>11.22</v>
      </c>
      <c r="I1055">
        <v>50.91</v>
      </c>
      <c r="J1055">
        <v>0.01</v>
      </c>
      <c r="K1055">
        <v>0.04</v>
      </c>
      <c r="L1055">
        <v>0.15</v>
      </c>
      <c r="M1055">
        <v>0.02</v>
      </c>
      <c r="N1055">
        <v>213.08</v>
      </c>
      <c r="O1055">
        <v>12.3</v>
      </c>
      <c r="P1055">
        <v>474.57</v>
      </c>
    </row>
    <row r="1056" spans="1:16" x14ac:dyDescent="0.2">
      <c r="A1056" t="s">
        <v>16</v>
      </c>
      <c r="C1056" t="b">
        <v>1</v>
      </c>
      <c r="D1056" t="s">
        <v>132</v>
      </c>
      <c r="E1056" t="s">
        <v>22</v>
      </c>
      <c r="F1056" t="b">
        <v>0</v>
      </c>
      <c r="G1056">
        <v>49.41</v>
      </c>
      <c r="H1056">
        <v>24.25</v>
      </c>
      <c r="I1056">
        <v>110.05</v>
      </c>
      <c r="J1056">
        <v>-2.1800000000000002</v>
      </c>
      <c r="K1056">
        <v>-4.2300000000000004</v>
      </c>
      <c r="L1056">
        <v>-0.74</v>
      </c>
      <c r="M1056">
        <v>-4.8600000000000003</v>
      </c>
      <c r="N1056">
        <v>405.16</v>
      </c>
      <c r="O1056">
        <v>23.39</v>
      </c>
      <c r="P1056">
        <v>902.38</v>
      </c>
    </row>
    <row r="1057" spans="1:16" x14ac:dyDescent="0.2">
      <c r="A1057" t="s">
        <v>16</v>
      </c>
      <c r="C1057" t="b">
        <v>1</v>
      </c>
      <c r="D1057" t="s">
        <v>132</v>
      </c>
      <c r="E1057" t="s">
        <v>23</v>
      </c>
      <c r="F1057" t="b">
        <v>0</v>
      </c>
      <c r="G1057">
        <v>5.26</v>
      </c>
      <c r="H1057">
        <v>2.58</v>
      </c>
      <c r="I1057">
        <v>11.72</v>
      </c>
      <c r="J1057">
        <v>-0.67</v>
      </c>
      <c r="K1057">
        <v>-11.3</v>
      </c>
      <c r="L1057">
        <v>-0.28999999999999998</v>
      </c>
      <c r="M1057">
        <v>-1.49</v>
      </c>
      <c r="N1057">
        <v>44.15</v>
      </c>
      <c r="O1057">
        <v>2.5499999999999998</v>
      </c>
      <c r="P1057">
        <v>98.33</v>
      </c>
    </row>
    <row r="1058" spans="1:16" x14ac:dyDescent="0.2">
      <c r="A1058" t="s">
        <v>16</v>
      </c>
      <c r="C1058" t="b">
        <v>1</v>
      </c>
      <c r="D1058" t="s">
        <v>132</v>
      </c>
      <c r="E1058" t="s">
        <v>24</v>
      </c>
      <c r="F1058" t="b">
        <v>0</v>
      </c>
      <c r="G1058">
        <v>1.37</v>
      </c>
      <c r="H1058">
        <v>0.67</v>
      </c>
      <c r="I1058">
        <v>3.05</v>
      </c>
      <c r="J1058">
        <v>0.01</v>
      </c>
      <c r="K1058">
        <v>0.74</v>
      </c>
      <c r="L1058">
        <v>0.01</v>
      </c>
      <c r="M1058">
        <v>0.02</v>
      </c>
      <c r="N1058">
        <v>11.07</v>
      </c>
      <c r="O1058">
        <v>0.64</v>
      </c>
      <c r="P1058">
        <v>24.66</v>
      </c>
    </row>
    <row r="1059" spans="1:16" x14ac:dyDescent="0.2">
      <c r="A1059" t="s">
        <v>16</v>
      </c>
      <c r="C1059" t="b">
        <v>1</v>
      </c>
      <c r="D1059" t="s">
        <v>132</v>
      </c>
      <c r="E1059" t="s">
        <v>25</v>
      </c>
      <c r="F1059" t="b">
        <v>0</v>
      </c>
      <c r="G1059">
        <v>44.4</v>
      </c>
      <c r="H1059">
        <v>21.79</v>
      </c>
      <c r="I1059">
        <v>98.89</v>
      </c>
      <c r="J1059">
        <v>5.1100000000000003</v>
      </c>
      <c r="K1059">
        <v>13.01</v>
      </c>
      <c r="L1059">
        <v>2.76</v>
      </c>
      <c r="M1059">
        <v>11.38</v>
      </c>
      <c r="N1059">
        <v>278.42</v>
      </c>
      <c r="O1059">
        <v>16.07</v>
      </c>
      <c r="P1059">
        <v>620.1</v>
      </c>
    </row>
    <row r="1060" spans="1:16" x14ac:dyDescent="0.2">
      <c r="A1060" t="s">
        <v>16</v>
      </c>
      <c r="C1060" t="b">
        <v>1</v>
      </c>
      <c r="D1060" t="s">
        <v>132</v>
      </c>
      <c r="E1060" t="s">
        <v>26</v>
      </c>
      <c r="F1060" t="b">
        <v>1</v>
      </c>
      <c r="G1060">
        <v>203.73</v>
      </c>
      <c r="H1060">
        <v>100</v>
      </c>
      <c r="I1060">
        <v>453.75</v>
      </c>
      <c r="J1060">
        <v>-2.75</v>
      </c>
      <c r="K1060">
        <v>-1.33</v>
      </c>
      <c r="L1060">
        <v>0</v>
      </c>
      <c r="M1060">
        <v>-6.12</v>
      </c>
      <c r="N1060">
        <v>1732.38</v>
      </c>
      <c r="O1060">
        <v>100</v>
      </c>
      <c r="P1060">
        <v>3858.37</v>
      </c>
    </row>
    <row r="1061" spans="1:16" x14ac:dyDescent="0.2">
      <c r="A1061" t="s">
        <v>16</v>
      </c>
      <c r="C1061" t="b">
        <v>1</v>
      </c>
      <c r="D1061" t="s">
        <v>132</v>
      </c>
      <c r="E1061" t="s">
        <v>27</v>
      </c>
      <c r="F1061" t="b">
        <v>0</v>
      </c>
      <c r="G1061">
        <v>28.07</v>
      </c>
      <c r="H1061">
        <v>13.78</v>
      </c>
      <c r="I1061">
        <v>62.52</v>
      </c>
      <c r="J1061">
        <v>1.1299999999999999</v>
      </c>
      <c r="K1061">
        <v>4.1900000000000004</v>
      </c>
      <c r="L1061">
        <v>0.73</v>
      </c>
      <c r="M1061">
        <v>2.52</v>
      </c>
      <c r="N1061">
        <v>281.69</v>
      </c>
      <c r="O1061">
        <v>16.260000000000002</v>
      </c>
      <c r="P1061">
        <v>627.38</v>
      </c>
    </row>
    <row r="1062" spans="1:16" x14ac:dyDescent="0.2">
      <c r="A1062" t="s">
        <v>16</v>
      </c>
      <c r="C1062" t="b">
        <v>1</v>
      </c>
      <c r="D1062" t="s">
        <v>133</v>
      </c>
      <c r="E1062" t="s">
        <v>18</v>
      </c>
      <c r="F1062" t="b">
        <v>0</v>
      </c>
      <c r="G1062">
        <v>7.53</v>
      </c>
      <c r="H1062">
        <v>3.73</v>
      </c>
      <c r="I1062">
        <v>16.77</v>
      </c>
      <c r="J1062">
        <v>-0.14000000000000001</v>
      </c>
      <c r="K1062">
        <v>-1.83</v>
      </c>
      <c r="L1062">
        <v>-0.11</v>
      </c>
      <c r="M1062">
        <v>-0.31</v>
      </c>
      <c r="N1062">
        <v>75.05</v>
      </c>
      <c r="O1062">
        <v>3.88</v>
      </c>
      <c r="P1062">
        <v>167.15</v>
      </c>
    </row>
    <row r="1063" spans="1:16" x14ac:dyDescent="0.2">
      <c r="A1063" t="s">
        <v>16</v>
      </c>
      <c r="C1063" t="b">
        <v>1</v>
      </c>
      <c r="D1063" t="s">
        <v>133</v>
      </c>
      <c r="E1063" t="s">
        <v>19</v>
      </c>
      <c r="F1063" t="b">
        <v>0</v>
      </c>
      <c r="G1063">
        <v>16.03</v>
      </c>
      <c r="H1063">
        <v>7.94</v>
      </c>
      <c r="I1063">
        <v>35.700000000000003</v>
      </c>
      <c r="J1063">
        <v>-2.62</v>
      </c>
      <c r="K1063">
        <v>-14.05</v>
      </c>
      <c r="L1063">
        <v>-1.39</v>
      </c>
      <c r="M1063">
        <v>-5.84</v>
      </c>
      <c r="N1063">
        <v>175.54</v>
      </c>
      <c r="O1063">
        <v>9.08</v>
      </c>
      <c r="P1063">
        <v>390.96</v>
      </c>
    </row>
    <row r="1064" spans="1:16" x14ac:dyDescent="0.2">
      <c r="A1064" t="s">
        <v>16</v>
      </c>
      <c r="C1064" t="b">
        <v>1</v>
      </c>
      <c r="D1064" t="s">
        <v>133</v>
      </c>
      <c r="E1064" t="s">
        <v>20</v>
      </c>
      <c r="F1064" t="b">
        <v>0</v>
      </c>
      <c r="G1064">
        <v>29.95</v>
      </c>
      <c r="H1064">
        <v>14.84</v>
      </c>
      <c r="I1064">
        <v>66.7</v>
      </c>
      <c r="J1064">
        <v>0.11</v>
      </c>
      <c r="K1064">
        <v>0.37</v>
      </c>
      <c r="L1064">
        <v>-0.08</v>
      </c>
      <c r="M1064">
        <v>0.24</v>
      </c>
      <c r="N1064">
        <v>301.73</v>
      </c>
      <c r="O1064">
        <v>15.6</v>
      </c>
      <c r="P1064">
        <v>672.02</v>
      </c>
    </row>
    <row r="1065" spans="1:16" x14ac:dyDescent="0.2">
      <c r="A1065" t="s">
        <v>16</v>
      </c>
      <c r="C1065" t="b">
        <v>1</v>
      </c>
      <c r="D1065" t="s">
        <v>133</v>
      </c>
      <c r="E1065" t="s">
        <v>21</v>
      </c>
      <c r="F1065" t="b">
        <v>0</v>
      </c>
      <c r="G1065">
        <v>21.52</v>
      </c>
      <c r="H1065">
        <v>10.66</v>
      </c>
      <c r="I1065">
        <v>47.93</v>
      </c>
      <c r="J1065">
        <v>-1.91</v>
      </c>
      <c r="K1065">
        <v>-8.15</v>
      </c>
      <c r="L1065">
        <v>-1.06</v>
      </c>
      <c r="M1065">
        <v>-4.25</v>
      </c>
      <c r="N1065">
        <v>234.6</v>
      </c>
      <c r="O1065">
        <v>12.13</v>
      </c>
      <c r="P1065">
        <v>522.5</v>
      </c>
    </row>
    <row r="1066" spans="1:16" x14ac:dyDescent="0.2">
      <c r="A1066" t="s">
        <v>16</v>
      </c>
      <c r="C1066" t="b">
        <v>1</v>
      </c>
      <c r="D1066" t="s">
        <v>133</v>
      </c>
      <c r="E1066" t="s">
        <v>22</v>
      </c>
      <c r="F1066" t="b">
        <v>0</v>
      </c>
      <c r="G1066">
        <v>48.84</v>
      </c>
      <c r="H1066">
        <v>24.2</v>
      </c>
      <c r="I1066">
        <v>108.78</v>
      </c>
      <c r="J1066">
        <v>0.65</v>
      </c>
      <c r="K1066">
        <v>1.35</v>
      </c>
      <c r="L1066">
        <v>0.1</v>
      </c>
      <c r="M1066">
        <v>1.45</v>
      </c>
      <c r="N1066">
        <v>454</v>
      </c>
      <c r="O1066">
        <v>23.47</v>
      </c>
      <c r="P1066">
        <v>1011.15</v>
      </c>
    </row>
    <row r="1067" spans="1:16" x14ac:dyDescent="0.2">
      <c r="A1067" t="s">
        <v>16</v>
      </c>
      <c r="C1067" t="b">
        <v>1</v>
      </c>
      <c r="D1067" t="s">
        <v>133</v>
      </c>
      <c r="E1067" t="s">
        <v>23</v>
      </c>
      <c r="F1067" t="b">
        <v>0</v>
      </c>
      <c r="G1067">
        <v>5.0999999999999996</v>
      </c>
      <c r="H1067">
        <v>2.5299999999999998</v>
      </c>
      <c r="I1067">
        <v>11.36</v>
      </c>
      <c r="J1067">
        <v>-0.47</v>
      </c>
      <c r="K1067">
        <v>-8.44</v>
      </c>
      <c r="L1067">
        <v>-0.26</v>
      </c>
      <c r="M1067">
        <v>-1.05</v>
      </c>
      <c r="N1067">
        <v>49.25</v>
      </c>
      <c r="O1067">
        <v>2.5499999999999998</v>
      </c>
      <c r="P1067">
        <v>109.69</v>
      </c>
    </row>
    <row r="1068" spans="1:16" x14ac:dyDescent="0.2">
      <c r="A1068" t="s">
        <v>16</v>
      </c>
      <c r="C1068" t="b">
        <v>1</v>
      </c>
      <c r="D1068" t="s">
        <v>133</v>
      </c>
      <c r="E1068" t="s">
        <v>24</v>
      </c>
      <c r="F1068" t="b">
        <v>0</v>
      </c>
      <c r="G1068">
        <v>1.32</v>
      </c>
      <c r="H1068">
        <v>0.65</v>
      </c>
      <c r="I1068">
        <v>2.94</v>
      </c>
      <c r="J1068">
        <v>-0.01</v>
      </c>
      <c r="K1068">
        <v>-0.75</v>
      </c>
      <c r="L1068">
        <v>-0.02</v>
      </c>
      <c r="M1068">
        <v>-0.02</v>
      </c>
      <c r="N1068">
        <v>12.39</v>
      </c>
      <c r="O1068">
        <v>0.64</v>
      </c>
      <c r="P1068">
        <v>27.6</v>
      </c>
    </row>
    <row r="1069" spans="1:16" x14ac:dyDescent="0.2">
      <c r="A1069" t="s">
        <v>16</v>
      </c>
      <c r="C1069" t="b">
        <v>1</v>
      </c>
      <c r="D1069" t="s">
        <v>133</v>
      </c>
      <c r="E1069" t="s">
        <v>25</v>
      </c>
      <c r="F1069" t="b">
        <v>0</v>
      </c>
      <c r="G1069">
        <v>33.659999999999997</v>
      </c>
      <c r="H1069">
        <v>16.68</v>
      </c>
      <c r="I1069">
        <v>74.97</v>
      </c>
      <c r="J1069">
        <v>4.8499999999999996</v>
      </c>
      <c r="K1069">
        <v>16.829999999999998</v>
      </c>
      <c r="L1069">
        <v>2.27</v>
      </c>
      <c r="M1069">
        <v>10.8</v>
      </c>
      <c r="N1069">
        <v>312.08</v>
      </c>
      <c r="O1069">
        <v>16.13</v>
      </c>
      <c r="P1069">
        <v>695.07</v>
      </c>
    </row>
    <row r="1070" spans="1:16" x14ac:dyDescent="0.2">
      <c r="A1070" t="s">
        <v>16</v>
      </c>
      <c r="C1070" t="b">
        <v>1</v>
      </c>
      <c r="D1070" t="s">
        <v>133</v>
      </c>
      <c r="E1070" t="s">
        <v>26</v>
      </c>
      <c r="F1070" t="b">
        <v>1</v>
      </c>
      <c r="G1070">
        <v>201.81</v>
      </c>
      <c r="H1070">
        <v>100</v>
      </c>
      <c r="I1070">
        <v>449.47</v>
      </c>
      <c r="J1070">
        <v>1.82</v>
      </c>
      <c r="K1070">
        <v>0.91</v>
      </c>
      <c r="L1070">
        <v>0</v>
      </c>
      <c r="M1070">
        <v>4.05</v>
      </c>
      <c r="N1070">
        <v>1934.19</v>
      </c>
      <c r="O1070">
        <v>100</v>
      </c>
      <c r="P1070">
        <v>4307.84</v>
      </c>
    </row>
    <row r="1071" spans="1:16" x14ac:dyDescent="0.2">
      <c r="A1071" t="s">
        <v>16</v>
      </c>
      <c r="C1071" t="b">
        <v>1</v>
      </c>
      <c r="D1071" t="s">
        <v>133</v>
      </c>
      <c r="E1071" t="s">
        <v>27</v>
      </c>
      <c r="F1071" t="b">
        <v>0</v>
      </c>
      <c r="G1071">
        <v>37.86</v>
      </c>
      <c r="H1071">
        <v>18.760000000000002</v>
      </c>
      <c r="I1071">
        <v>84.32</v>
      </c>
      <c r="J1071">
        <v>1.36</v>
      </c>
      <c r="K1071">
        <v>3.73</v>
      </c>
      <c r="L1071">
        <v>0.51</v>
      </c>
      <c r="M1071">
        <v>3.03</v>
      </c>
      <c r="N1071">
        <v>319.55</v>
      </c>
      <c r="O1071">
        <v>16.52</v>
      </c>
      <c r="P1071">
        <v>711.7</v>
      </c>
    </row>
    <row r="1072" spans="1:16" x14ac:dyDescent="0.2">
      <c r="A1072" t="s">
        <v>16</v>
      </c>
      <c r="C1072" t="b">
        <v>1</v>
      </c>
      <c r="D1072" t="s">
        <v>134</v>
      </c>
      <c r="E1072" t="s">
        <v>18</v>
      </c>
      <c r="F1072" t="b">
        <v>0</v>
      </c>
      <c r="G1072">
        <v>8.4700000000000006</v>
      </c>
      <c r="H1072">
        <v>3.91</v>
      </c>
      <c r="I1072">
        <v>18.86</v>
      </c>
      <c r="J1072">
        <v>0.03</v>
      </c>
      <c r="K1072">
        <v>0.36</v>
      </c>
      <c r="L1072">
        <v>-0.1</v>
      </c>
      <c r="M1072">
        <v>7.0000000000000007E-2</v>
      </c>
      <c r="N1072">
        <v>83.52</v>
      </c>
      <c r="O1072">
        <v>3.88</v>
      </c>
      <c r="P1072">
        <v>186.02</v>
      </c>
    </row>
    <row r="1073" spans="1:16" x14ac:dyDescent="0.2">
      <c r="A1073" t="s">
        <v>16</v>
      </c>
      <c r="C1073" t="b">
        <v>1</v>
      </c>
      <c r="D1073" t="s">
        <v>134</v>
      </c>
      <c r="E1073" t="s">
        <v>19</v>
      </c>
      <c r="F1073" t="b">
        <v>0</v>
      </c>
      <c r="G1073">
        <v>19.989999999999998</v>
      </c>
      <c r="H1073">
        <v>9.2200000000000006</v>
      </c>
      <c r="I1073">
        <v>44.52</v>
      </c>
      <c r="J1073">
        <v>-3.49</v>
      </c>
      <c r="K1073">
        <v>-14.86</v>
      </c>
      <c r="L1073">
        <v>-1.93</v>
      </c>
      <c r="M1073">
        <v>-7.77</v>
      </c>
      <c r="N1073">
        <v>195.53</v>
      </c>
      <c r="O1073">
        <v>9.09</v>
      </c>
      <c r="P1073">
        <v>435.49</v>
      </c>
    </row>
    <row r="1074" spans="1:16" x14ac:dyDescent="0.2">
      <c r="A1074" t="s">
        <v>16</v>
      </c>
      <c r="C1074" t="b">
        <v>1</v>
      </c>
      <c r="D1074" t="s">
        <v>134</v>
      </c>
      <c r="E1074" t="s">
        <v>20</v>
      </c>
      <c r="F1074" t="b">
        <v>0</v>
      </c>
      <c r="G1074">
        <v>37.200000000000003</v>
      </c>
      <c r="H1074">
        <v>17.16</v>
      </c>
      <c r="I1074">
        <v>82.85</v>
      </c>
      <c r="J1074">
        <v>6.61</v>
      </c>
      <c r="K1074">
        <v>21.61</v>
      </c>
      <c r="L1074">
        <v>2.63</v>
      </c>
      <c r="M1074">
        <v>14.72</v>
      </c>
      <c r="N1074">
        <v>338.93</v>
      </c>
      <c r="O1074">
        <v>15.76</v>
      </c>
      <c r="P1074">
        <v>754.87</v>
      </c>
    </row>
    <row r="1075" spans="1:16" x14ac:dyDescent="0.2">
      <c r="A1075" t="s">
        <v>16</v>
      </c>
      <c r="C1075" t="b">
        <v>1</v>
      </c>
      <c r="D1075" t="s">
        <v>134</v>
      </c>
      <c r="E1075" t="s">
        <v>21</v>
      </c>
      <c r="F1075" t="b">
        <v>0</v>
      </c>
      <c r="G1075">
        <v>21.67</v>
      </c>
      <c r="H1075">
        <v>9.99</v>
      </c>
      <c r="I1075">
        <v>48.26</v>
      </c>
      <c r="J1075">
        <v>-8.66</v>
      </c>
      <c r="K1075">
        <v>-28.55</v>
      </c>
      <c r="L1075">
        <v>-4.42</v>
      </c>
      <c r="M1075">
        <v>-19.29</v>
      </c>
      <c r="N1075">
        <v>256.27</v>
      </c>
      <c r="O1075">
        <v>11.91</v>
      </c>
      <c r="P1075">
        <v>570.77</v>
      </c>
    </row>
    <row r="1076" spans="1:16" x14ac:dyDescent="0.2">
      <c r="A1076" t="s">
        <v>16</v>
      </c>
      <c r="C1076" t="b">
        <v>1</v>
      </c>
      <c r="D1076" t="s">
        <v>134</v>
      </c>
      <c r="E1076" t="s">
        <v>22</v>
      </c>
      <c r="F1076" t="b">
        <v>0</v>
      </c>
      <c r="G1076">
        <v>50.2</v>
      </c>
      <c r="H1076">
        <v>23.15</v>
      </c>
      <c r="I1076">
        <v>111.81</v>
      </c>
      <c r="J1076">
        <v>-1.1100000000000001</v>
      </c>
      <c r="K1076">
        <v>-2.16</v>
      </c>
      <c r="L1076">
        <v>-1.22</v>
      </c>
      <c r="M1076">
        <v>-2.4700000000000002</v>
      </c>
      <c r="N1076">
        <v>504.2</v>
      </c>
      <c r="O1076">
        <v>23.44</v>
      </c>
      <c r="P1076">
        <v>1122.96</v>
      </c>
    </row>
    <row r="1077" spans="1:16" x14ac:dyDescent="0.2">
      <c r="A1077" t="s">
        <v>16</v>
      </c>
      <c r="C1077" t="b">
        <v>1</v>
      </c>
      <c r="D1077" t="s">
        <v>134</v>
      </c>
      <c r="E1077" t="s">
        <v>23</v>
      </c>
      <c r="F1077" t="b">
        <v>0</v>
      </c>
      <c r="G1077">
        <v>6.02</v>
      </c>
      <c r="H1077">
        <v>2.78</v>
      </c>
      <c r="I1077">
        <v>13.41</v>
      </c>
      <c r="J1077">
        <v>0.08</v>
      </c>
      <c r="K1077">
        <v>1.35</v>
      </c>
      <c r="L1077">
        <v>-0.04</v>
      </c>
      <c r="M1077">
        <v>0.18</v>
      </c>
      <c r="N1077">
        <v>55.27</v>
      </c>
      <c r="O1077">
        <v>2.57</v>
      </c>
      <c r="P1077">
        <v>123.1</v>
      </c>
    </row>
    <row r="1078" spans="1:16" x14ac:dyDescent="0.2">
      <c r="A1078" t="s">
        <v>16</v>
      </c>
      <c r="C1078" t="b">
        <v>1</v>
      </c>
      <c r="D1078" t="s">
        <v>134</v>
      </c>
      <c r="E1078" t="s">
        <v>24</v>
      </c>
      <c r="F1078" t="b">
        <v>0</v>
      </c>
      <c r="G1078">
        <v>1.34</v>
      </c>
      <c r="H1078">
        <v>0.62</v>
      </c>
      <c r="I1078">
        <v>2.98</v>
      </c>
      <c r="J1078">
        <v>-0.09</v>
      </c>
      <c r="K1078">
        <v>-6.29</v>
      </c>
      <c r="L1078">
        <v>-0.06</v>
      </c>
      <c r="M1078">
        <v>-0.2</v>
      </c>
      <c r="N1078">
        <v>13.73</v>
      </c>
      <c r="O1078">
        <v>0.64</v>
      </c>
      <c r="P1078">
        <v>30.58</v>
      </c>
    </row>
    <row r="1079" spans="1:16" x14ac:dyDescent="0.2">
      <c r="A1079" t="s">
        <v>16</v>
      </c>
      <c r="C1079" t="b">
        <v>1</v>
      </c>
      <c r="D1079" t="s">
        <v>134</v>
      </c>
      <c r="E1079" t="s">
        <v>25</v>
      </c>
      <c r="F1079" t="b">
        <v>0</v>
      </c>
      <c r="G1079">
        <v>23.29</v>
      </c>
      <c r="H1079">
        <v>10.74</v>
      </c>
      <c r="I1079">
        <v>51.87</v>
      </c>
      <c r="J1079">
        <v>3.81</v>
      </c>
      <c r="K1079">
        <v>19.559999999999999</v>
      </c>
      <c r="L1079">
        <v>1.49</v>
      </c>
      <c r="M1079">
        <v>8.49</v>
      </c>
      <c r="N1079">
        <v>335.37</v>
      </c>
      <c r="O1079">
        <v>15.59</v>
      </c>
      <c r="P1079">
        <v>746.94</v>
      </c>
    </row>
    <row r="1080" spans="1:16" x14ac:dyDescent="0.2">
      <c r="A1080" t="s">
        <v>16</v>
      </c>
      <c r="C1080" t="b">
        <v>1</v>
      </c>
      <c r="D1080" t="s">
        <v>134</v>
      </c>
      <c r="E1080" t="s">
        <v>26</v>
      </c>
      <c r="F1080" t="b">
        <v>1</v>
      </c>
      <c r="G1080">
        <v>216.83</v>
      </c>
      <c r="H1080">
        <v>100</v>
      </c>
      <c r="I1080">
        <v>482.93</v>
      </c>
      <c r="J1080">
        <v>6.29</v>
      </c>
      <c r="K1080">
        <v>2.99</v>
      </c>
      <c r="L1080">
        <v>0</v>
      </c>
      <c r="M1080">
        <v>14.01</v>
      </c>
      <c r="N1080">
        <v>2151.02</v>
      </c>
      <c r="O1080">
        <v>100</v>
      </c>
      <c r="P1080">
        <v>4790.7700000000004</v>
      </c>
    </row>
    <row r="1081" spans="1:16" x14ac:dyDescent="0.2">
      <c r="A1081" t="s">
        <v>16</v>
      </c>
      <c r="C1081" t="b">
        <v>1</v>
      </c>
      <c r="D1081" t="s">
        <v>134</v>
      </c>
      <c r="E1081" t="s">
        <v>27</v>
      </c>
      <c r="F1081" t="b">
        <v>0</v>
      </c>
      <c r="G1081">
        <v>48.65</v>
      </c>
      <c r="H1081">
        <v>22.44</v>
      </c>
      <c r="I1081">
        <v>108.35</v>
      </c>
      <c r="J1081">
        <v>9.11</v>
      </c>
      <c r="K1081">
        <v>23.04</v>
      </c>
      <c r="L1081">
        <v>3.66</v>
      </c>
      <c r="M1081">
        <v>20.29</v>
      </c>
      <c r="N1081">
        <v>368.2</v>
      </c>
      <c r="O1081">
        <v>17.12</v>
      </c>
      <c r="P1081">
        <v>820.06</v>
      </c>
    </row>
    <row r="1082" spans="1:16" x14ac:dyDescent="0.2">
      <c r="A1082" t="s">
        <v>16</v>
      </c>
      <c r="C1082" t="b">
        <v>1</v>
      </c>
      <c r="D1082" t="s">
        <v>135</v>
      </c>
      <c r="E1082" t="s">
        <v>18</v>
      </c>
      <c r="F1082" t="b">
        <v>0</v>
      </c>
      <c r="G1082">
        <v>9.27</v>
      </c>
      <c r="H1082">
        <v>4.09</v>
      </c>
      <c r="I1082">
        <v>20.65</v>
      </c>
      <c r="J1082">
        <v>0.01</v>
      </c>
      <c r="K1082">
        <v>0.11</v>
      </c>
      <c r="L1082">
        <v>-0.06</v>
      </c>
      <c r="M1082">
        <v>0.02</v>
      </c>
      <c r="N1082">
        <v>92.79</v>
      </c>
      <c r="O1082">
        <v>3.9</v>
      </c>
      <c r="P1082">
        <v>206.66</v>
      </c>
    </row>
    <row r="1083" spans="1:16" x14ac:dyDescent="0.2">
      <c r="A1083" t="s">
        <v>16</v>
      </c>
      <c r="C1083" t="b">
        <v>1</v>
      </c>
      <c r="D1083" t="s">
        <v>135</v>
      </c>
      <c r="E1083" t="s">
        <v>19</v>
      </c>
      <c r="F1083" t="b">
        <v>0</v>
      </c>
      <c r="G1083">
        <v>24.33</v>
      </c>
      <c r="H1083">
        <v>10.74</v>
      </c>
      <c r="I1083">
        <v>54.19</v>
      </c>
      <c r="J1083">
        <v>-3.42</v>
      </c>
      <c r="K1083">
        <v>-12.32</v>
      </c>
      <c r="L1083">
        <v>-1.69</v>
      </c>
      <c r="M1083">
        <v>-7.62</v>
      </c>
      <c r="N1083">
        <v>219.86</v>
      </c>
      <c r="O1083">
        <v>9.25</v>
      </c>
      <c r="P1083">
        <v>489.67</v>
      </c>
    </row>
    <row r="1084" spans="1:16" x14ac:dyDescent="0.2">
      <c r="A1084" t="s">
        <v>16</v>
      </c>
      <c r="C1084" t="b">
        <v>1</v>
      </c>
      <c r="D1084" t="s">
        <v>135</v>
      </c>
      <c r="E1084" t="s">
        <v>20</v>
      </c>
      <c r="F1084" t="b">
        <v>0</v>
      </c>
      <c r="G1084">
        <v>43.53</v>
      </c>
      <c r="H1084">
        <v>19.22</v>
      </c>
      <c r="I1084">
        <v>96.95</v>
      </c>
      <c r="J1084">
        <v>-2.25</v>
      </c>
      <c r="K1084">
        <v>-4.91</v>
      </c>
      <c r="L1084">
        <v>-1.28</v>
      </c>
      <c r="M1084">
        <v>-5.01</v>
      </c>
      <c r="N1084">
        <v>382.46</v>
      </c>
      <c r="O1084">
        <v>16.09</v>
      </c>
      <c r="P1084">
        <v>851.82</v>
      </c>
    </row>
    <row r="1085" spans="1:16" x14ac:dyDescent="0.2">
      <c r="A1085" t="s">
        <v>16</v>
      </c>
      <c r="C1085" t="b">
        <v>1</v>
      </c>
      <c r="D1085" t="s">
        <v>135</v>
      </c>
      <c r="E1085" t="s">
        <v>21</v>
      </c>
      <c r="F1085" t="b">
        <v>0</v>
      </c>
      <c r="G1085">
        <v>25.07</v>
      </c>
      <c r="H1085">
        <v>11.07</v>
      </c>
      <c r="I1085">
        <v>55.84</v>
      </c>
      <c r="J1085">
        <v>1.18</v>
      </c>
      <c r="K1085">
        <v>4.9400000000000004</v>
      </c>
      <c r="L1085">
        <v>0.37</v>
      </c>
      <c r="M1085">
        <v>2.63</v>
      </c>
      <c r="N1085">
        <v>281.33999999999997</v>
      </c>
      <c r="O1085">
        <v>11.83</v>
      </c>
      <c r="P1085">
        <v>626.6</v>
      </c>
    </row>
    <row r="1086" spans="1:16" x14ac:dyDescent="0.2">
      <c r="A1086" t="s">
        <v>16</v>
      </c>
      <c r="C1086" t="b">
        <v>1</v>
      </c>
      <c r="D1086" t="s">
        <v>135</v>
      </c>
      <c r="E1086" t="s">
        <v>22</v>
      </c>
      <c r="F1086" t="b">
        <v>0</v>
      </c>
      <c r="G1086">
        <v>54.73</v>
      </c>
      <c r="H1086">
        <v>24.17</v>
      </c>
      <c r="I1086">
        <v>121.9</v>
      </c>
      <c r="J1086">
        <v>1.49</v>
      </c>
      <c r="K1086">
        <v>2.8</v>
      </c>
      <c r="L1086">
        <v>0.33</v>
      </c>
      <c r="M1086">
        <v>3.32</v>
      </c>
      <c r="N1086">
        <v>558.92999999999995</v>
      </c>
      <c r="O1086">
        <v>23.51</v>
      </c>
      <c r="P1086">
        <v>1244.8499999999999</v>
      </c>
    </row>
    <row r="1087" spans="1:16" x14ac:dyDescent="0.2">
      <c r="A1087" t="s">
        <v>16</v>
      </c>
      <c r="C1087" t="b">
        <v>1</v>
      </c>
      <c r="D1087" t="s">
        <v>135</v>
      </c>
      <c r="E1087" t="s">
        <v>23</v>
      </c>
      <c r="F1087" t="b">
        <v>0</v>
      </c>
      <c r="G1087">
        <v>6.01</v>
      </c>
      <c r="H1087">
        <v>2.65</v>
      </c>
      <c r="I1087">
        <v>13.39</v>
      </c>
      <c r="J1087">
        <v>-0.3</v>
      </c>
      <c r="K1087">
        <v>-4.75</v>
      </c>
      <c r="L1087">
        <v>-0.18</v>
      </c>
      <c r="M1087">
        <v>-0.67</v>
      </c>
      <c r="N1087">
        <v>61.28</v>
      </c>
      <c r="O1087">
        <v>2.58</v>
      </c>
      <c r="P1087">
        <v>136.47999999999999</v>
      </c>
    </row>
    <row r="1088" spans="1:16" x14ac:dyDescent="0.2">
      <c r="A1088" t="s">
        <v>16</v>
      </c>
      <c r="C1088" t="b">
        <v>1</v>
      </c>
      <c r="D1088" t="s">
        <v>135</v>
      </c>
      <c r="E1088" t="s">
        <v>24</v>
      </c>
      <c r="F1088" t="b">
        <v>0</v>
      </c>
      <c r="G1088">
        <v>1.35</v>
      </c>
      <c r="H1088">
        <v>0.6</v>
      </c>
      <c r="I1088">
        <v>3.01</v>
      </c>
      <c r="J1088">
        <v>-7.0000000000000007E-2</v>
      </c>
      <c r="K1088">
        <v>-4.93</v>
      </c>
      <c r="L1088">
        <v>-0.04</v>
      </c>
      <c r="M1088">
        <v>-0.16</v>
      </c>
      <c r="N1088">
        <v>15.08</v>
      </c>
      <c r="O1088">
        <v>0.63</v>
      </c>
      <c r="P1088">
        <v>33.590000000000003</v>
      </c>
    </row>
    <row r="1089" spans="1:16" x14ac:dyDescent="0.2">
      <c r="A1089" t="s">
        <v>16</v>
      </c>
      <c r="C1089" t="b">
        <v>1</v>
      </c>
      <c r="D1089" t="s">
        <v>135</v>
      </c>
      <c r="E1089" t="s">
        <v>25</v>
      </c>
      <c r="F1089" t="b">
        <v>0</v>
      </c>
      <c r="G1089">
        <v>15.5</v>
      </c>
      <c r="H1089">
        <v>6.84</v>
      </c>
      <c r="I1089">
        <v>34.520000000000003</v>
      </c>
      <c r="J1089">
        <v>3.18</v>
      </c>
      <c r="K1089">
        <v>25.81</v>
      </c>
      <c r="L1089">
        <v>1.32</v>
      </c>
      <c r="M1089">
        <v>7.08</v>
      </c>
      <c r="N1089">
        <v>350.87</v>
      </c>
      <c r="O1089">
        <v>14.76</v>
      </c>
      <c r="P1089">
        <v>781.46</v>
      </c>
    </row>
    <row r="1090" spans="1:16" x14ac:dyDescent="0.2">
      <c r="A1090" t="s">
        <v>16</v>
      </c>
      <c r="C1090" t="b">
        <v>1</v>
      </c>
      <c r="D1090" t="s">
        <v>135</v>
      </c>
      <c r="E1090" t="s">
        <v>26</v>
      </c>
      <c r="F1090" t="b">
        <v>1</v>
      </c>
      <c r="G1090">
        <v>226.47</v>
      </c>
      <c r="H1090">
        <v>100</v>
      </c>
      <c r="I1090">
        <v>504.4</v>
      </c>
      <c r="J1090">
        <v>3.17</v>
      </c>
      <c r="K1090">
        <v>1.42</v>
      </c>
      <c r="L1090">
        <v>0</v>
      </c>
      <c r="M1090">
        <v>7.06</v>
      </c>
      <c r="N1090">
        <v>2377.4899999999998</v>
      </c>
      <c r="O1090">
        <v>100</v>
      </c>
      <c r="P1090">
        <v>5295.17</v>
      </c>
    </row>
    <row r="1091" spans="1:16" x14ac:dyDescent="0.2">
      <c r="A1091" t="s">
        <v>16</v>
      </c>
      <c r="C1091" t="b">
        <v>1</v>
      </c>
      <c r="D1091" t="s">
        <v>135</v>
      </c>
      <c r="E1091" t="s">
        <v>27</v>
      </c>
      <c r="F1091" t="b">
        <v>0</v>
      </c>
      <c r="G1091">
        <v>46.68</v>
      </c>
      <c r="H1091">
        <v>20.61</v>
      </c>
      <c r="I1091">
        <v>103.97</v>
      </c>
      <c r="J1091">
        <v>3.35</v>
      </c>
      <c r="K1091">
        <v>7.73</v>
      </c>
      <c r="L1091">
        <v>1.21</v>
      </c>
      <c r="M1091">
        <v>7.46</v>
      </c>
      <c r="N1091">
        <v>414.88</v>
      </c>
      <c r="O1091">
        <v>17.45</v>
      </c>
      <c r="P1091">
        <v>924.02</v>
      </c>
    </row>
    <row r="1092" spans="1:16" x14ac:dyDescent="0.2">
      <c r="A1092" t="s">
        <v>16</v>
      </c>
      <c r="C1092" t="b">
        <v>1</v>
      </c>
      <c r="D1092" t="s">
        <v>136</v>
      </c>
      <c r="E1092" t="s">
        <v>18</v>
      </c>
      <c r="F1092" t="b">
        <v>0</v>
      </c>
      <c r="G1092">
        <v>9.7100000000000009</v>
      </c>
      <c r="H1092">
        <v>4.04</v>
      </c>
      <c r="I1092">
        <v>21.63</v>
      </c>
      <c r="J1092">
        <v>-0.13</v>
      </c>
      <c r="K1092">
        <v>-1.32</v>
      </c>
      <c r="L1092">
        <v>-0.09</v>
      </c>
      <c r="M1092">
        <v>-0.28999999999999998</v>
      </c>
      <c r="N1092">
        <v>102.5</v>
      </c>
      <c r="O1092">
        <v>3.92</v>
      </c>
      <c r="P1092">
        <v>228.29</v>
      </c>
    </row>
    <row r="1093" spans="1:16" x14ac:dyDescent="0.2">
      <c r="A1093" t="s">
        <v>16</v>
      </c>
      <c r="C1093" t="b">
        <v>1</v>
      </c>
      <c r="D1093" t="s">
        <v>136</v>
      </c>
      <c r="E1093" t="s">
        <v>19</v>
      </c>
      <c r="F1093" t="b">
        <v>0</v>
      </c>
      <c r="G1093">
        <v>22.59</v>
      </c>
      <c r="H1093">
        <v>9.39</v>
      </c>
      <c r="I1093">
        <v>50.31</v>
      </c>
      <c r="J1093">
        <v>-3.8</v>
      </c>
      <c r="K1093">
        <v>-14.4</v>
      </c>
      <c r="L1093">
        <v>-1.69</v>
      </c>
      <c r="M1093">
        <v>-8.4600000000000009</v>
      </c>
      <c r="N1093">
        <v>242.45</v>
      </c>
      <c r="O1093">
        <v>9.26</v>
      </c>
      <c r="P1093">
        <v>539.99</v>
      </c>
    </row>
    <row r="1094" spans="1:16" x14ac:dyDescent="0.2">
      <c r="A1094" t="s">
        <v>16</v>
      </c>
      <c r="C1094" t="b">
        <v>1</v>
      </c>
      <c r="D1094" t="s">
        <v>136</v>
      </c>
      <c r="E1094" t="s">
        <v>20</v>
      </c>
      <c r="F1094" t="b">
        <v>0</v>
      </c>
      <c r="G1094">
        <v>49.61</v>
      </c>
      <c r="H1094">
        <v>20.63</v>
      </c>
      <c r="I1094">
        <v>110.49</v>
      </c>
      <c r="J1094">
        <v>4.66</v>
      </c>
      <c r="K1094">
        <v>10.37</v>
      </c>
      <c r="L1094">
        <v>1.76</v>
      </c>
      <c r="M1094">
        <v>10.38</v>
      </c>
      <c r="N1094">
        <v>432.07</v>
      </c>
      <c r="O1094">
        <v>16.5</v>
      </c>
      <c r="P1094">
        <v>962.31</v>
      </c>
    </row>
    <row r="1095" spans="1:16" x14ac:dyDescent="0.2">
      <c r="A1095" t="s">
        <v>16</v>
      </c>
      <c r="C1095" t="b">
        <v>1</v>
      </c>
      <c r="D1095" t="s">
        <v>136</v>
      </c>
      <c r="E1095" t="s">
        <v>21</v>
      </c>
      <c r="F1095" t="b">
        <v>0</v>
      </c>
      <c r="G1095">
        <v>26.92</v>
      </c>
      <c r="H1095">
        <v>11.19</v>
      </c>
      <c r="I1095">
        <v>59.96</v>
      </c>
      <c r="J1095">
        <v>2.35</v>
      </c>
      <c r="K1095">
        <v>9.56</v>
      </c>
      <c r="L1095">
        <v>0.88</v>
      </c>
      <c r="M1095">
        <v>5.23</v>
      </c>
      <c r="N1095">
        <v>308.26</v>
      </c>
      <c r="O1095">
        <v>11.77</v>
      </c>
      <c r="P1095">
        <v>686.56</v>
      </c>
    </row>
    <row r="1096" spans="1:16" x14ac:dyDescent="0.2">
      <c r="A1096" t="s">
        <v>16</v>
      </c>
      <c r="C1096" t="b">
        <v>1</v>
      </c>
      <c r="D1096" t="s">
        <v>136</v>
      </c>
      <c r="E1096" t="s">
        <v>22</v>
      </c>
      <c r="F1096" t="b">
        <v>0</v>
      </c>
      <c r="G1096">
        <v>62.43</v>
      </c>
      <c r="H1096">
        <v>25.96</v>
      </c>
      <c r="I1096">
        <v>139.04</v>
      </c>
      <c r="J1096">
        <v>2.4700000000000002</v>
      </c>
      <c r="K1096">
        <v>4.12</v>
      </c>
      <c r="L1096">
        <v>0.8</v>
      </c>
      <c r="M1096">
        <v>5.5</v>
      </c>
      <c r="N1096">
        <v>621.36</v>
      </c>
      <c r="O1096">
        <v>23.73</v>
      </c>
      <c r="P1096">
        <v>1383.9</v>
      </c>
    </row>
    <row r="1097" spans="1:16" x14ac:dyDescent="0.2">
      <c r="A1097" t="s">
        <v>16</v>
      </c>
      <c r="C1097" t="b">
        <v>1</v>
      </c>
      <c r="D1097" t="s">
        <v>136</v>
      </c>
      <c r="E1097" t="s">
        <v>23</v>
      </c>
      <c r="F1097" t="b">
        <v>0</v>
      </c>
      <c r="G1097">
        <v>6.48</v>
      </c>
      <c r="H1097">
        <v>2.69</v>
      </c>
      <c r="I1097">
        <v>14.43</v>
      </c>
      <c r="J1097">
        <v>7.0000000000000007E-2</v>
      </c>
      <c r="K1097">
        <v>1.0900000000000001</v>
      </c>
      <c r="L1097">
        <v>0</v>
      </c>
      <c r="M1097">
        <v>0.16</v>
      </c>
      <c r="N1097">
        <v>67.760000000000005</v>
      </c>
      <c r="O1097">
        <v>2.59</v>
      </c>
      <c r="P1097">
        <v>150.91999999999999</v>
      </c>
    </row>
    <row r="1098" spans="1:16" x14ac:dyDescent="0.2">
      <c r="A1098" t="s">
        <v>16</v>
      </c>
      <c r="C1098" t="b">
        <v>1</v>
      </c>
      <c r="D1098" t="s">
        <v>136</v>
      </c>
      <c r="E1098" t="s">
        <v>24</v>
      </c>
      <c r="F1098" t="b">
        <v>0</v>
      </c>
      <c r="G1098">
        <v>1.42</v>
      </c>
      <c r="H1098">
        <v>0.59</v>
      </c>
      <c r="I1098">
        <v>3.16</v>
      </c>
      <c r="J1098">
        <v>-0.06</v>
      </c>
      <c r="K1098">
        <v>-4.05</v>
      </c>
      <c r="L1098">
        <v>-0.03</v>
      </c>
      <c r="M1098">
        <v>-0.13</v>
      </c>
      <c r="N1098">
        <v>16.5</v>
      </c>
      <c r="O1098">
        <v>0.63</v>
      </c>
      <c r="P1098">
        <v>36.75</v>
      </c>
    </row>
    <row r="1099" spans="1:16" x14ac:dyDescent="0.2">
      <c r="A1099" t="s">
        <v>16</v>
      </c>
      <c r="C1099" t="b">
        <v>1</v>
      </c>
      <c r="D1099" t="s">
        <v>136</v>
      </c>
      <c r="E1099" t="s">
        <v>25</v>
      </c>
      <c r="F1099" t="b">
        <v>0</v>
      </c>
      <c r="G1099">
        <v>10.73</v>
      </c>
      <c r="H1099">
        <v>4.46</v>
      </c>
      <c r="I1099">
        <v>23.9</v>
      </c>
      <c r="J1099">
        <v>0.63</v>
      </c>
      <c r="K1099">
        <v>6.24</v>
      </c>
      <c r="L1099">
        <v>0.22</v>
      </c>
      <c r="M1099">
        <v>1.4</v>
      </c>
      <c r="N1099">
        <v>361.6</v>
      </c>
      <c r="O1099">
        <v>13.81</v>
      </c>
      <c r="P1099">
        <v>805.36</v>
      </c>
    </row>
    <row r="1100" spans="1:16" x14ac:dyDescent="0.2">
      <c r="A1100" t="s">
        <v>16</v>
      </c>
      <c r="C1100" t="b">
        <v>1</v>
      </c>
      <c r="D1100" t="s">
        <v>136</v>
      </c>
      <c r="E1100" t="s">
        <v>26</v>
      </c>
      <c r="F1100" t="b">
        <v>1</v>
      </c>
      <c r="G1100">
        <v>240.52</v>
      </c>
      <c r="H1100">
        <v>100</v>
      </c>
      <c r="I1100">
        <v>535.69000000000005</v>
      </c>
      <c r="J1100">
        <v>2.25</v>
      </c>
      <c r="K1100">
        <v>0.94</v>
      </c>
      <c r="L1100">
        <v>0</v>
      </c>
      <c r="M1100">
        <v>5.01</v>
      </c>
      <c r="N1100">
        <v>2618.0100000000002</v>
      </c>
      <c r="O1100">
        <v>100</v>
      </c>
      <c r="P1100">
        <v>5830.85</v>
      </c>
    </row>
    <row r="1101" spans="1:16" x14ac:dyDescent="0.2">
      <c r="A1101" t="s">
        <v>16</v>
      </c>
      <c r="C1101" t="b">
        <v>1</v>
      </c>
      <c r="D1101" t="s">
        <v>136</v>
      </c>
      <c r="E1101" t="s">
        <v>27</v>
      </c>
      <c r="F1101" t="b">
        <v>0</v>
      </c>
      <c r="G1101">
        <v>50.63</v>
      </c>
      <c r="H1101">
        <v>21.05</v>
      </c>
      <c r="I1101">
        <v>112.76</v>
      </c>
      <c r="J1101">
        <v>-3.94</v>
      </c>
      <c r="K1101">
        <v>-7.22</v>
      </c>
      <c r="L1101">
        <v>-1.85</v>
      </c>
      <c r="M1101">
        <v>-8.7799999999999994</v>
      </c>
      <c r="N1101">
        <v>465.51</v>
      </c>
      <c r="O1101">
        <v>17.78</v>
      </c>
      <c r="P1101">
        <v>1036.79</v>
      </c>
    </row>
    <row r="1102" spans="1:16" x14ac:dyDescent="0.2">
      <c r="A1102" t="s">
        <v>16</v>
      </c>
      <c r="C1102" t="b">
        <v>1</v>
      </c>
      <c r="D1102" t="s">
        <v>137</v>
      </c>
      <c r="E1102" t="s">
        <v>18</v>
      </c>
      <c r="F1102" t="b">
        <v>0</v>
      </c>
      <c r="G1102">
        <v>10.08</v>
      </c>
      <c r="H1102">
        <v>3.84</v>
      </c>
      <c r="I1102">
        <v>22.51</v>
      </c>
      <c r="J1102">
        <v>0.08</v>
      </c>
      <c r="K1102">
        <v>0.8</v>
      </c>
      <c r="L1102">
        <v>-0.14000000000000001</v>
      </c>
      <c r="M1102">
        <v>0.18</v>
      </c>
      <c r="N1102">
        <v>10.08</v>
      </c>
      <c r="O1102">
        <v>3.84</v>
      </c>
      <c r="P1102">
        <v>22.51</v>
      </c>
    </row>
    <row r="1103" spans="1:16" x14ac:dyDescent="0.2">
      <c r="A1103" t="s">
        <v>16</v>
      </c>
      <c r="C1103" t="b">
        <v>1</v>
      </c>
      <c r="D1103" t="s">
        <v>137</v>
      </c>
      <c r="E1103" t="s">
        <v>19</v>
      </c>
      <c r="F1103" t="b">
        <v>0</v>
      </c>
      <c r="G1103">
        <v>28.72</v>
      </c>
      <c r="H1103">
        <v>10.93</v>
      </c>
      <c r="I1103">
        <v>64.12</v>
      </c>
      <c r="J1103">
        <v>0.36</v>
      </c>
      <c r="K1103">
        <v>1.27</v>
      </c>
      <c r="L1103">
        <v>-0.35</v>
      </c>
      <c r="M1103">
        <v>0.8</v>
      </c>
      <c r="N1103">
        <v>28.72</v>
      </c>
      <c r="O1103">
        <v>10.93</v>
      </c>
      <c r="P1103">
        <v>64.12</v>
      </c>
    </row>
    <row r="1104" spans="1:16" x14ac:dyDescent="0.2">
      <c r="A1104" t="s">
        <v>16</v>
      </c>
      <c r="C1104" t="b">
        <v>1</v>
      </c>
      <c r="D1104" t="s">
        <v>137</v>
      </c>
      <c r="E1104" t="s">
        <v>20</v>
      </c>
      <c r="F1104" t="b">
        <v>0</v>
      </c>
      <c r="G1104">
        <v>57.68</v>
      </c>
      <c r="H1104">
        <v>21.96</v>
      </c>
      <c r="I1104">
        <v>128.78</v>
      </c>
      <c r="J1104">
        <v>10.08</v>
      </c>
      <c r="K1104">
        <v>21.18</v>
      </c>
      <c r="L1104">
        <v>3.02</v>
      </c>
      <c r="M1104">
        <v>22.51</v>
      </c>
      <c r="N1104">
        <v>57.68</v>
      </c>
      <c r="O1104">
        <v>21.96</v>
      </c>
      <c r="P1104">
        <v>128.78</v>
      </c>
    </row>
    <row r="1105" spans="1:16" x14ac:dyDescent="0.2">
      <c r="A1105" t="s">
        <v>16</v>
      </c>
      <c r="C1105" t="b">
        <v>1</v>
      </c>
      <c r="D1105" t="s">
        <v>137</v>
      </c>
      <c r="E1105" t="s">
        <v>21</v>
      </c>
      <c r="F1105" t="b">
        <v>0</v>
      </c>
      <c r="G1105">
        <v>29.23</v>
      </c>
      <c r="H1105">
        <v>11.13</v>
      </c>
      <c r="I1105">
        <v>65.260000000000005</v>
      </c>
      <c r="J1105">
        <v>-0.03</v>
      </c>
      <c r="K1105">
        <v>-0.1</v>
      </c>
      <c r="L1105">
        <v>-0.51</v>
      </c>
      <c r="M1105">
        <v>-7.0000000000000007E-2</v>
      </c>
      <c r="N1105">
        <v>29.23</v>
      </c>
      <c r="O1105">
        <v>11.13</v>
      </c>
      <c r="P1105">
        <v>65.260000000000005</v>
      </c>
    </row>
    <row r="1106" spans="1:16" x14ac:dyDescent="0.2">
      <c r="A1106" t="s">
        <v>16</v>
      </c>
      <c r="C1106" t="b">
        <v>1</v>
      </c>
      <c r="D1106" t="s">
        <v>137</v>
      </c>
      <c r="E1106" t="s">
        <v>22</v>
      </c>
      <c r="F1106" t="b">
        <v>0</v>
      </c>
      <c r="G1106">
        <v>61.95</v>
      </c>
      <c r="H1106">
        <v>23.58</v>
      </c>
      <c r="I1106">
        <v>138.32</v>
      </c>
      <c r="J1106">
        <v>-1.25</v>
      </c>
      <c r="K1106">
        <v>-1.98</v>
      </c>
      <c r="L1106">
        <v>-1.56</v>
      </c>
      <c r="M1106">
        <v>-2.79</v>
      </c>
      <c r="N1106">
        <v>61.95</v>
      </c>
      <c r="O1106">
        <v>23.58</v>
      </c>
      <c r="P1106">
        <v>138.32</v>
      </c>
    </row>
    <row r="1107" spans="1:16" x14ac:dyDescent="0.2">
      <c r="A1107" t="s">
        <v>16</v>
      </c>
      <c r="C1107" t="b">
        <v>1</v>
      </c>
      <c r="D1107" t="s">
        <v>137</v>
      </c>
      <c r="E1107" t="s">
        <v>23</v>
      </c>
      <c r="F1107" t="b">
        <v>0</v>
      </c>
      <c r="G1107">
        <v>6.89</v>
      </c>
      <c r="H1107">
        <v>2.62</v>
      </c>
      <c r="I1107">
        <v>15.38</v>
      </c>
      <c r="J1107">
        <v>0.69</v>
      </c>
      <c r="K1107">
        <v>11.13</v>
      </c>
      <c r="L1107">
        <v>0.15</v>
      </c>
      <c r="M1107">
        <v>1.54</v>
      </c>
      <c r="N1107">
        <v>6.89</v>
      </c>
      <c r="O1107">
        <v>2.62</v>
      </c>
      <c r="P1107">
        <v>15.38</v>
      </c>
    </row>
    <row r="1108" spans="1:16" x14ac:dyDescent="0.2">
      <c r="A1108" t="s">
        <v>16</v>
      </c>
      <c r="C1108" t="b">
        <v>1</v>
      </c>
      <c r="D1108" t="s">
        <v>137</v>
      </c>
      <c r="E1108" t="s">
        <v>24</v>
      </c>
      <c r="F1108" t="b">
        <v>0</v>
      </c>
      <c r="G1108">
        <v>1.41</v>
      </c>
      <c r="H1108">
        <v>0.54</v>
      </c>
      <c r="I1108">
        <v>3.15</v>
      </c>
      <c r="J1108">
        <v>-0.1</v>
      </c>
      <c r="K1108">
        <v>-6.62</v>
      </c>
      <c r="L1108">
        <v>-0.06</v>
      </c>
      <c r="M1108">
        <v>-0.22</v>
      </c>
      <c r="N1108">
        <v>1.41</v>
      </c>
      <c r="O1108">
        <v>0.54</v>
      </c>
      <c r="P1108">
        <v>3.15</v>
      </c>
    </row>
    <row r="1109" spans="1:16" x14ac:dyDescent="0.2">
      <c r="A1109" t="s">
        <v>16</v>
      </c>
      <c r="C1109" t="b">
        <v>1</v>
      </c>
      <c r="D1109" t="s">
        <v>137</v>
      </c>
      <c r="E1109" t="s">
        <v>25</v>
      </c>
      <c r="F1109" t="b">
        <v>0</v>
      </c>
      <c r="G1109">
        <v>11.37</v>
      </c>
      <c r="H1109">
        <v>4.33</v>
      </c>
      <c r="I1109">
        <v>25.39</v>
      </c>
      <c r="J1109">
        <v>-0.28999999999999998</v>
      </c>
      <c r="K1109">
        <v>-2.4900000000000002</v>
      </c>
      <c r="L1109">
        <v>-0.31</v>
      </c>
      <c r="M1109">
        <v>-0.65</v>
      </c>
      <c r="N1109">
        <v>11.37</v>
      </c>
      <c r="O1109">
        <v>4.33</v>
      </c>
      <c r="P1109">
        <v>25.39</v>
      </c>
    </row>
    <row r="1110" spans="1:16" x14ac:dyDescent="0.2">
      <c r="A1110" t="s">
        <v>16</v>
      </c>
      <c r="C1110" t="b">
        <v>1</v>
      </c>
      <c r="D1110" t="s">
        <v>137</v>
      </c>
      <c r="E1110" t="s">
        <v>26</v>
      </c>
      <c r="F1110" t="b">
        <v>1</v>
      </c>
      <c r="G1110">
        <v>262.68</v>
      </c>
      <c r="H1110">
        <v>100</v>
      </c>
      <c r="I1110">
        <v>586.48</v>
      </c>
      <c r="J1110">
        <v>11.32</v>
      </c>
      <c r="K1110">
        <v>4.5</v>
      </c>
      <c r="L1110">
        <v>0</v>
      </c>
      <c r="M1110">
        <v>25.27</v>
      </c>
      <c r="N1110">
        <v>262.68</v>
      </c>
      <c r="O1110">
        <v>100</v>
      </c>
      <c r="P1110">
        <v>586.48</v>
      </c>
    </row>
    <row r="1111" spans="1:16" x14ac:dyDescent="0.2">
      <c r="A1111" t="s">
        <v>16</v>
      </c>
      <c r="C1111" t="b">
        <v>1</v>
      </c>
      <c r="D1111" t="s">
        <v>137</v>
      </c>
      <c r="E1111" t="s">
        <v>27</v>
      </c>
      <c r="F1111" t="b">
        <v>0</v>
      </c>
      <c r="G1111">
        <v>55.35</v>
      </c>
      <c r="H1111">
        <v>21.07</v>
      </c>
      <c r="I1111">
        <v>123.58</v>
      </c>
      <c r="J1111">
        <v>1.78</v>
      </c>
      <c r="K1111">
        <v>3.32</v>
      </c>
      <c r="L1111">
        <v>-0.24</v>
      </c>
      <c r="M1111">
        <v>3.97</v>
      </c>
      <c r="N1111">
        <v>55.35</v>
      </c>
      <c r="O1111">
        <v>21.07</v>
      </c>
      <c r="P1111">
        <v>123.58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ember_monthly_electricity-gener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Sanli</dc:creator>
  <cp:lastModifiedBy>B Sanli</cp:lastModifiedBy>
  <dcterms:created xsi:type="dcterms:W3CDTF">2026-02-10T18:24:17Z</dcterms:created>
  <dcterms:modified xsi:type="dcterms:W3CDTF">2026-02-11T16:01:55Z</dcterms:modified>
</cp:coreProperties>
</file>