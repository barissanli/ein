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/Documents/calismalar/enerjiistatistiknotları/"/>
    </mc:Choice>
  </mc:AlternateContent>
  <xr:revisionPtr revIDLastSave="0" documentId="13_ncr:1_{64B4196D-A992-1045-8382-336E3DBDAF51}" xr6:coauthVersionLast="47" xr6:coauthVersionMax="47" xr10:uidLastSave="{00000000-0000-0000-0000-000000000000}"/>
  <bookViews>
    <workbookView xWindow="380" yWindow="7040" windowWidth="28040" windowHeight="17180" xr2:uid="{0F523354-0C9B-5A49-BD13-65F828436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K8" i="1"/>
  <c r="Q4" i="1"/>
  <c r="P4" i="1"/>
  <c r="G4" i="1"/>
  <c r="H4" i="1"/>
  <c r="I4" i="1"/>
  <c r="J4" i="1"/>
  <c r="K4" i="1"/>
  <c r="L4" i="1"/>
  <c r="M4" i="1"/>
  <c r="N4" i="1"/>
  <c r="O4" i="1"/>
  <c r="F4" i="1"/>
  <c r="R3" i="1"/>
</calcChain>
</file>

<file path=xl/sharedStrings.xml><?xml version="1.0" encoding="utf-8"?>
<sst xmlns="http://schemas.openxmlformats.org/spreadsheetml/2006/main" count="24" uniqueCount="24">
  <si>
    <t>Oca.25</t>
  </si>
  <si>
    <t>Şub.25</t>
  </si>
  <si>
    <t>Mar.25</t>
  </si>
  <si>
    <t>Nis.25</t>
  </si>
  <si>
    <t>May.25</t>
  </si>
  <si>
    <t>Haz.25</t>
  </si>
  <si>
    <t>Tem.25</t>
  </si>
  <si>
    <t>Ağu.25</t>
  </si>
  <si>
    <t>Eyl.25</t>
  </si>
  <si>
    <t>Eki.25</t>
  </si>
  <si>
    <t>Kas.25</t>
  </si>
  <si>
    <t>Ara.25</t>
  </si>
  <si>
    <t>19.198,50</t>
  </si>
  <si>
    <t>18.686,97</t>
  </si>
  <si>
    <t>21.442,94</t>
  </si>
  <si>
    <t>28.502,79</t>
  </si>
  <si>
    <t>29.243,72</t>
  </si>
  <si>
    <t>37.648,05</t>
  </si>
  <si>
    <t>45.605,81</t>
  </si>
  <si>
    <t>55.309,38</t>
  </si>
  <si>
    <t>46.929,51</t>
  </si>
  <si>
    <t>47.429,59</t>
  </si>
  <si>
    <t>50.280,93</t>
  </si>
  <si>
    <t>58.238,02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</si>
</sst>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Türkiye- </a:t>
            </a:r>
            <a:r>
              <a:rPr lang="en-GB" sz="1200" baseline="0"/>
              <a:t>Elektrikli Araba Ticari Şarj (GWh) vs Benzin Talebi (1000 varil/gün)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Ticari Şarj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Sheet1!$F$1:$Q$1</c:f>
              <c:strCache>
                <c:ptCount val="12"/>
                <c:pt idx="0">
                  <c:v>Oca.25</c:v>
                </c:pt>
                <c:pt idx="1">
                  <c:v>Şub.25</c:v>
                </c:pt>
                <c:pt idx="2">
                  <c:v>Mar.25</c:v>
                </c:pt>
                <c:pt idx="3">
                  <c:v>Nis.25</c:v>
                </c:pt>
                <c:pt idx="4">
                  <c:v>May.25</c:v>
                </c:pt>
                <c:pt idx="5">
                  <c:v>Haz.25</c:v>
                </c:pt>
                <c:pt idx="6">
                  <c:v>Tem.25</c:v>
                </c:pt>
                <c:pt idx="7">
                  <c:v>Ağu.25</c:v>
                </c:pt>
                <c:pt idx="8">
                  <c:v>Eyl.25</c:v>
                </c:pt>
                <c:pt idx="9">
                  <c:v>Eki.25</c:v>
                </c:pt>
                <c:pt idx="10">
                  <c:v>Kas.25</c:v>
                </c:pt>
                <c:pt idx="11">
                  <c:v>Ara.25</c:v>
                </c:pt>
              </c:strCache>
            </c:strRef>
          </c:cat>
          <c:val>
            <c:numRef>
              <c:f>Sheet1!$F$3:$Q$3</c:f>
              <c:numCache>
                <c:formatCode>General</c:formatCode>
                <c:ptCount val="12"/>
                <c:pt idx="0">
                  <c:v>19.2</c:v>
                </c:pt>
                <c:pt idx="1">
                  <c:v>18.600000000000001</c:v>
                </c:pt>
                <c:pt idx="2">
                  <c:v>21.4</c:v>
                </c:pt>
                <c:pt idx="3">
                  <c:v>28.5</c:v>
                </c:pt>
                <c:pt idx="4">
                  <c:v>29.2</c:v>
                </c:pt>
                <c:pt idx="5">
                  <c:v>37.65</c:v>
                </c:pt>
                <c:pt idx="6">
                  <c:v>45.6</c:v>
                </c:pt>
                <c:pt idx="7">
                  <c:v>55.3</c:v>
                </c:pt>
                <c:pt idx="8">
                  <c:v>46.93</c:v>
                </c:pt>
                <c:pt idx="9">
                  <c:v>47.43</c:v>
                </c:pt>
                <c:pt idx="10">
                  <c:v>50.28</c:v>
                </c:pt>
                <c:pt idx="11">
                  <c:v>58.23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0-AC48-AFDB-551D886B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521855"/>
        <c:axId val="1141103167"/>
      </c:lineChart>
      <c:lineChart>
        <c:grouping val="standard"/>
        <c:varyColors val="0"/>
        <c:ser>
          <c:idx val="1"/>
          <c:order val="1"/>
          <c:tx>
            <c:v>Benzin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Sheet1!$F$1:$Q$1</c:f>
              <c:strCache>
                <c:ptCount val="12"/>
                <c:pt idx="0">
                  <c:v>Oca.25</c:v>
                </c:pt>
                <c:pt idx="1">
                  <c:v>Şub.25</c:v>
                </c:pt>
                <c:pt idx="2">
                  <c:v>Mar.25</c:v>
                </c:pt>
                <c:pt idx="3">
                  <c:v>Nis.25</c:v>
                </c:pt>
                <c:pt idx="4">
                  <c:v>May.25</c:v>
                </c:pt>
                <c:pt idx="5">
                  <c:v>Haz.25</c:v>
                </c:pt>
                <c:pt idx="6">
                  <c:v>Tem.25</c:v>
                </c:pt>
                <c:pt idx="7">
                  <c:v>Ağu.25</c:v>
                </c:pt>
                <c:pt idx="8">
                  <c:v>Eyl.25</c:v>
                </c:pt>
                <c:pt idx="9">
                  <c:v>Eki.25</c:v>
                </c:pt>
                <c:pt idx="10">
                  <c:v>Kas.25</c:v>
                </c:pt>
                <c:pt idx="11">
                  <c:v>Ara.25</c:v>
                </c:pt>
              </c:strCache>
            </c:strRef>
          </c:cat>
          <c:val>
            <c:numRef>
              <c:f>Sheet1!$F$4:$Q$4</c:f>
              <c:numCache>
                <c:formatCode>General</c:formatCode>
                <c:ptCount val="12"/>
                <c:pt idx="0">
                  <c:v>107.12</c:v>
                </c:pt>
                <c:pt idx="1">
                  <c:v>107.13000000000001</c:v>
                </c:pt>
                <c:pt idx="2">
                  <c:v>121.03</c:v>
                </c:pt>
                <c:pt idx="3">
                  <c:v>123.92999999999999</c:v>
                </c:pt>
                <c:pt idx="4">
                  <c:v>127.57</c:v>
                </c:pt>
                <c:pt idx="5">
                  <c:v>148.16</c:v>
                </c:pt>
                <c:pt idx="6">
                  <c:v>152.37</c:v>
                </c:pt>
                <c:pt idx="7">
                  <c:v>156.19</c:v>
                </c:pt>
                <c:pt idx="8">
                  <c:v>146.18</c:v>
                </c:pt>
                <c:pt idx="9">
                  <c:v>154.28</c:v>
                </c:pt>
                <c:pt idx="10">
                  <c:v>126.41199999999999</c:v>
                </c:pt>
                <c:pt idx="11">
                  <c:v>122.93599999999999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0-AC48-AFDB-551D886B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199935"/>
        <c:axId val="1125987455"/>
      </c:lineChart>
      <c:catAx>
        <c:axId val="111052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03167"/>
        <c:crosses val="autoZero"/>
        <c:auto val="1"/>
        <c:lblAlgn val="ctr"/>
        <c:lblOffset val="100"/>
        <c:noMultiLvlLbl val="0"/>
      </c:catAx>
      <c:valAx>
        <c:axId val="1141103167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Elektrikli</a:t>
                </a:r>
                <a:r>
                  <a:rPr lang="en-GB" baseline="0"/>
                  <a:t> Araba Ticari Şarj - GWh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521855"/>
        <c:crosses val="autoZero"/>
        <c:crossBetween val="between"/>
      </c:valAx>
      <c:valAx>
        <c:axId val="1125987455"/>
        <c:scaling>
          <c:orientation val="minMax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Benzin Talebi</a:t>
                </a:r>
                <a:r>
                  <a:rPr lang="en-GB" baseline="0"/>
                  <a:t> (Yeşil) - 1000varil/gün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199935"/>
        <c:crosses val="max"/>
        <c:crossBetween val="between"/>
      </c:valAx>
      <c:catAx>
        <c:axId val="10931999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5987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596900</xdr:colOff>
      <xdr:row>12</xdr:row>
      <xdr:rowOff>44450</xdr:rowOff>
    </xdr:from>
    <xdr:to>
      <xdr:col>15</xdr:col>
      <xdr:colOff>127000</xdr:colOff>
      <xdr:row>24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FE844-1EFE-59CC-C8F7-84D38AF5A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0.0911</cdr:x>
      <cdr:y>0.26781</cdr:y>
    </cdr:from>
    <cdr:to>
      <cdr:x>0.93789</cdr:x>
      <cdr:y>0.87224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16D7E6C-1368-65CF-CD12-34A946868086}"/>
            </a:ext>
          </a:extLst>
        </cdr:cNvPr>
        <cdr:cNvCxnSpPr/>
      </cdr:nvCxnSpPr>
      <cdr:spPr>
        <a:xfrm xmlns:a="http://schemas.openxmlformats.org/drawingml/2006/main" flipV="1">
          <a:off x="558800" y="692150"/>
          <a:ext cx="5194300" cy="15621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C00000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E7B7-607E-264E-9207-2962EC5F28A1}">
  <dimension ref="A1:R8"/>
  <sheetViews>
    <sheetView tabSelected="1" topLeftCell="G1" zoomScale="187" workbookViewId="0">
      <selection activeCell="Q8" sqref="Q8"/>
    </sheetView>
  </sheetViews>
  <sheetFormatPr baseColWidth="10" defaultRowHeight="16" x14ac:dyDescent="0.2"/>
  <sheetData>
    <row r="1" spans="1:18" x14ac:dyDescent="0.2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8" x14ac:dyDescent="0.2">
      <c r="A2" s="1"/>
      <c r="B2" s="1"/>
      <c r="C2" s="1"/>
      <c r="D2" s="1"/>
      <c r="E2" s="1"/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</row>
    <row r="3" spans="1:18" x14ac:dyDescent="0.2">
      <c r="F3">
        <v>19.2</v>
      </c>
      <c r="G3">
        <v>18.600000000000001</v>
      </c>
      <c r="H3">
        <v>21.4</v>
      </c>
      <c r="I3">
        <v>28.5</v>
      </c>
      <c r="J3">
        <v>29.2</v>
      </c>
      <c r="K3">
        <v>37.65</v>
      </c>
      <c r="L3">
        <v>45.6</v>
      </c>
      <c r="M3">
        <v>55.3</v>
      </c>
      <c r="N3">
        <v>46.93</v>
      </c>
      <c r="O3">
        <v>47.43</v>
      </c>
      <c r="P3">
        <v>50.28</v>
      </c>
      <c r="Q3">
        <v>58.23</v>
      </c>
      <c r="R3">
        <f>SUM(F3:Q3)</f>
        <v>458.32000000000005</v>
      </c>
    </row>
    <row r="4" spans="1:18" x14ac:dyDescent="0.2">
      <c r="F4">
        <f>F5*1000</f>
        <v>107.12</v>
      </c>
      <c r="G4">
        <f t="shared" ref="G4:O4" si="0">G5*1000</f>
        <v>107.13000000000001</v>
      </c>
      <c r="H4">
        <f t="shared" si="0"/>
        <v>121.03</v>
      </c>
      <c r="I4">
        <f t="shared" si="0"/>
        <v>123.92999999999999</v>
      </c>
      <c r="J4">
        <f t="shared" si="0"/>
        <v>127.57</v>
      </c>
      <c r="K4">
        <f t="shared" si="0"/>
        <v>148.16</v>
      </c>
      <c r="L4">
        <f t="shared" si="0"/>
        <v>152.37</v>
      </c>
      <c r="M4">
        <f t="shared" si="0"/>
        <v>156.19</v>
      </c>
      <c r="N4">
        <f t="shared" si="0"/>
        <v>146.18</v>
      </c>
      <c r="O4">
        <f t="shared" si="0"/>
        <v>154.28</v>
      </c>
      <c r="P4">
        <f>P5*1100</f>
        <v>126.41199999999999</v>
      </c>
      <c r="Q4">
        <f>Q5*1100</f>
        <v>122.93599999999999</v>
      </c>
    </row>
    <row r="5" spans="1:18" x14ac:dyDescent="0.2">
      <c r="F5">
        <v>0.10712000000000001</v>
      </c>
      <c r="G5">
        <v>0.10713</v>
      </c>
      <c r="H5">
        <v>0.12103</v>
      </c>
      <c r="I5">
        <v>0.12393</v>
      </c>
      <c r="J5">
        <v>0.12756999999999999</v>
      </c>
      <c r="K5">
        <v>0.14815999999999999</v>
      </c>
      <c r="L5">
        <v>0.15237000000000001</v>
      </c>
      <c r="M5">
        <v>0.15619</v>
      </c>
      <c r="N5">
        <v>0.14618</v>
      </c>
      <c r="O5">
        <v>0.15428</v>
      </c>
      <c r="P5">
        <v>0.11491999999999999</v>
      </c>
      <c r="Q5">
        <v>0.11176</v>
      </c>
    </row>
    <row r="7" spans="1:18" x14ac:dyDescent="0.2">
      <c r="Q7">
        <f>Q3/19</f>
        <v>3.0647368421052632</v>
      </c>
    </row>
    <row r="8" spans="1:18" x14ac:dyDescent="0.2">
      <c r="K8">
        <f>0.6*12</f>
        <v>7.1999999999999993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Sanli</dc:creator>
  <cp:lastModifiedBy>B Sanli</cp:lastModifiedBy>
  <dcterms:created xsi:type="dcterms:W3CDTF">2026-02-09T10:58:13Z</dcterms:created>
  <dcterms:modified xsi:type="dcterms:W3CDTF">2026-02-09T16:53:41Z</dcterms:modified>
</cp:coreProperties>
</file>