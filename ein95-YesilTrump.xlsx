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s/Documents/calismalar/enerjiistatistiknotları/"/>
    </mc:Choice>
  </mc:AlternateContent>
  <xr:revisionPtr revIDLastSave="0" documentId="8_{ADE70923-A2F5-044F-A32F-3411F8D17318}" xr6:coauthVersionLast="47" xr6:coauthVersionMax="47" xr10:uidLastSave="{00000000-0000-0000-0000-000000000000}"/>
  <bookViews>
    <workbookView xWindow="20340" yWindow="20320" windowWidth="40180" windowHeight="20520" activeTab="3" xr2:uid="{968A8A8D-A1B2-B942-8DF3-C8B46C3AFAB7}"/>
  </bookViews>
  <sheets>
    <sheet name="TAN" sheetId="7" r:id="rId1"/>
    <sheet name="Sheet1" sheetId="1" r:id="rId2"/>
    <sheet name="ercot" sheetId="2" r:id="rId3"/>
    <sheet name="pjm" sheetId="3" r:id="rId4"/>
    <sheet name="toplu" sheetId="4" r:id="rId5"/>
    <sheet name="emisyon" sheetId="6" r:id="rId6"/>
    <sheet name="henryhub"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6" l="1"/>
  <c r="O10" i="6"/>
  <c r="O11" i="6"/>
  <c r="O12" i="6"/>
  <c r="O13" i="6"/>
  <c r="O14" i="6"/>
  <c r="O15" i="6"/>
  <c r="O16" i="6"/>
  <c r="O17" i="6"/>
  <c r="O18" i="6"/>
  <c r="O19" i="6"/>
  <c r="O20" i="6"/>
  <c r="O21" i="6"/>
  <c r="O22" i="6"/>
  <c r="O23" i="6"/>
  <c r="O8" i="6"/>
  <c r="O59" i="2"/>
  <c r="O60" i="2"/>
  <c r="R61" i="3"/>
  <c r="R62" i="3"/>
  <c r="R51" i="3"/>
  <c r="R52" i="3"/>
  <c r="T7" i="3"/>
  <c r="O10" i="2"/>
  <c r="O11" i="2" s="1"/>
  <c r="O12" i="2" s="1"/>
  <c r="R7" i="3"/>
  <c r="R8" i="3" s="1"/>
  <c r="R9" i="3" s="1"/>
  <c r="R10" i="3" s="1"/>
  <c r="R11" i="3" s="1"/>
  <c r="R12" i="3" s="1"/>
  <c r="R13" i="3" s="1"/>
  <c r="R14" i="3" s="1"/>
  <c r="R15" i="3" s="1"/>
  <c r="R16" i="3" s="1"/>
  <c r="R17" i="3" s="1"/>
  <c r="R18" i="3" s="1"/>
  <c r="R19" i="3" s="1"/>
  <c r="R20" i="3" s="1"/>
  <c r="R21" i="3" s="1"/>
  <c r="R22" i="3" s="1"/>
  <c r="R23" i="3" s="1"/>
  <c r="R24" i="3" s="1"/>
  <c r="R25" i="3" s="1"/>
  <c r="R26" i="3" s="1"/>
  <c r="R27" i="3" s="1"/>
  <c r="R28" i="3" s="1"/>
  <c r="R29" i="3" s="1"/>
  <c r="R30" i="3" s="1"/>
  <c r="R31" i="3" s="1"/>
  <c r="R32" i="3" s="1"/>
  <c r="R12" i="5" a="1"/>
  <c r="R16" i="5" a="1"/>
  <c r="R20" i="5" a="1"/>
  <c r="R24" i="5" a="1"/>
  <c r="R28" i="5" a="1"/>
  <c r="R32" i="5" a="1"/>
  <c r="R36" i="5" a="1"/>
  <c r="R40" i="5" a="1"/>
  <c r="R44" i="5" a="1"/>
  <c r="R48" i="5" a="1"/>
  <c r="R52" i="5" a="1"/>
  <c r="R56" i="5" a="1"/>
  <c r="R60" i="5" a="1"/>
  <c r="R64" i="5" a="1"/>
  <c r="R68" i="5" a="1"/>
  <c r="R72" i="5" a="1"/>
  <c r="R42" i="5" a="1"/>
  <c r="R58" i="5" a="1"/>
  <c r="R74" i="5" a="1"/>
  <c r="R27" i="5" a="1"/>
  <c r="R39" i="5" a="1"/>
  <c r="R55" i="5" a="1"/>
  <c r="R21" i="5" a="1"/>
  <c r="R37" i="5" a="1"/>
  <c r="R45" i="5" a="1"/>
  <c r="R53" i="5" a="1"/>
  <c r="R57" i="5" a="1"/>
  <c r="R65" i="5" a="1"/>
  <c r="R73" i="5" a="1"/>
  <c r="R14" i="5" a="1"/>
  <c r="R30" i="5" a="1"/>
  <c r="R38" i="5" a="1"/>
  <c r="R46" i="5" a="1"/>
  <c r="R62" i="5" a="1"/>
  <c r="R19" i="5" a="1"/>
  <c r="R31" i="5" a="1"/>
  <c r="R47" i="5" a="1"/>
  <c r="R63" i="5" a="1"/>
  <c r="R13" i="5" a="1"/>
  <c r="R17" i="5" a="1"/>
  <c r="R25" i="5" a="1"/>
  <c r="R29" i="5" a="1"/>
  <c r="R33" i="5" a="1"/>
  <c r="R41" i="5" a="1"/>
  <c r="R49" i="5" a="1"/>
  <c r="R61" i="5" a="1"/>
  <c r="R69" i="5" a="1"/>
  <c r="R18" i="5" a="1"/>
  <c r="R26" i="5" a="1"/>
  <c r="R34" i="5" a="1"/>
  <c r="R50" i="5" a="1"/>
  <c r="R66" i="5" a="1"/>
  <c r="R15" i="5" a="1"/>
  <c r="R35" i="5" a="1"/>
  <c r="R51" i="5" a="1"/>
  <c r="R67" i="5" a="1"/>
  <c r="R22" i="5" a="1"/>
  <c r="R54" i="5" a="1"/>
  <c r="R70" i="5" a="1"/>
  <c r="R23" i="5" a="1"/>
  <c r="R43" i="5" a="1"/>
  <c r="R59" i="5" a="1"/>
  <c r="R71" i="5" a="1"/>
  <c r="R11" i="5" a="1"/>
  <c r="Q11" i="5" a="1"/>
  <c r="Q59" i="2" a="1"/>
  <c r="P60" i="2" a="1"/>
  <c r="P59" i="2" a="1"/>
  <c r="Q60" i="2" a="1"/>
  <c r="T61" i="3" a="1"/>
  <c r="S62" i="3" a="1"/>
  <c r="S61" i="3" a="1"/>
  <c r="T62" i="3" a="1"/>
  <c r="S52" i="3" a="1"/>
  <c r="S51" i="3" a="1"/>
  <c r="T51" i="3" a="1"/>
  <c r="T52" i="3" a="1"/>
  <c r="Q12" i="2" a="1"/>
  <c r="Q11" i="2" a="1"/>
  <c r="P12" i="2" a="1"/>
  <c r="P11" i="2" a="1"/>
  <c r="P9" i="2" a="1"/>
  <c r="S27" i="3" a="1"/>
  <c r="S6" i="3" a="1"/>
  <c r="S17" i="3" a="1"/>
  <c r="S21" i="3" a="1"/>
  <c r="T12" i="3" a="1"/>
  <c r="S9" i="3" a="1"/>
  <c r="S29" i="3" a="1"/>
  <c r="T10" i="3" a="1"/>
  <c r="T32" i="3" a="1"/>
  <c r="R71" i="5" l="1"/>
  <c r="R59" i="5"/>
  <c r="R43" i="5"/>
  <c r="R23" i="5"/>
  <c r="R70" i="5"/>
  <c r="R54" i="5"/>
  <c r="R22" i="5"/>
  <c r="R67" i="5"/>
  <c r="R51" i="5"/>
  <c r="R35" i="5"/>
  <c r="R15" i="5"/>
  <c r="R66" i="5"/>
  <c r="R50" i="5"/>
  <c r="R34" i="5"/>
  <c r="R26" i="5"/>
  <c r="R18" i="5"/>
  <c r="R69" i="5"/>
  <c r="R61" i="5"/>
  <c r="R49" i="5"/>
  <c r="R41" i="5"/>
  <c r="R33" i="5"/>
  <c r="R29" i="5"/>
  <c r="R25" i="5"/>
  <c r="R17" i="5"/>
  <c r="R13" i="5"/>
  <c r="R63" i="5"/>
  <c r="R47" i="5"/>
  <c r="R31" i="5"/>
  <c r="R19" i="5"/>
  <c r="R62" i="5"/>
  <c r="R46" i="5"/>
  <c r="R38" i="5"/>
  <c r="R30" i="5"/>
  <c r="R14" i="5"/>
  <c r="R73" i="5"/>
  <c r="R65" i="5"/>
  <c r="R57" i="5"/>
  <c r="R53" i="5"/>
  <c r="R45" i="5"/>
  <c r="R37" i="5"/>
  <c r="R21" i="5"/>
  <c r="R55" i="5"/>
  <c r="R39" i="5"/>
  <c r="R27" i="5"/>
  <c r="R74" i="5"/>
  <c r="R58" i="5"/>
  <c r="R42" i="5"/>
  <c r="R72" i="5"/>
  <c r="R68" i="5"/>
  <c r="R64" i="5"/>
  <c r="R60" i="5"/>
  <c r="R56" i="5"/>
  <c r="R52" i="5"/>
  <c r="R48" i="5"/>
  <c r="R44" i="5"/>
  <c r="R40" i="5"/>
  <c r="R36" i="5"/>
  <c r="R32" i="5"/>
  <c r="R28" i="5"/>
  <c r="R24" i="5"/>
  <c r="R20" i="5"/>
  <c r="R16" i="5"/>
  <c r="R12" i="5"/>
  <c r="R11" i="5"/>
  <c r="Q11" i="5"/>
  <c r="Q60" i="2"/>
  <c r="P59" i="2"/>
  <c r="P60" i="2"/>
  <c r="Q59" i="2"/>
  <c r="O61" i="2"/>
  <c r="T62" i="3"/>
  <c r="S61" i="3"/>
  <c r="S62" i="3"/>
  <c r="T61" i="3"/>
  <c r="R63" i="3"/>
  <c r="T52" i="3"/>
  <c r="T51" i="3"/>
  <c r="S51" i="3"/>
  <c r="S52" i="3"/>
  <c r="R53" i="3"/>
  <c r="Q12" i="2"/>
  <c r="Q11" i="2"/>
  <c r="P12" i="2"/>
  <c r="P11" i="2"/>
  <c r="P9" i="2"/>
  <c r="O13" i="2"/>
  <c r="R33" i="3"/>
  <c r="T12" i="3"/>
  <c r="T10" i="3"/>
  <c r="T32" i="3"/>
  <c r="S29" i="3"/>
  <c r="S21" i="3"/>
  <c r="S17" i="3"/>
  <c r="S9" i="3"/>
  <c r="S27" i="3"/>
  <c r="S6" i="3"/>
  <c r="P13" i="2" a="1"/>
  <c r="Q13" i="2" a="1"/>
  <c r="T27" i="3" a="1"/>
  <c r="S24" i="3" a="1"/>
  <c r="S20" i="3" a="1"/>
  <c r="T31" i="3" a="1"/>
  <c r="T16" i="3" a="1"/>
  <c r="T19" i="3" a="1"/>
  <c r="T20" i="3" a="1"/>
  <c r="S25" i="3" a="1"/>
  <c r="T14" i="3" a="1"/>
  <c r="S8" i="3" a="1"/>
  <c r="T24" i="3" a="1"/>
  <c r="S22" i="3" a="1"/>
  <c r="S13" i="3" a="1"/>
  <c r="S11" i="3" a="1"/>
  <c r="T9" i="3" a="1"/>
  <c r="T28" i="3" a="1"/>
  <c r="T18" i="3" a="1"/>
  <c r="T22" i="3" a="1"/>
  <c r="S31" i="3" a="1"/>
  <c r="T13" i="3" a="1"/>
  <c r="S28" i="3" a="1"/>
  <c r="T23" i="3" a="1"/>
  <c r="S19" i="3" a="1"/>
  <c r="T11" i="3" a="1"/>
  <c r="S23" i="3" a="1"/>
  <c r="S10" i="3" a="1"/>
  <c r="T29" i="3" a="1"/>
  <c r="T17" i="3" a="1"/>
  <c r="T25" i="3" a="1"/>
  <c r="S32" i="3" a="1"/>
  <c r="S18" i="3" a="1"/>
  <c r="T8" i="3" a="1"/>
  <c r="T30" i="3" a="1"/>
  <c r="T15" i="3" a="1"/>
  <c r="T21" i="3" a="1"/>
  <c r="S12" i="3" a="1"/>
  <c r="S30" i="3" a="1"/>
  <c r="S14" i="3" a="1"/>
  <c r="T26" i="3" a="1"/>
  <c r="S15" i="3" a="1"/>
  <c r="S26" i="3" a="1"/>
  <c r="S16" i="3" a="1"/>
  <c r="O62" i="2" l="1"/>
  <c r="R64" i="3"/>
  <c r="R54" i="3"/>
  <c r="Q13" i="2"/>
  <c r="P13" i="2"/>
  <c r="O14" i="2"/>
  <c r="S16" i="3"/>
  <c r="S26" i="3"/>
  <c r="S15" i="3"/>
  <c r="T26" i="3"/>
  <c r="S14" i="3"/>
  <c r="S30" i="3"/>
  <c r="S12" i="3"/>
  <c r="T21" i="3"/>
  <c r="T15" i="3"/>
  <c r="T30" i="3"/>
  <c r="T8" i="3"/>
  <c r="S18" i="3"/>
  <c r="S32" i="3"/>
  <c r="T25" i="3"/>
  <c r="T17" i="3"/>
  <c r="T29" i="3"/>
  <c r="S10" i="3"/>
  <c r="S23" i="3"/>
  <c r="T11" i="3"/>
  <c r="S19" i="3"/>
  <c r="T23" i="3"/>
  <c r="S28" i="3"/>
  <c r="T13" i="3"/>
  <c r="S31" i="3"/>
  <c r="T22" i="3"/>
  <c r="T18" i="3"/>
  <c r="T28" i="3"/>
  <c r="T9" i="3"/>
  <c r="S11" i="3"/>
  <c r="S13" i="3"/>
  <c r="S22" i="3"/>
  <c r="T24" i="3"/>
  <c r="S8" i="3"/>
  <c r="T14" i="3"/>
  <c r="S25" i="3"/>
  <c r="T20" i="3"/>
  <c r="T19" i="3"/>
  <c r="T16" i="3"/>
  <c r="T31" i="3"/>
  <c r="S20" i="3"/>
  <c r="S24" i="3"/>
  <c r="T27" i="3"/>
  <c r="R34" i="3"/>
  <c r="P61" i="2" a="1"/>
  <c r="Q61" i="2" a="1"/>
  <c r="S63" i="3" a="1"/>
  <c r="T63" i="3" a="1"/>
  <c r="S53" i="3" a="1"/>
  <c r="T53" i="3" a="1"/>
  <c r="P14" i="2" a="1"/>
  <c r="Q14" i="2" a="1"/>
  <c r="T33" i="3" a="1"/>
  <c r="S33" i="3" a="1"/>
  <c r="Q61" i="2" l="1"/>
  <c r="P61" i="2"/>
  <c r="O63" i="2"/>
  <c r="T63" i="3"/>
  <c r="S63" i="3"/>
  <c r="R65" i="3"/>
  <c r="T53" i="3"/>
  <c r="S53" i="3"/>
  <c r="R55" i="3"/>
  <c r="Q14" i="2"/>
  <c r="P14" i="2"/>
  <c r="O15" i="2"/>
  <c r="S33" i="3"/>
  <c r="T33" i="3"/>
  <c r="R35" i="3"/>
  <c r="P62" i="2" a="1"/>
  <c r="Q62" i="2" a="1"/>
  <c r="T64" i="3" a="1"/>
  <c r="S64" i="3" a="1"/>
  <c r="S54" i="3" a="1"/>
  <c r="T54" i="3" a="1"/>
  <c r="P15" i="2" a="1"/>
  <c r="Q15" i="2" a="1"/>
  <c r="S34" i="3" a="1"/>
  <c r="T34" i="3" a="1"/>
  <c r="Q62" i="2" l="1"/>
  <c r="P62" i="2"/>
  <c r="O64" i="2"/>
  <c r="S64" i="3"/>
  <c r="T64" i="3"/>
  <c r="R66" i="3"/>
  <c r="T54" i="3"/>
  <c r="S54" i="3"/>
  <c r="R56" i="3"/>
  <c r="Q15" i="2"/>
  <c r="P15" i="2"/>
  <c r="O16" i="2"/>
  <c r="T34" i="3"/>
  <c r="S34" i="3"/>
  <c r="R36" i="3"/>
  <c r="Q63" i="2" a="1"/>
  <c r="P63" i="2" a="1"/>
  <c r="S65" i="3" a="1"/>
  <c r="T65" i="3" a="1"/>
  <c r="S55" i="3" a="1"/>
  <c r="T55" i="3" a="1"/>
  <c r="P16" i="2" a="1"/>
  <c r="Q16" i="2" a="1"/>
  <c r="T35" i="3" a="1"/>
  <c r="S35" i="3" a="1"/>
  <c r="P63" i="2" l="1"/>
  <c r="Q63" i="2"/>
  <c r="O65" i="2"/>
  <c r="T65" i="3"/>
  <c r="S65" i="3"/>
  <c r="R67" i="3"/>
  <c r="T55" i="3"/>
  <c r="S55" i="3"/>
  <c r="R57" i="3"/>
  <c r="Q16" i="2"/>
  <c r="P16" i="2"/>
  <c r="O17" i="2"/>
  <c r="S35" i="3"/>
  <c r="T35" i="3"/>
  <c r="R37" i="3"/>
  <c r="Q64" i="2" a="1"/>
  <c r="P64" i="2" a="1"/>
  <c r="T66" i="3" a="1"/>
  <c r="S66" i="3" a="1"/>
  <c r="T56" i="3" a="1"/>
  <c r="S56" i="3" a="1"/>
  <c r="P17" i="2" a="1"/>
  <c r="Q17" i="2" a="1"/>
  <c r="T36" i="3" a="1"/>
  <c r="S36" i="3" a="1"/>
  <c r="P64" i="2" l="1"/>
  <c r="Q64" i="2"/>
  <c r="O66" i="2"/>
  <c r="S66" i="3"/>
  <c r="T66" i="3"/>
  <c r="R68" i="3"/>
  <c r="S56" i="3"/>
  <c r="T56" i="3"/>
  <c r="R58" i="3"/>
  <c r="Q17" i="2"/>
  <c r="P17" i="2"/>
  <c r="O18" i="2"/>
  <c r="S36" i="3"/>
  <c r="T36" i="3"/>
  <c r="R38" i="3"/>
  <c r="Q65" i="2" a="1"/>
  <c r="P65" i="2" a="1"/>
  <c r="S67" i="3" a="1"/>
  <c r="T67" i="3" a="1"/>
  <c r="T57" i="3" a="1"/>
  <c r="S57" i="3" a="1"/>
  <c r="P18" i="2" a="1"/>
  <c r="Q18" i="2" a="1"/>
  <c r="T37" i="3" a="1"/>
  <c r="S37" i="3" a="1"/>
  <c r="P65" i="2" l="1"/>
  <c r="Q65" i="2"/>
  <c r="O67" i="2"/>
  <c r="T67" i="3"/>
  <c r="S67" i="3"/>
  <c r="R69" i="3"/>
  <c r="S57" i="3"/>
  <c r="T57" i="3"/>
  <c r="R59" i="3"/>
  <c r="Q18" i="2"/>
  <c r="P18" i="2"/>
  <c r="O19" i="2"/>
  <c r="S37" i="3"/>
  <c r="T37" i="3"/>
  <c r="R39" i="3"/>
  <c r="Q66" i="2" a="1"/>
  <c r="P66" i="2" a="1"/>
  <c r="S68" i="3" a="1"/>
  <c r="T68" i="3" a="1"/>
  <c r="T58" i="3" a="1"/>
  <c r="S58" i="3" a="1"/>
  <c r="P19" i="2" a="1"/>
  <c r="Q19" i="2" a="1"/>
  <c r="T38" i="3" a="1"/>
  <c r="S38" i="3" a="1"/>
  <c r="P66" i="2" l="1"/>
  <c r="Q66" i="2"/>
  <c r="O68" i="2"/>
  <c r="T68" i="3"/>
  <c r="S68" i="3"/>
  <c r="R70" i="3"/>
  <c r="S58" i="3"/>
  <c r="T58" i="3"/>
  <c r="R60" i="3"/>
  <c r="Q19" i="2"/>
  <c r="P19" i="2"/>
  <c r="O20" i="2"/>
  <c r="S38" i="3"/>
  <c r="T38" i="3"/>
  <c r="R40" i="3"/>
  <c r="P67" i="2" a="1"/>
  <c r="Q67" i="2" a="1"/>
  <c r="T69" i="3" a="1"/>
  <c r="S69" i="3" a="1"/>
  <c r="T59" i="3" a="1"/>
  <c r="S59" i="3" a="1"/>
  <c r="P20" i="2" a="1"/>
  <c r="Q20" i="2" a="1"/>
  <c r="T39" i="3" a="1"/>
  <c r="S39" i="3" a="1"/>
  <c r="Q67" i="2" l="1"/>
  <c r="P67" i="2"/>
  <c r="O69" i="2"/>
  <c r="S69" i="3"/>
  <c r="T69" i="3"/>
  <c r="R71" i="3"/>
  <c r="S59" i="3"/>
  <c r="T59" i="3"/>
  <c r="Q20" i="2"/>
  <c r="P20" i="2"/>
  <c r="O21" i="2"/>
  <c r="S39" i="3"/>
  <c r="T39" i="3"/>
  <c r="R41" i="3"/>
  <c r="Q68" i="2" a="1"/>
  <c r="P68" i="2" a="1"/>
  <c r="S70" i="3" a="1"/>
  <c r="T70" i="3" a="1"/>
  <c r="T60" i="3" a="1"/>
  <c r="S60" i="3" a="1"/>
  <c r="P21" i="2" a="1"/>
  <c r="Q21" i="2" a="1"/>
  <c r="T40" i="3" a="1"/>
  <c r="S40" i="3" a="1"/>
  <c r="P68" i="2" l="1"/>
  <c r="Q68" i="2"/>
  <c r="O70" i="2"/>
  <c r="T70" i="3"/>
  <c r="S70" i="3"/>
  <c r="S60" i="3"/>
  <c r="T60" i="3"/>
  <c r="Q21" i="2"/>
  <c r="P21" i="2"/>
  <c r="O22" i="2"/>
  <c r="S40" i="3"/>
  <c r="T40" i="3"/>
  <c r="R42" i="3"/>
  <c r="P69" i="2" a="1"/>
  <c r="Q69" i="2" a="1"/>
  <c r="T71" i="3" a="1"/>
  <c r="S71" i="3" a="1"/>
  <c r="P22" i="2" a="1"/>
  <c r="Q22" i="2" a="1"/>
  <c r="T41" i="3" a="1"/>
  <c r="S41" i="3" a="1"/>
  <c r="Q69" i="2" l="1"/>
  <c r="P69" i="2"/>
  <c r="O71" i="2"/>
  <c r="S71" i="3"/>
  <c r="T71" i="3"/>
  <c r="Q22" i="2"/>
  <c r="P22" i="2"/>
  <c r="O23" i="2"/>
  <c r="S41" i="3"/>
  <c r="T41" i="3"/>
  <c r="R43" i="3"/>
  <c r="P70" i="2" a="1"/>
  <c r="Q70" i="2" a="1"/>
  <c r="P23" i="2" a="1"/>
  <c r="Q23" i="2" a="1"/>
  <c r="T42" i="3" a="1"/>
  <c r="S42" i="3" a="1"/>
  <c r="Q70" i="2" l="1"/>
  <c r="P70" i="2"/>
  <c r="O72" i="2"/>
  <c r="Q23" i="2"/>
  <c r="P23" i="2"/>
  <c r="O24" i="2"/>
  <c r="S42" i="3"/>
  <c r="T42" i="3"/>
  <c r="R44" i="3"/>
  <c r="Q71" i="2" a="1"/>
  <c r="P71" i="2" a="1"/>
  <c r="P24" i="2" a="1"/>
  <c r="Q24" i="2" a="1"/>
  <c r="S43" i="3" a="1"/>
  <c r="T43" i="3" a="1"/>
  <c r="P71" i="2" l="1"/>
  <c r="Q71" i="2"/>
  <c r="O73" i="2"/>
  <c r="Q24" i="2"/>
  <c r="P24" i="2"/>
  <c r="O25" i="2"/>
  <c r="T43" i="3"/>
  <c r="S43" i="3"/>
  <c r="R45" i="3"/>
  <c r="P72" i="2" a="1"/>
  <c r="Q72" i="2" a="1"/>
  <c r="P25" i="2" a="1"/>
  <c r="Q25" i="2" a="1"/>
  <c r="S44" i="3" a="1"/>
  <c r="T44" i="3" a="1"/>
  <c r="Q72" i="2" l="1"/>
  <c r="P72" i="2"/>
  <c r="O74" i="2"/>
  <c r="Q25" i="2"/>
  <c r="P25" i="2"/>
  <c r="O26" i="2"/>
  <c r="T44" i="3"/>
  <c r="S44" i="3"/>
  <c r="R46" i="3"/>
  <c r="Q73" i="2" a="1"/>
  <c r="P73" i="2" a="1"/>
  <c r="P26" i="2" a="1"/>
  <c r="Q26" i="2" a="1"/>
  <c r="S45" i="3" a="1"/>
  <c r="T45" i="3" a="1"/>
  <c r="P73" i="2" l="1"/>
  <c r="Q73" i="2"/>
  <c r="Q26" i="2"/>
  <c r="P26" i="2"/>
  <c r="O27" i="2"/>
  <c r="T45" i="3"/>
  <c r="S45" i="3"/>
  <c r="R47" i="3"/>
  <c r="P74" i="2" a="1"/>
  <c r="Q74" i="2" a="1"/>
  <c r="P27" i="2" a="1"/>
  <c r="Q27" i="2" a="1"/>
  <c r="T46" i="3" a="1"/>
  <c r="S46" i="3" a="1"/>
  <c r="Q74" i="2" l="1"/>
  <c r="P74" i="2"/>
  <c r="Q27" i="2"/>
  <c r="P27" i="2"/>
  <c r="O28" i="2"/>
  <c r="S46" i="3"/>
  <c r="T46" i="3"/>
  <c r="R48" i="3"/>
  <c r="P28" i="2" a="1"/>
  <c r="Q28" i="2" a="1"/>
  <c r="T47" i="3" a="1"/>
  <c r="S47" i="3" a="1"/>
  <c r="Q28" i="2" l="1"/>
  <c r="P28" i="2"/>
  <c r="O29" i="2"/>
  <c r="S47" i="3"/>
  <c r="T47" i="3"/>
  <c r="R49" i="3"/>
  <c r="P29" i="2" a="1"/>
  <c r="Q29" i="2" a="1"/>
  <c r="T48" i="3" a="1"/>
  <c r="S48" i="3" a="1"/>
  <c r="Q29" i="2" l="1"/>
  <c r="P29" i="2"/>
  <c r="O30" i="2"/>
  <c r="S48" i="3"/>
  <c r="T48" i="3"/>
  <c r="R50" i="3"/>
  <c r="P30" i="2" a="1"/>
  <c r="Q30" i="2" a="1"/>
  <c r="T49" i="3" a="1"/>
  <c r="S49" i="3" a="1"/>
  <c r="Q30" i="2" l="1"/>
  <c r="P30" i="2"/>
  <c r="O31" i="2"/>
  <c r="S49" i="3"/>
  <c r="T49" i="3"/>
  <c r="P31" i="2" a="1"/>
  <c r="Q31" i="2" a="1"/>
  <c r="T50" i="3" a="1"/>
  <c r="S50" i="3" a="1"/>
  <c r="Q31" i="2" l="1"/>
  <c r="P31" i="2"/>
  <c r="O32" i="2"/>
  <c r="S50" i="3"/>
  <c r="T50" i="3"/>
  <c r="P32" i="2" a="1"/>
  <c r="Q32" i="2" a="1"/>
  <c r="Q32" i="2" l="1"/>
  <c r="P32" i="2"/>
  <c r="O33" i="2"/>
  <c r="P33" i="2" a="1"/>
  <c r="Q33" i="2" a="1"/>
  <c r="Q33" i="2" l="1"/>
  <c r="P33" i="2"/>
  <c r="O34" i="2"/>
  <c r="P34" i="2" a="1"/>
  <c r="Q34" i="2" a="1"/>
  <c r="Q34" i="2" l="1"/>
  <c r="P34" i="2"/>
  <c r="O35" i="2"/>
  <c r="P35" i="2" a="1"/>
  <c r="Q35" i="2" a="1"/>
  <c r="Q35" i="2" l="1"/>
  <c r="P35" i="2"/>
  <c r="O36" i="2"/>
  <c r="P36" i="2" a="1"/>
  <c r="Q36" i="2" a="1"/>
  <c r="Q36" i="2" l="1"/>
  <c r="P36" i="2"/>
  <c r="O37" i="2"/>
  <c r="P37" i="2" a="1"/>
  <c r="Q37" i="2" a="1"/>
  <c r="Q37" i="2" l="1"/>
  <c r="P37" i="2"/>
  <c r="O38" i="2"/>
  <c r="P38" i="2" a="1"/>
  <c r="Q38" i="2" a="1"/>
  <c r="Q38" i="2" l="1"/>
  <c r="P38" i="2"/>
  <c r="O39" i="2"/>
  <c r="P39" i="2" a="1"/>
  <c r="Q39" i="2" a="1"/>
  <c r="Q39" i="2" l="1"/>
  <c r="P39" i="2"/>
  <c r="O40" i="2"/>
  <c r="P40" i="2" a="1"/>
  <c r="Q40" i="2" a="1"/>
  <c r="Q40" i="2" l="1"/>
  <c r="P40" i="2"/>
  <c r="O41" i="2"/>
  <c r="P41" i="2" a="1"/>
  <c r="Q41" i="2" a="1"/>
  <c r="Q41" i="2" l="1"/>
  <c r="P41" i="2"/>
  <c r="O42" i="2"/>
  <c r="P42" i="2" a="1"/>
  <c r="Q42" i="2" a="1"/>
  <c r="Q42" i="2" l="1"/>
  <c r="P42" i="2"/>
  <c r="O43" i="2"/>
  <c r="P43" i="2" a="1"/>
  <c r="Q43" i="2" a="1"/>
  <c r="Q43" i="2" l="1"/>
  <c r="P43" i="2"/>
  <c r="O44" i="2"/>
  <c r="P44" i="2" a="1"/>
  <c r="Q44" i="2" a="1"/>
  <c r="Q44" i="2" l="1"/>
  <c r="P44" i="2"/>
  <c r="O45" i="2"/>
  <c r="P45" i="2" a="1"/>
  <c r="Q45" i="2" a="1"/>
  <c r="Q45" i="2" l="1"/>
  <c r="P45" i="2"/>
  <c r="O46" i="2"/>
  <c r="P46" i="2" a="1"/>
  <c r="Q46" i="2" a="1"/>
  <c r="Q46" i="2" l="1"/>
  <c r="P46" i="2"/>
  <c r="O47" i="2"/>
  <c r="P47" i="2" a="1"/>
  <c r="Q47" i="2" a="1"/>
  <c r="Q47" i="2" l="1"/>
  <c r="P47" i="2"/>
  <c r="O48" i="2"/>
  <c r="P48" i="2" a="1"/>
  <c r="Q48" i="2" a="1"/>
  <c r="Q48" i="2" l="1"/>
  <c r="P48" i="2"/>
  <c r="O49" i="2"/>
  <c r="P49" i="2" a="1"/>
  <c r="Q49" i="2" a="1"/>
  <c r="Q49" i="2" l="1"/>
  <c r="P49" i="2"/>
  <c r="O50" i="2"/>
  <c r="P50" i="2" a="1"/>
  <c r="Q50" i="2" a="1"/>
  <c r="Q50" i="2" l="1"/>
  <c r="P50" i="2"/>
  <c r="O51" i="2"/>
  <c r="P51" i="2" a="1"/>
  <c r="Q51" i="2" a="1"/>
  <c r="Q51" i="2" l="1"/>
  <c r="P51" i="2"/>
  <c r="O52" i="2"/>
  <c r="P52" i="2" a="1"/>
  <c r="Q52" i="2" a="1"/>
  <c r="Q52" i="2" l="1"/>
  <c r="P52" i="2"/>
  <c r="O53" i="2"/>
  <c r="P53" i="2" a="1"/>
  <c r="Q53" i="2" a="1"/>
  <c r="Q53" i="2" l="1"/>
  <c r="P53" i="2"/>
  <c r="O54" i="2"/>
  <c r="P54" i="2" a="1"/>
  <c r="Q54" i="2" a="1"/>
  <c r="Q54" i="2" l="1"/>
  <c r="P54" i="2"/>
  <c r="O55" i="2"/>
  <c r="Q55" i="2" a="1"/>
  <c r="P55" i="2" a="1"/>
  <c r="P55" i="2" l="1"/>
  <c r="Q55" i="2"/>
  <c r="O56" i="2"/>
  <c r="Q56" i="2" a="1"/>
  <c r="P56" i="2" a="1"/>
  <c r="P56" i="2" l="1"/>
  <c r="Q56" i="2"/>
  <c r="O57" i="2"/>
  <c r="Q57" i="2" a="1"/>
  <c r="P57" i="2" a="1"/>
  <c r="P57" i="2" l="1"/>
  <c r="Q57" i="2"/>
  <c r="O58" i="2"/>
  <c r="Q58" i="2" a="1"/>
  <c r="P58" i="2" a="1"/>
  <c r="P58" i="2" l="1"/>
  <c r="Q5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<sst xmlns="http://schemas.openxmlformats.org/spreadsheetml/2006/main" count="2910" uniqueCount="595">
  <si>
    <t>MONTH</t>
  </si>
  <si>
    <t>CHART</t>
  </si>
  <si>
    <t>LAST</t>
  </si>
  <si>
    <t>CHANGE</t>
  </si>
  <si>
    <t>PRIOR</t>
  </si>
  <si>
    <t>SETTLE</t>
  </si>
  <si>
    <t>OPEN</t>
  </si>
  <si>
    <t>HIGH</t>
  </si>
  <si>
    <t>LOW</t>
  </si>
  <si>
    <t>VOLUME</t>
  </si>
  <si>
    <t>UPDATED</t>
  </si>
  <si>
    <t>AI5F6</t>
  </si>
  <si>
    <t>-</t>
  </si>
  <si>
    <t>17:46:43 CT</t>
  </si>
  <si>
    <t>AI5G6</t>
  </si>
  <si>
    <t>17:45:03 CT</t>
  </si>
  <si>
    <t>AI5H6</t>
  </si>
  <si>
    <t>17:45:31 CT</t>
  </si>
  <si>
    <t>AI5J6</t>
  </si>
  <si>
    <t>17:44:29 CT</t>
  </si>
  <si>
    <t>AI5K6</t>
  </si>
  <si>
    <t>17:46:09 CT</t>
  </si>
  <si>
    <t>AI5M6</t>
  </si>
  <si>
    <t>AI5N6</t>
  </si>
  <si>
    <t>17:45:29 CT</t>
  </si>
  <si>
    <t>AI5Q6</t>
  </si>
  <si>
    <t>AI5U6</t>
  </si>
  <si>
    <t>AI5V6</t>
  </si>
  <si>
    <t>17:44:35 CT</t>
  </si>
  <si>
    <t>AI5X6</t>
  </si>
  <si>
    <t>17:45:28 CT</t>
  </si>
  <si>
    <t>AI5Z6</t>
  </si>
  <si>
    <t>17:45:36 CT</t>
  </si>
  <si>
    <t>AI5F7</t>
  </si>
  <si>
    <t>17:46:13 CT</t>
  </si>
  <si>
    <t>AI5G7</t>
  </si>
  <si>
    <t>17:46:53 CT</t>
  </si>
  <si>
    <t>AI5H7</t>
  </si>
  <si>
    <t>17:44:23 CT</t>
  </si>
  <si>
    <t>AI5J7</t>
  </si>
  <si>
    <t>17:45:14 CT</t>
  </si>
  <si>
    <t>AI5K7</t>
  </si>
  <si>
    <t>AI5M7</t>
  </si>
  <si>
    <t>17:45:02 CT</t>
  </si>
  <si>
    <t>AI5N7</t>
  </si>
  <si>
    <t>17:46:27 CT</t>
  </si>
  <si>
    <t>AI5Q7</t>
  </si>
  <si>
    <t>AI5U7</t>
  </si>
  <si>
    <t>17:44:50 CT</t>
  </si>
  <si>
    <t>AI5V7</t>
  </si>
  <si>
    <t>AI5X7</t>
  </si>
  <si>
    <t>17:46:08 CT</t>
  </si>
  <si>
    <t>AI5Z7</t>
  </si>
  <si>
    <t>17:45:22 CT</t>
  </si>
  <si>
    <t>AI5F8</t>
  </si>
  <si>
    <t>17:45:42 CT</t>
  </si>
  <si>
    <t>AI5G8</t>
  </si>
  <si>
    <t>17:45:01 CT</t>
  </si>
  <si>
    <t>AI5H8</t>
  </si>
  <si>
    <t>17:47:00 CT</t>
  </si>
  <si>
    <t>AI5J8</t>
  </si>
  <si>
    <t>17:44:27 CT</t>
  </si>
  <si>
    <t>AI5K8</t>
  </si>
  <si>
    <t>AI5M8</t>
  </si>
  <si>
    <t>17:46:46 CT</t>
  </si>
  <si>
    <t>AI5N8</t>
  </si>
  <si>
    <t>17:45:32 CT</t>
  </si>
  <si>
    <t>AI5Q8</t>
  </si>
  <si>
    <t>17:45:52 CT</t>
  </si>
  <si>
    <t>AI5U8</t>
  </si>
  <si>
    <t>17:44:32 CT</t>
  </si>
  <si>
    <t>AI5V8</t>
  </si>
  <si>
    <t>17:45:21 CT</t>
  </si>
  <si>
    <t>AI5X8</t>
  </si>
  <si>
    <t>17:47:03 CT</t>
  </si>
  <si>
    <t>AI5Z8</t>
  </si>
  <si>
    <t>17:45:09 CT</t>
  </si>
  <si>
    <t>AI5F9</t>
  </si>
  <si>
    <t>17:47:02 CT</t>
  </si>
  <si>
    <t>AI5G9</t>
  </si>
  <si>
    <t>17:45:46 CT</t>
  </si>
  <si>
    <t>AI5H9</t>
  </si>
  <si>
    <t>17:44:33 CT</t>
  </si>
  <si>
    <t>AI5J9</t>
  </si>
  <si>
    <t>17:44:16 CT</t>
  </si>
  <si>
    <t>AI5K9</t>
  </si>
  <si>
    <t>17:45:55 CT</t>
  </si>
  <si>
    <t>AI5M9</t>
  </si>
  <si>
    <t>AI5N9</t>
  </si>
  <si>
    <t>AI5Q9</t>
  </si>
  <si>
    <t>AI5U9</t>
  </si>
  <si>
    <t>17:46:11 CT</t>
  </si>
  <si>
    <t>AI5V9</t>
  </si>
  <si>
    <t>17:44:45 CT</t>
  </si>
  <si>
    <t>AI5X9</t>
  </si>
  <si>
    <t>AI5Z9</t>
  </si>
  <si>
    <t>AI5F0</t>
  </si>
  <si>
    <t>17:46:58 CT</t>
  </si>
  <si>
    <t>AI5G0</t>
  </si>
  <si>
    <t>17:46:51 CT</t>
  </si>
  <si>
    <t>AI5H0</t>
  </si>
  <si>
    <t>17:44:28 CT</t>
  </si>
  <si>
    <t>AI5J0</t>
  </si>
  <si>
    <t>17:45:34 CT</t>
  </si>
  <si>
    <t>AI5K0</t>
  </si>
  <si>
    <t>AI5M0</t>
  </si>
  <si>
    <t>17:45:56 CT</t>
  </si>
  <si>
    <t>AI5N0</t>
  </si>
  <si>
    <t>AI5Q0</t>
  </si>
  <si>
    <t>AI5U0</t>
  </si>
  <si>
    <t>AI5V0</t>
  </si>
  <si>
    <t>17:45:23 CT</t>
  </si>
  <si>
    <t>AI5X0</t>
  </si>
  <si>
    <t>17:46:29 CT</t>
  </si>
  <si>
    <t>AI5Z0</t>
  </si>
  <si>
    <t>AI5F1</t>
  </si>
  <si>
    <t>17:46:48 CT</t>
  </si>
  <si>
    <t>AI5G1</t>
  </si>
  <si>
    <t>AI5H1</t>
  </si>
  <si>
    <t>AI5J1</t>
  </si>
  <si>
    <t>AI5K1</t>
  </si>
  <si>
    <t>AI5M1</t>
  </si>
  <si>
    <t>17:46:45 CT</t>
  </si>
  <si>
    <t>AI5N1</t>
  </si>
  <si>
    <t>AI5Q1</t>
  </si>
  <si>
    <t>AI5U1</t>
  </si>
  <si>
    <t>AI5V1</t>
  </si>
  <si>
    <t>AI5X1</t>
  </si>
  <si>
    <t>17:46:42 CT</t>
  </si>
  <si>
    <t>AI5Z1</t>
  </si>
  <si>
    <t>17:46:49 CT</t>
  </si>
  <si>
    <t>All market data contained within the CME Group website should be considered as a reference only and should not be used as validation against, nor as a complement to, real-time market data feeds. Settlement prices on instruments without open interest or volume are provided for web users only and are not published on Market Data Platform (MDP). These prices are not based on market activity.</t>
  </si>
  <si>
    <t>OPEC Watch</t>
  </si>
  <si>
    <t>Stay up to date with the probabilities of certain outcomes of the next OPEC meeting using NYMEX WTI Crude Oil option prices. </t>
  </si>
  <si>
    <t>Interactive Expiration Calendar</t>
  </si>
  <si>
    <t>Use this calendar to find relevant product dates and CME Group holiday hours. </t>
  </si>
  <si>
    <t>Option Settlement Tools</t>
  </si>
  <si>
    <t>Analyze settlement values for all CME Group options products, including both settlement prices and implied volatilities. </t>
  </si>
  <si>
    <t>Open Interest Profile Tool</t>
  </si>
  <si>
    <t>Analyze open interest and open interest change patterns for each expiration within the selected product. </t>
  </si>
  <si>
    <t>Looking for more? Explore our additional resources</t>
  </si>
  <si>
    <t>PRODUCTS</t>
  </si>
  <si>
    <t>RESOURCES</t>
  </si>
  <si>
    <t>NOW TRADING:MONDAY AND WEDNESDAY WTI WEEKLY OPTIONS</t>
  </si>
  <si>
    <t>COMPANY</t>
  </si>
  <si>
    <t>About Us</t>
  </si>
  <si>
    <t>Corporate Citizenship</t>
  </si>
  <si>
    <t>Media Room</t>
  </si>
  <si>
    <t>Careers</t>
  </si>
  <si>
    <t>Investor Relations</t>
  </si>
  <si>
    <t>Subscription Center</t>
  </si>
  <si>
    <t>Contact Us</t>
  </si>
  <si>
    <t>INTERNATIONAL</t>
  </si>
  <si>
    <t>Global Offices</t>
  </si>
  <si>
    <t>Partner Exchanges</t>
  </si>
  <si>
    <t>Latin America</t>
  </si>
  <si>
    <t>Europe, Middle East &amp; Africa</t>
  </si>
  <si>
    <t>Asia-Pacific</t>
  </si>
  <si>
    <t>MARKET REGULATION</t>
  </si>
  <si>
    <t>Overview</t>
  </si>
  <si>
    <t>Rulebooks</t>
  </si>
  <si>
    <t>Regulatory Guidance</t>
  </si>
  <si>
    <t>Rule Filings</t>
  </si>
  <si>
    <t>Regulatory Outreach</t>
  </si>
  <si>
    <t>OUR EXCHANGES </t>
  </si>
  <si>
    <t>CME</t>
  </si>
  <si>
    <t>CBOT</t>
  </si>
  <si>
    <t>NYMEX</t>
  </si>
  <si>
    <t>COMEX</t>
  </si>
  <si>
    <t>CME Group is the world’s leading derivatives marketplace. The company is comprised of four Designated Contract Markets (DCMs). </t>
  </si>
  <si>
    <r>
      <t>Further information on each exchange's rules and product listings can be found by clicking on the links to </t>
    </r>
    <r>
      <rPr>
        <sz val="12"/>
        <color rgb="FF3CC8FF"/>
        <rFont val="Averta"/>
      </rPr>
      <t>CME</t>
    </r>
    <r>
      <rPr>
        <sz val="12"/>
        <color rgb="FFFFFFFF"/>
        <rFont val="Averta"/>
      </rPr>
      <t>, </t>
    </r>
    <r>
      <rPr>
        <sz val="12"/>
        <color rgb="FF3CC8FF"/>
        <rFont val="Averta"/>
      </rPr>
      <t>CBOT</t>
    </r>
    <r>
      <rPr>
        <sz val="12"/>
        <color rgb="FFFFFFFF"/>
        <rFont val="Averta"/>
      </rPr>
      <t>, </t>
    </r>
    <r>
      <rPr>
        <sz val="12"/>
        <color rgb="FF3CC8FF"/>
        <rFont val="Averta"/>
      </rPr>
      <t>NYMEX</t>
    </r>
    <r>
      <rPr>
        <sz val="12"/>
        <color rgb="FFFFFFFF"/>
        <rFont val="Averta"/>
      </rPr>
      <t> and </t>
    </r>
    <r>
      <rPr>
        <sz val="12"/>
        <color rgb="FF3CC8FF"/>
        <rFont val="Averta"/>
      </rPr>
      <t>COMEX</t>
    </r>
    <r>
      <rPr>
        <sz val="12"/>
        <color rgb="FFFFFFFF"/>
        <rFont val="Averta"/>
      </rPr>
      <t>.</t>
    </r>
  </si>
  <si>
    <t>© 2025 CME Group Inc. All rights reserved.</t>
  </si>
  <si>
    <r>
      <t>Disclaimer</t>
    </r>
    <r>
      <rPr>
        <sz val="12"/>
        <color rgb="FFFFFFFF"/>
        <rFont val="Averta"/>
      </rPr>
      <t>  |  </t>
    </r>
    <r>
      <rPr>
        <sz val="12"/>
        <color rgb="FF3CC8FF"/>
        <rFont val="Averta"/>
      </rPr>
      <t>Privacy Notice</t>
    </r>
    <r>
      <rPr>
        <sz val="12"/>
        <color rgb="FFFFFFFF"/>
        <rFont val="Averta"/>
      </rPr>
      <t>  |  </t>
    </r>
    <r>
      <rPr>
        <sz val="12"/>
        <color rgb="FF3CC8FF"/>
        <rFont val="Averta"/>
      </rPr>
      <t>Cookie Notice</t>
    </r>
    <r>
      <rPr>
        <sz val="12"/>
        <color rgb="FFFFFFFF"/>
        <rFont val="Averta"/>
      </rPr>
      <t>  |  </t>
    </r>
    <r>
      <rPr>
        <sz val="12"/>
        <color rgb="FF3CC8FF"/>
        <rFont val="Averta"/>
      </rPr>
      <t>Terms of Use</t>
    </r>
    <r>
      <rPr>
        <sz val="12"/>
        <color rgb="FFFFFFFF"/>
        <rFont val="Averta"/>
      </rPr>
      <t>  |  </t>
    </r>
    <r>
      <rPr>
        <sz val="12"/>
        <color rgb="FF3CC8FF"/>
        <rFont val="Averta"/>
      </rPr>
      <t>Data Terms of Use</t>
    </r>
    <r>
      <rPr>
        <sz val="12"/>
        <color rgb="FFFFFFFF"/>
        <rFont val="Averta"/>
      </rPr>
      <t>  |  </t>
    </r>
    <r>
      <rPr>
        <sz val="12"/>
        <color rgb="FF3CC8FF"/>
        <rFont val="Averta"/>
      </rPr>
      <t>Modern Slavery Act Transparency Statement</t>
    </r>
    <r>
      <rPr>
        <sz val="12"/>
        <color rgb="FFFFFFFF"/>
        <rFont val="Averta"/>
      </rPr>
      <t>  |  </t>
    </r>
    <r>
      <rPr>
        <sz val="12"/>
        <color rgb="FF3CC8FF"/>
        <rFont val="Averta"/>
      </rPr>
      <t>Report a Security Concern</t>
    </r>
  </si>
  <si>
    <r>
      <t> </t>
    </r>
    <r>
      <rPr>
        <sz val="12"/>
        <color rgb="FFFFFFFF"/>
        <rFont val="Helvetica Neue"/>
        <family val="2"/>
      </rPr>
      <t>Share</t>
    </r>
  </si>
  <si>
    <r>
      <t> </t>
    </r>
    <r>
      <rPr>
        <sz val="12"/>
        <color rgb="FFFFFFFF"/>
        <rFont val="Helvetica Neue"/>
        <family val="2"/>
      </rPr>
      <t>Tweet</t>
    </r>
  </si>
  <si>
    <r>
      <t> </t>
    </r>
    <r>
      <rPr>
        <sz val="12"/>
        <color rgb="FFFFFFFF"/>
        <rFont val="Helvetica Neue"/>
        <family val="2"/>
      </rPr>
      <t>Email</t>
    </r>
  </si>
  <si>
    <t>Instagram</t>
  </si>
  <si>
    <t>Rss</t>
  </si>
  <si>
    <t>Further information on each exchange's rules and product listings can be found by clicking on the links to CME, CBOT, NYMEX and COMEX.</t>
  </si>
  <si>
    <t>Disclaimer  |  Privacy Notice  |  Cookie Notice  |  Terms of Use  |  Data Terms of Use  |  Modern Slavery Act Transparency Statement  |  Report a Security Concern</t>
  </si>
  <si>
    <t>whatsapp sharing button Share</t>
  </si>
  <si>
    <t>facebook sharing button Share</t>
  </si>
  <si>
    <t>twitter sharing button Tweet</t>
  </si>
  <si>
    <t>email sharing button Email</t>
  </si>
  <si>
    <t>messenger sharing button Share</t>
  </si>
  <si>
    <t>arrow_right sharing button</t>
  </si>
  <si>
    <t>https://www.cmegroup.com/markets/energy/electricity/ercot-north-zone-mcpe-5-mw-peak-swap-futures.quotes.html</t>
  </si>
  <si>
    <t>Month</t>
  </si>
  <si>
    <t>Options</t>
  </si>
  <si>
    <t>Chart</t>
  </si>
  <si>
    <t>Last</t>
  </si>
  <si>
    <t>Change</t>
  </si>
  <si>
    <t>Prior</t>
  </si>
  <si>
    <t>Settle</t>
  </si>
  <si>
    <t>Open</t>
  </si>
  <si>
    <t>High</t>
  </si>
  <si>
    <t>Low</t>
  </si>
  <si>
    <t>Volume</t>
  </si>
  <si>
    <t>Updated</t>
  </si>
  <si>
    <t>AL1F6</t>
  </si>
  <si>
    <t>Opt</t>
  </si>
  <si>
    <t>17:46:10 CT</t>
  </si>
  <si>
    <t>AL1G6</t>
  </si>
  <si>
    <t>17:46:37 CT</t>
  </si>
  <si>
    <t>AL1H6</t>
  </si>
  <si>
    <t>17:44:15 CT</t>
  </si>
  <si>
    <t>AL1J6</t>
  </si>
  <si>
    <t>AL1K6</t>
  </si>
  <si>
    <t>AL1M6</t>
  </si>
  <si>
    <t>17:44:41 CT</t>
  </si>
  <si>
    <t>AL1N6</t>
  </si>
  <si>
    <t>AL1Q6</t>
  </si>
  <si>
    <t>17:47:07 CT</t>
  </si>
  <si>
    <t>AL1U6</t>
  </si>
  <si>
    <t>AL1V6</t>
  </si>
  <si>
    <t>17:45:59 CT</t>
  </si>
  <si>
    <t>AL1X6</t>
  </si>
  <si>
    <t>17:44:44 CT</t>
  </si>
  <si>
    <t>AL1Z6</t>
  </si>
  <si>
    <t>AL1F7</t>
  </si>
  <si>
    <t>17:45:18 CT</t>
  </si>
  <si>
    <t>AL1G7</t>
  </si>
  <si>
    <t>17:44:52 CT</t>
  </si>
  <si>
    <t>AL1H7</t>
  </si>
  <si>
    <t>AL1J7</t>
  </si>
  <si>
    <t>17:46:35 CT</t>
  </si>
  <si>
    <t>AL1K7</t>
  </si>
  <si>
    <t>AL1M7</t>
  </si>
  <si>
    <t>PJM Western Hub Peak Calendar-Month Real-Time LMP</t>
  </si>
  <si>
    <t>Futures and Options</t>
  </si>
  <si>
    <t>AL1N7</t>
  </si>
  <si>
    <t>17:46:06 CT</t>
  </si>
  <si>
    <t>AL1Q7</t>
  </si>
  <si>
    <t>AL1U7</t>
  </si>
  <si>
    <t>AL1V7</t>
  </si>
  <si>
    <t>AL1X7</t>
  </si>
  <si>
    <t>AL1Z7</t>
  </si>
  <si>
    <t>AL1F8</t>
  </si>
  <si>
    <t>17:46:17 CT</t>
  </si>
  <si>
    <t>AL1G8</t>
  </si>
  <si>
    <t>17:46:00 CT</t>
  </si>
  <si>
    <t>AL1H8</t>
  </si>
  <si>
    <t>AL1J8</t>
  </si>
  <si>
    <t>17:47:04 CT</t>
  </si>
  <si>
    <t>AL1K8</t>
  </si>
  <si>
    <t>17:44:31 CT</t>
  </si>
  <si>
    <t>AL1M8</t>
  </si>
  <si>
    <t>AL1N8</t>
  </si>
  <si>
    <t>17:45:58 CT</t>
  </si>
  <si>
    <t>AL1Q8</t>
  </si>
  <si>
    <t>17:45:38 CT</t>
  </si>
  <si>
    <t>AL1U8</t>
  </si>
  <si>
    <t>AL1V8</t>
  </si>
  <si>
    <t>AL1X8</t>
  </si>
  <si>
    <t>17:45:49 CT</t>
  </si>
  <si>
    <t>AL1Z8</t>
  </si>
  <si>
    <t>AL1F9</t>
  </si>
  <si>
    <t>AL1G9</t>
  </si>
  <si>
    <t>AL1H9</t>
  </si>
  <si>
    <t>AL1J9</t>
  </si>
  <si>
    <t>17:46:44 CT</t>
  </si>
  <si>
    <t>AL1K9</t>
  </si>
  <si>
    <t>AL1M9</t>
  </si>
  <si>
    <t>AL1N9</t>
  </si>
  <si>
    <t>AL1Q9</t>
  </si>
  <si>
    <t>17:44:19 CT</t>
  </si>
  <si>
    <t>AL1U9</t>
  </si>
  <si>
    <t>17:44:25 CT</t>
  </si>
  <si>
    <t>AL1V9</t>
  </si>
  <si>
    <t>AL1X9</t>
  </si>
  <si>
    <t>17:46:50 CT</t>
  </si>
  <si>
    <t>AL1Z9</t>
  </si>
  <si>
    <t>AL1F0</t>
  </si>
  <si>
    <t>17:46:30 CT</t>
  </si>
  <si>
    <t>AL1G0</t>
  </si>
  <si>
    <t>17:45:33 CT</t>
  </si>
  <si>
    <t>AL1H0</t>
  </si>
  <si>
    <t>17:46:52 CT</t>
  </si>
  <si>
    <t>AL1J0</t>
  </si>
  <si>
    <t>AL1K0</t>
  </si>
  <si>
    <t>AL1M0</t>
  </si>
  <si>
    <t>17:46:05 CT</t>
  </si>
  <si>
    <t>AL1N0</t>
  </si>
  <si>
    <t>AL1Q0</t>
  </si>
  <si>
    <t>AL1U0</t>
  </si>
  <si>
    <t>AL1V0</t>
  </si>
  <si>
    <t>AL1X0</t>
  </si>
  <si>
    <t>AL1Z0</t>
  </si>
  <si>
    <t>AL1F1</t>
  </si>
  <si>
    <t>17:45:48 CT</t>
  </si>
  <si>
    <t>AL1G1</t>
  </si>
  <si>
    <t>17:45:45 CT</t>
  </si>
  <si>
    <t>AL1H1</t>
  </si>
  <si>
    <t>AL1J1</t>
  </si>
  <si>
    <t>AL1K1</t>
  </si>
  <si>
    <t>AL1M1</t>
  </si>
  <si>
    <t>AL1N1</t>
  </si>
  <si>
    <t>17:45:39 CT</t>
  </si>
  <si>
    <t>AL1Q1</t>
  </si>
  <si>
    <t>AL1U1</t>
  </si>
  <si>
    <t>AL1V1</t>
  </si>
  <si>
    <t>AL1X1</t>
  </si>
  <si>
    <t>AL1Z1</t>
  </si>
  <si>
    <t>17:44:38 CT</t>
  </si>
  <si>
    <t>https://www.cmegroup.com/markets/energy/electricity/pjm-western-hub-peak-calendar-month-real-time-lmp.html</t>
  </si>
  <si>
    <t>Last Updated11 Dec 2025 12:22:36 PM CT.</t>
  </si>
  <si>
    <t>Market data is delayed by at least 10 minutes.</t>
  </si>
  <si>
    <t>17:43:34 CT</t>
  </si>
  <si>
    <t>17:41:54 CT</t>
  </si>
  <si>
    <t>17:42:21 CT</t>
  </si>
  <si>
    <t>17:41:20 CT</t>
  </si>
  <si>
    <t>17:43:01 CT</t>
  </si>
  <si>
    <t>17:42:22 CT</t>
  </si>
  <si>
    <t>17:42:20 CT</t>
  </si>
  <si>
    <t>17:43:35 CT</t>
  </si>
  <si>
    <t>17:41:25 CT</t>
  </si>
  <si>
    <t>17:42:19 CT</t>
  </si>
  <si>
    <t>17:42:27 CT</t>
  </si>
  <si>
    <t>17:43:04 CT</t>
  </si>
  <si>
    <t>17:43:44 CT</t>
  </si>
  <si>
    <t>17:41:14 CT</t>
  </si>
  <si>
    <t>17:42:05 CT</t>
  </si>
  <si>
    <t>17:41:19 CT</t>
  </si>
  <si>
    <t>17:41:53 CT</t>
  </si>
  <si>
    <t>17:43:19 CT</t>
  </si>
  <si>
    <t>17:41:41 CT</t>
  </si>
  <si>
    <t>17:42:59 CT</t>
  </si>
  <si>
    <t>17:42:12 CT</t>
  </si>
  <si>
    <t>17:42:33 CT</t>
  </si>
  <si>
    <t>17:41:52 CT</t>
  </si>
  <si>
    <t>17:43:51 CT</t>
  </si>
  <si>
    <t>17:41:18 CT</t>
  </si>
  <si>
    <t>17:41:51 CT</t>
  </si>
  <si>
    <t>17:43:37 CT</t>
  </si>
  <si>
    <t>17:42:23 CT</t>
  </si>
  <si>
    <t>17:42:44 CT</t>
  </si>
  <si>
    <t>17:41:22 CT</t>
  </si>
  <si>
    <t>17:43:55 CT</t>
  </si>
  <si>
    <t>17:42:00 CT</t>
  </si>
  <si>
    <t>17:43:53 CT</t>
  </si>
  <si>
    <t>17:42:37 CT</t>
  </si>
  <si>
    <t>17:41:24 CT</t>
  </si>
  <si>
    <t>17:41:07 CT</t>
  </si>
  <si>
    <t>17:42:46 CT</t>
  </si>
  <si>
    <t>17:42:47 CT</t>
  </si>
  <si>
    <t>17:43:03 CT</t>
  </si>
  <si>
    <t>17:41:35 CT</t>
  </si>
  <si>
    <t>17:43:49 CT</t>
  </si>
  <si>
    <t>17:43:42 CT</t>
  </si>
  <si>
    <t>17:42:25 CT</t>
  </si>
  <si>
    <t>17:43:43 CT</t>
  </si>
  <si>
    <t>17:42:13 CT</t>
  </si>
  <si>
    <t>17:43:21 CT</t>
  </si>
  <si>
    <t>17:43:39 CT</t>
  </si>
  <si>
    <t>17:43:36 CT</t>
  </si>
  <si>
    <t>17:43:33 CT</t>
  </si>
  <si>
    <t>17:43:41 CT</t>
  </si>
  <si>
    <t>Ercot North 345 kV 5MW Peak Futures</t>
  </si>
  <si>
    <t>Last Updated11 Dec 2025 12:26:50 PM CT.</t>
  </si>
  <si>
    <t>OPTIONS</t>
  </si>
  <si>
    <t>NGF26</t>
  </si>
  <si>
    <t>OPT</t>
  </si>
  <si>
    <t>-0.391 (-8.51%)</t>
  </si>
  <si>
    <t>12:17:59 CT</t>
  </si>
  <si>
    <t>NGG26</t>
  </si>
  <si>
    <t>-0.295 (-6.95%)</t>
  </si>
  <si>
    <t>12:17:55 CT</t>
  </si>
  <si>
    <t>NGH26</t>
  </si>
  <si>
    <t>-0.157 (-4.24%)</t>
  </si>
  <si>
    <t>12:17:57 CT</t>
  </si>
  <si>
    <t>NGJ26</t>
  </si>
  <si>
    <t>-0.122 (-3.35%)</t>
  </si>
  <si>
    <t>NGK26</t>
  </si>
  <si>
    <t>-0.111 (-3.03%)</t>
  </si>
  <si>
    <t>NGM26</t>
  </si>
  <si>
    <t>-0.104 (-2.72%)</t>
  </si>
  <si>
    <t>NGN26</t>
  </si>
  <si>
    <t>-0.100 (-2.49%)</t>
  </si>
  <si>
    <t>NGQ26</t>
  </si>
  <si>
    <t>-0.102 (-2.51%)</t>
  </si>
  <si>
    <t>12:16:31 CT</t>
  </si>
  <si>
    <t>NGU26</t>
  </si>
  <si>
    <t>-0.099 (-2.45%)</t>
  </si>
  <si>
    <t>12:17:45 CT</t>
  </si>
  <si>
    <t>NGV26</t>
  </si>
  <si>
    <t>-0.099 (-2.43%)</t>
  </si>
  <si>
    <t>NGX26</t>
  </si>
  <si>
    <t>-0.088 (-2.06%)</t>
  </si>
  <si>
    <t>12:17:15 CT</t>
  </si>
  <si>
    <t>NGZ26</t>
  </si>
  <si>
    <t>-0.088 (-1.87%)</t>
  </si>
  <si>
    <t>NGF27</t>
  </si>
  <si>
    <t>-0.090 (-1.83%)</t>
  </si>
  <si>
    <t>NGG27</t>
  </si>
  <si>
    <t>-0.074 (-1.65%)</t>
  </si>
  <si>
    <t>12:16:20 CT</t>
  </si>
  <si>
    <t>NGH27</t>
  </si>
  <si>
    <t>-0.056 (-1.44%)</t>
  </si>
  <si>
    <t>12:17:26 CT</t>
  </si>
  <si>
    <t>NGJ27</t>
  </si>
  <si>
    <t>-0.037 (-1.06%)</t>
  </si>
  <si>
    <t>12:17:43 CT</t>
  </si>
  <si>
    <t>NGK27</t>
  </si>
  <si>
    <t>-0.036 (-1.04%)</t>
  </si>
  <si>
    <t>12:14:10 CT</t>
  </si>
  <si>
    <t>NGM27</t>
  </si>
  <si>
    <t>-0.032 (-0.89%)</t>
  </si>
  <si>
    <t>NGN27</t>
  </si>
  <si>
    <t>-0.029 (-0.78%)</t>
  </si>
  <si>
    <t>12:11:09 CT</t>
  </si>
  <si>
    <t>NGQ27</t>
  </si>
  <si>
    <t>-0.025 (-0.66%)</t>
  </si>
  <si>
    <t>12:15:45 CT</t>
  </si>
  <si>
    <t>NGU27</t>
  </si>
  <si>
    <t>-0.021 (-0.56%)</t>
  </si>
  <si>
    <t>12:07:55 CT</t>
  </si>
  <si>
    <t>NGV27</t>
  </si>
  <si>
    <t>-0.026 (-0.68%)</t>
  </si>
  <si>
    <t>NGX27</t>
  </si>
  <si>
    <t>-0.038 (-0.95%)</t>
  </si>
  <si>
    <t>NGZ27</t>
  </si>
  <si>
    <t>-0.030 (-0.68%)</t>
  </si>
  <si>
    <t>12:01:53 CT</t>
  </si>
  <si>
    <t>NGF28</t>
  </si>
  <si>
    <t>-0.010 (-0.21%)</t>
  </si>
  <si>
    <t>11:45:02 CT</t>
  </si>
  <si>
    <t>NGG28</t>
  </si>
  <si>
    <t>-0.008 (-0.18%)</t>
  </si>
  <si>
    <t>11:10:56 CT</t>
  </si>
  <si>
    <t>NGH28</t>
  </si>
  <si>
    <t>-0.003 (-0.08%)</t>
  </si>
  <si>
    <t>11:04:15 CT</t>
  </si>
  <si>
    <t>NGJ28</t>
  </si>
  <si>
    <t>UNCH (UNCH)</t>
  </si>
  <si>
    <t>11:00:13 CT</t>
  </si>
  <si>
    <t>NGK28</t>
  </si>
  <si>
    <t>11:00:12 CT</t>
  </si>
  <si>
    <t>NGM28</t>
  </si>
  <si>
    <t>11:00:15 CT</t>
  </si>
  <si>
    <t>NGN28</t>
  </si>
  <si>
    <t>-0.020 (-0.57%)</t>
  </si>
  <si>
    <t>11:45:44 CT</t>
  </si>
  <si>
    <t>NGQ28</t>
  </si>
  <si>
    <t>NGU28</t>
  </si>
  <si>
    <t>NGV28</t>
  </si>
  <si>
    <t>-0.012 (-0.33%)</t>
  </si>
  <si>
    <t>11:00:31 CT</t>
  </si>
  <si>
    <t>NGX28</t>
  </si>
  <si>
    <t>11:27:51 CT</t>
  </si>
  <si>
    <t>NGZ28</t>
  </si>
  <si>
    <t>-0.057 (-1.33%)</t>
  </si>
  <si>
    <t>NGF29</t>
  </si>
  <si>
    <t>11:11:25 CT</t>
  </si>
  <si>
    <t>NGG29</t>
  </si>
  <si>
    <t>NGH29</t>
  </si>
  <si>
    <t>-0.005 (-0.14%)</t>
  </si>
  <si>
    <t>10:52:43 CT</t>
  </si>
  <si>
    <t>NGJ29</t>
  </si>
  <si>
    <t>-0.005 (-0.16%)</t>
  </si>
  <si>
    <t>NGK29</t>
  </si>
  <si>
    <t>09:32:00 CT</t>
  </si>
  <si>
    <t>NGM29</t>
  </si>
  <si>
    <t>09:32:01 CT</t>
  </si>
  <si>
    <t>NGN29</t>
  </si>
  <si>
    <t>NGQ29</t>
  </si>
  <si>
    <t>NGU29</t>
  </si>
  <si>
    <t>NGV29</t>
  </si>
  <si>
    <t>09:31:55 CT</t>
  </si>
  <si>
    <t>NGX29</t>
  </si>
  <si>
    <t>NGZ29</t>
  </si>
  <si>
    <t>09:31:56 CT</t>
  </si>
  <si>
    <t>NGF30</t>
  </si>
  <si>
    <t>NGG30</t>
  </si>
  <si>
    <t>NGH30</t>
  </si>
  <si>
    <t>NGJ30</t>
  </si>
  <si>
    <t>NGK30</t>
  </si>
  <si>
    <t>NGM30</t>
  </si>
  <si>
    <t>NGN30</t>
  </si>
  <si>
    <t>NGQ30</t>
  </si>
  <si>
    <t>NGU30</t>
  </si>
  <si>
    <t>NGV30</t>
  </si>
  <si>
    <t>NGX30</t>
  </si>
  <si>
    <t>09:31:57 CT</t>
  </si>
  <si>
    <t>NGZ30</t>
  </si>
  <si>
    <t>NGF31</t>
  </si>
  <si>
    <t>NGG31</t>
  </si>
  <si>
    <t>NGH31</t>
  </si>
  <si>
    <t>NGJ31</t>
  </si>
  <si>
    <t>NGK31</t>
  </si>
  <si>
    <t>NGM31</t>
  </si>
  <si>
    <t>09:32:02 CT</t>
  </si>
  <si>
    <t>NGN31</t>
  </si>
  <si>
    <t>NGQ31</t>
  </si>
  <si>
    <t>NGU31</t>
  </si>
  <si>
    <t>NGV31</t>
  </si>
  <si>
    <t>NGX31</t>
  </si>
  <si>
    <t>NGZ31</t>
  </si>
  <si>
    <t>09:31:58 CT</t>
  </si>
  <si>
    <t>NGF32</t>
  </si>
  <si>
    <t>NGG32</t>
  </si>
  <si>
    <t>NGH32</t>
  </si>
  <si>
    <t>NGJ32</t>
  </si>
  <si>
    <t>NGK32</t>
  </si>
  <si>
    <t>NGM32</t>
  </si>
  <si>
    <t>NGN32</t>
  </si>
  <si>
    <t>NGQ32</t>
  </si>
  <si>
    <t>NGU32</t>
  </si>
  <si>
    <t>NGV32</t>
  </si>
  <si>
    <t>NGX32</t>
  </si>
  <si>
    <t>NGZ32</t>
  </si>
  <si>
    <t>NGF33</t>
  </si>
  <si>
    <t>09:31:06 CT</t>
  </si>
  <si>
    <t>NGG33</t>
  </si>
  <si>
    <t>NGH33</t>
  </si>
  <si>
    <t>NGJ33</t>
  </si>
  <si>
    <t>NGK33</t>
  </si>
  <si>
    <t>09:32:03 CT</t>
  </si>
  <si>
    <t>NGM33</t>
  </si>
  <si>
    <t>NGN33</t>
  </si>
  <si>
    <t>NGQ33</t>
  </si>
  <si>
    <t>NGU33</t>
  </si>
  <si>
    <t>NGV33</t>
  </si>
  <si>
    <t>NGX33</t>
  </si>
  <si>
    <t>NGZ33</t>
  </si>
  <si>
    <t>NGF34</t>
  </si>
  <si>
    <t>NGG34</t>
  </si>
  <si>
    <t>NGH34</t>
  </si>
  <si>
    <t>NGJ34</t>
  </si>
  <si>
    <t>NGK34</t>
  </si>
  <si>
    <t>NGM34</t>
  </si>
  <si>
    <t>NGN34</t>
  </si>
  <si>
    <t>NGQ34</t>
  </si>
  <si>
    <t>NGU34</t>
  </si>
  <si>
    <t>NGV34</t>
  </si>
  <si>
    <t>NGX34</t>
  </si>
  <si>
    <t>NGZ34</t>
  </si>
  <si>
    <t>NGF35</t>
  </si>
  <si>
    <t>NGG35</t>
  </si>
  <si>
    <t>NGH35</t>
  </si>
  <si>
    <t>NGJ35</t>
  </si>
  <si>
    <t>NGK35</t>
  </si>
  <si>
    <t>NGM35</t>
  </si>
  <si>
    <t>NGN35</t>
  </si>
  <si>
    <t>NGQ35</t>
  </si>
  <si>
    <t>NGU35</t>
  </si>
  <si>
    <t>NGV35</t>
  </si>
  <si>
    <t>NGX35</t>
  </si>
  <si>
    <t>NGZ35</t>
  </si>
  <si>
    <t>NGF36</t>
  </si>
  <si>
    <t>NGG36</t>
  </si>
  <si>
    <t>NGH36</t>
  </si>
  <si>
    <t>NGJ36</t>
  </si>
  <si>
    <t>NGK36</t>
  </si>
  <si>
    <t>NGM36</t>
  </si>
  <si>
    <t>NGN36</t>
  </si>
  <si>
    <t>NGQ36</t>
  </si>
  <si>
    <t>NGU36</t>
  </si>
  <si>
    <t>NGV36</t>
  </si>
  <si>
    <t>NGX36</t>
  </si>
  <si>
    <t>NGZ36</t>
  </si>
  <si>
    <t>NGF37</t>
  </si>
  <si>
    <t>NGG37</t>
  </si>
  <si>
    <t>NGH37</t>
  </si>
  <si>
    <t>NGJ37</t>
  </si>
  <si>
    <t>NGK37</t>
  </si>
  <si>
    <t>NGM37</t>
  </si>
  <si>
    <t>NGN37</t>
  </si>
  <si>
    <t>NGQ37</t>
  </si>
  <si>
    <t>NGU37</t>
  </si>
  <si>
    <t>NGV37</t>
  </si>
  <si>
    <t>NGX37</t>
  </si>
  <si>
    <t>NGZ37</t>
  </si>
  <si>
    <t>NGF38</t>
  </si>
  <si>
    <t>NGG38</t>
  </si>
  <si>
    <t>NGH38</t>
  </si>
  <si>
    <t>NGJ38</t>
  </si>
  <si>
    <t>NGK38</t>
  </si>
  <si>
    <t>NGM38</t>
  </si>
  <si>
    <t>NGN38</t>
  </si>
  <si>
    <t>NGQ38</t>
  </si>
  <si>
    <t>NGU38</t>
  </si>
  <si>
    <t>NGV38</t>
  </si>
  <si>
    <t>NGX38</t>
  </si>
  <si>
    <t>NGZ38</t>
  </si>
  <si>
    <t>All market data contained within the CME Group website should be considered as a reference only and should not be used as validation against, nor as a complement to, real-time market data feeds. Settlement pric</t>
  </si>
  <si>
    <t>https://www.cmegroup.com/markets/energy/natural-gas/natural-gas.quotes.html</t>
  </si>
  <si>
    <t>Henry Hub</t>
  </si>
  <si>
    <t>Obama</t>
  </si>
  <si>
    <t>Trump</t>
  </si>
  <si>
    <t>Biden</t>
  </si>
  <si>
    <t>TAN</t>
  </si>
  <si>
    <t>Close</t>
  </si>
  <si>
    <t>Price</t>
  </si>
  <si>
    <t>https://finance.yahoo.com/quote/TAN/</t>
  </si>
  <si>
    <t>Gt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</si>
</sst>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yyyy"/>
    <numFmt numFmtId="171" formatCode="0.0"/>
    <numFmt numFmtId="174" formatCode="yyyy\-mm\-dd"/>
  </numFmts>
  <fonts count="29">
    <font>
      <sz val="12"/>
      <color theme="1"/>
      <name val="Aptos Narrow"/>
      <family val="2"/>
      <scheme val="minor"/>
    </font>
    <font>
      <sz val="12"/>
      <color rgb="FFC2CACE"/>
      <name val="Averta"/>
    </font>
    <font>
      <sz val="12"/>
      <color rgb="FF25323C"/>
      <name val="Roboto-Mono"/>
    </font>
    <font>
      <b/>
      <sz val="12"/>
      <color rgb="FF25323C"/>
      <name val="Roboto-Mono"/>
    </font>
    <font>
      <sz val="12"/>
      <color rgb="FF006EB6"/>
      <name val="CMEGroup-Icons"/>
    </font>
    <font>
      <i/>
      <sz val="12"/>
      <color rgb="FF5A6874"/>
      <name val="Averta"/>
    </font>
    <font>
      <sz val="12"/>
      <color rgb="FFFFFFFF"/>
      <name val="Averta"/>
    </font>
    <font>
      <sz val="13.5"/>
      <color rgb="FF112B4A"/>
      <name val="Averta"/>
    </font>
    <font>
      <b/>
      <sz val="10"/>
      <color rgb="FF112B4A"/>
      <name val="Averta"/>
    </font>
    <font>
      <sz val="7.5"/>
      <color rgb="FF5A6874"/>
      <name val="Averta"/>
    </font>
    <font>
      <sz val="12"/>
      <color rgb="FF006EB6"/>
      <name val="Aptos Narrow"/>
      <family val="2"/>
      <scheme val="minor"/>
    </font>
    <font>
      <sz val="12"/>
      <color rgb="FF3CC8FF"/>
      <name val="Averta"/>
    </font>
    <font>
      <sz val="12"/>
      <color theme="1"/>
      <name val="Helvetica Neue"/>
      <family val="2"/>
    </font>
    <font>
      <sz val="12"/>
      <color rgb="FFFFFFFF"/>
      <name val="Helvetica Neue"/>
      <family val="2"/>
    </font>
    <font>
      <sz val="20"/>
      <color rgb="FFFFFFFF"/>
      <name val="Helvetica Neue"/>
      <family val="2"/>
    </font>
    <font>
      <u/>
      <sz val="12"/>
      <color theme="10"/>
      <name val="Aptos Narrow"/>
      <family val="2"/>
      <scheme val="minor"/>
    </font>
    <font>
      <sz val="26"/>
      <color rgb="FFB0B0B0"/>
      <name val="-apple-system-font"/>
    </font>
    <font>
      <b/>
      <sz val="10.8"/>
      <color theme="1"/>
      <name val="-apple-system-font"/>
    </font>
    <font>
      <sz val="10.8"/>
      <color theme="1"/>
      <name val="-apple-system-font"/>
    </font>
    <font>
      <sz val="10.8"/>
      <color rgb="FF5AC8FA"/>
      <name val="-apple-system-font"/>
    </font>
    <font>
      <i/>
      <sz val="26"/>
      <color rgb="FFB0B0B0"/>
      <name val="-apple-system-font"/>
    </font>
    <font>
      <b/>
      <sz val="23.45"/>
      <color rgb="FFB0B0B0"/>
      <name val="-apple-system-font"/>
    </font>
    <font>
      <sz val="17.55"/>
      <color theme="1"/>
      <name val="-apple-system-font"/>
    </font>
    <font>
      <sz val="12"/>
      <color theme="1"/>
      <name val="Aptos Narrow"/>
      <family val="2"/>
      <scheme val="minor"/>
    </font>
    <font>
      <i/>
      <sz val="16"/>
      <color rgb="FF5A6874"/>
      <name val="Averta"/>
    </font>
    <font>
      <sz val="12"/>
      <color rgb="FFFF0000"/>
      <name val="Roboto-Mono"/>
    </font>
    <font>
      <sz val="12"/>
      <color rgb="FF000000"/>
      <name val="Aptos Narrow"/>
      <family val="2"/>
      <scheme val="minor"/>
    </font>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5" fillId="0" borderId="0" applyNumberFormat="0" applyFill="0" applyBorder="0" applyAlignment="0" applyProtection="0"/>
    <xf numFmtId="9" fontId="23" fillId="0" borderId="0" applyFont="0" applyFill="0" applyBorder="0" applyAlignment="0" applyProtection="0"/>
    <xf numFmtId="0" fontId="27" fillId="0" borderId="0"/>
  </cellStyleXfs>
  <cellXfs count="43">
    <xf numFmtId="0" fontId="0" fillId="0" borderId="0" xfId="0"/>
    <xf numFmtId="0" fontId="1" fillId="0" borderId="0" xfId="0" applyFont="1"/>
    <xf numFmtId="17" fontId="3" fillId="0" borderId="0" xfId="0" applyNumberFormat="1" applyFont="1"/>
    <xf numFmtId="0" fontId="2" fillId="0" borderId="0" xfId="0" applyFont="1"/>
    <xf numFmtId="15" fontId="2" fillId="0" borderId="0" xfId="0" applyNumberFormat="1" applyFont="1"/>
    <xf numFmtId="0" fontId="4" fillId="0" borderId="0" xfId="0" applyFont="1"/>
    <xf numFmtId="0" fontId="5" fillId="0" borderId="0" xfId="0" applyFont="1"/>
    <xf numFmtId="0" fontId="15" fillId="0" borderId="0" xfId="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4" fillId="0" borderId="0" xfId="0" applyFont="1"/>
    <xf numFmtId="0" fontId="17" fillId="0" borderId="0" xfId="0" applyFont="1"/>
    <xf numFmtId="17" fontId="17" fillId="0" borderId="0" xfId="0" applyNumberFormat="1" applyFont="1"/>
    <xf numFmtId="0" fontId="18" fillId="0" borderId="0" xfId="0" applyFont="1"/>
    <xf numFmtId="0" fontId="19" fillId="0" borderId="0" xfId="0" applyFont="1"/>
    <xf numFmtId="15" fontId="18" fillId="0" borderId="0" xfId="0" applyNumberFormat="1" applyFont="1"/>
    <xf numFmtId="0" fontId="20" fillId="0" borderId="0" xfId="0" applyFont="1"/>
    <xf numFmtId="164" fontId="0" fillId="0" borderId="0" xfId="0" applyNumberFormat="1"/>
    <xf numFmtId="0" fontId="21" fillId="0" borderId="0" xfId="0" applyFont="1"/>
    <xf numFmtId="0" fontId="22" fillId="0" borderId="0" xfId="0" applyFont="1"/>
    <xf numFmtId="0" fontId="16" fillId="0" borderId="0" xfId="0" applyFont="1"/>
    <xf numFmtId="2" fontId="0" fillId="0" borderId="0" xfId="0" applyNumberFormat="1"/>
    <xf numFmtId="0" fontId="2" fillId="0" borderId="0" xfId="0" applyFont="1"/>
    <xf numFmtId="0" fontId="4" fillId="0" borderId="0" xfId="0" applyFont="1"/>
    <xf numFmtId="0" fontId="1" fillId="0" borderId="0" xfId="0" applyFont="1"/>
    <xf numFmtId="0" fontId="17" fillId="0" borderId="0" xfId="0" applyFont="1"/>
    <xf numFmtId="0" fontId="24" fillId="0" borderId="0" xfId="0" applyFont="1"/>
    <xf numFmtId="0" fontId="25" fillId="0" borderId="0" xfId="0" applyFont="1"/>
    <xf numFmtId="3" fontId="2" fillId="0" borderId="0" xfId="0" applyNumberFormat="1" applyFont="1"/>
    <xf numFmtId="0" fontId="26" fillId="0" borderId="0" xfId="0" applyFont="1"/>
    <xf numFmtId="164" fontId="26" fillId="0" borderId="0" xfId="0" applyNumberFormat="1" applyFont="1"/>
    <xf numFmtId="2" fontId="26" fillId="0" borderId="0" xfId="0" applyNumberFormat="1" applyFont="1"/>
    <xf numFmtId="171" fontId="26" fillId="0" borderId="0" xfId="0" applyNumberFormat="1" applyFont="1"/>
    <xf numFmtId="9" fontId="0" fillId="0" borderId="0" xfId="2" applyFont="1"/>
    <xf numFmtId="0" fontId="27" fillId="0" borderId="0" xfId="3"/>
    <xf numFmtId="0" fontId="28" fillId="0" borderId="1" xfId="3" applyFont="1" applyBorder="1" applyAlignment="1">
      <alignment horizontal="center" vertical="top"/>
    </xf>
    <xf numFmtId="174" fontId="28" fillId="0" borderId="1" xfId="3" applyNumberFormat="1" applyFont="1" applyBorder="1" applyAlignment="1">
      <alignment horizontal="center" vertical="top"/>
    </xf>
    <xf numFmtId="174" fontId="27" fillId="0" borderId="0" xfId="3" applyNumberFormat="1"/>
  </cellXfs>
  <cellStyles count="4">
    <cellStyle name="Hyperlink" xfId="1" builtinId="8"/>
    <cellStyle name="Normal" xfId="0" builtinId="0"/>
    <cellStyle name="Normal 2" xfId="3" xr:uid="{5DAC096E-0CF5-3E47-A1CD-2EC31DA6B155}"/>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Güneş Yatırım Fonu</a:t>
            </a:r>
            <a:r>
              <a:rPr lang="en-US" baseline="0"/>
              <a:t> (NextPower, First Solar,..)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TAN!$B$2</c:f>
              <c:strCache>
                <c:ptCount val="1"/>
                <c:pt idx="0">
                  <c:v>TAN</c:v>
                </c:pt>
              </c:strCache>
            </c:strRef>
          </c:tx>
          <c:spPr>
            <a:ln w="28575" cap="rnd">
              <a:solidFill>
                <a:schemeClr val="accent1"/>
              </a:solidFill>
              <a:round/>
            </a:ln>
            <a:effectLst/>
          </c:spPr>
          <c:marker>
            <c:symbol val="none"/>
          </c:marker>
          <c:cat>
            <c:numRef>
              <c:f>TAN!$A$3:$A$1497</c:f>
              <c:numCache>
                <c:formatCode>yyyy\-mm\-dd</c:formatCode>
                <c:ptCount val="1495"/>
                <c:pt idx="0">
                  <c:v>43832</c:v>
                </c:pt>
                <c:pt idx="1">
                  <c:v>43833</c:v>
                </c:pt>
                <c:pt idx="2">
                  <c:v>43836</c:v>
                </c:pt>
                <c:pt idx="3">
                  <c:v>43837</c:v>
                </c:pt>
                <c:pt idx="4">
                  <c:v>43838</c:v>
                </c:pt>
                <c:pt idx="5">
                  <c:v>43839</c:v>
                </c:pt>
                <c:pt idx="6">
                  <c:v>43840</c:v>
                </c:pt>
                <c:pt idx="7">
                  <c:v>43843</c:v>
                </c:pt>
                <c:pt idx="8">
                  <c:v>43844</c:v>
                </c:pt>
                <c:pt idx="9">
                  <c:v>43845</c:v>
                </c:pt>
                <c:pt idx="10">
                  <c:v>43846</c:v>
                </c:pt>
                <c:pt idx="11">
                  <c:v>43847</c:v>
                </c:pt>
                <c:pt idx="12">
                  <c:v>43851</c:v>
                </c:pt>
                <c:pt idx="13">
                  <c:v>43852</c:v>
                </c:pt>
                <c:pt idx="14">
                  <c:v>43853</c:v>
                </c:pt>
                <c:pt idx="15">
                  <c:v>43854</c:v>
                </c:pt>
                <c:pt idx="16">
                  <c:v>43857</c:v>
                </c:pt>
                <c:pt idx="17">
                  <c:v>43858</c:v>
                </c:pt>
                <c:pt idx="18">
                  <c:v>43859</c:v>
                </c:pt>
                <c:pt idx="19">
                  <c:v>43860</c:v>
                </c:pt>
                <c:pt idx="20">
                  <c:v>43861</c:v>
                </c:pt>
                <c:pt idx="21">
                  <c:v>43864</c:v>
                </c:pt>
                <c:pt idx="22">
                  <c:v>43865</c:v>
                </c:pt>
                <c:pt idx="23">
                  <c:v>43866</c:v>
                </c:pt>
                <c:pt idx="24">
                  <c:v>43867</c:v>
                </c:pt>
                <c:pt idx="25">
                  <c:v>43868</c:v>
                </c:pt>
                <c:pt idx="26">
                  <c:v>43871</c:v>
                </c:pt>
                <c:pt idx="27">
                  <c:v>43872</c:v>
                </c:pt>
                <c:pt idx="28">
                  <c:v>43873</c:v>
                </c:pt>
                <c:pt idx="29">
                  <c:v>43874</c:v>
                </c:pt>
                <c:pt idx="30">
                  <c:v>43875</c:v>
                </c:pt>
                <c:pt idx="31">
                  <c:v>43879</c:v>
                </c:pt>
                <c:pt idx="32">
                  <c:v>43880</c:v>
                </c:pt>
                <c:pt idx="33">
                  <c:v>43881</c:v>
                </c:pt>
                <c:pt idx="34">
                  <c:v>43882</c:v>
                </c:pt>
                <c:pt idx="35">
                  <c:v>43885</c:v>
                </c:pt>
                <c:pt idx="36">
                  <c:v>43886</c:v>
                </c:pt>
                <c:pt idx="37">
                  <c:v>43887</c:v>
                </c:pt>
                <c:pt idx="38">
                  <c:v>43888</c:v>
                </c:pt>
                <c:pt idx="39">
                  <c:v>43889</c:v>
                </c:pt>
                <c:pt idx="40">
                  <c:v>43892</c:v>
                </c:pt>
                <c:pt idx="41">
                  <c:v>43893</c:v>
                </c:pt>
                <c:pt idx="42">
                  <c:v>43894</c:v>
                </c:pt>
                <c:pt idx="43">
                  <c:v>43895</c:v>
                </c:pt>
                <c:pt idx="44">
                  <c:v>43896</c:v>
                </c:pt>
                <c:pt idx="45">
                  <c:v>43899</c:v>
                </c:pt>
                <c:pt idx="46">
                  <c:v>43900</c:v>
                </c:pt>
                <c:pt idx="47">
                  <c:v>43901</c:v>
                </c:pt>
                <c:pt idx="48">
                  <c:v>43902</c:v>
                </c:pt>
                <c:pt idx="49">
                  <c:v>43903</c:v>
                </c:pt>
                <c:pt idx="50">
                  <c:v>43906</c:v>
                </c:pt>
                <c:pt idx="51">
                  <c:v>43907</c:v>
                </c:pt>
                <c:pt idx="52">
                  <c:v>43908</c:v>
                </c:pt>
                <c:pt idx="53">
                  <c:v>43909</c:v>
                </c:pt>
                <c:pt idx="54">
                  <c:v>43910</c:v>
                </c:pt>
                <c:pt idx="55">
                  <c:v>43913</c:v>
                </c:pt>
                <c:pt idx="56">
                  <c:v>43914</c:v>
                </c:pt>
                <c:pt idx="57">
                  <c:v>43915</c:v>
                </c:pt>
                <c:pt idx="58">
                  <c:v>43916</c:v>
                </c:pt>
                <c:pt idx="59">
                  <c:v>43917</c:v>
                </c:pt>
                <c:pt idx="60">
                  <c:v>43920</c:v>
                </c:pt>
                <c:pt idx="61">
                  <c:v>43921</c:v>
                </c:pt>
                <c:pt idx="62">
                  <c:v>43922</c:v>
                </c:pt>
                <c:pt idx="63">
                  <c:v>43923</c:v>
                </c:pt>
                <c:pt idx="64">
                  <c:v>43924</c:v>
                </c:pt>
                <c:pt idx="65">
                  <c:v>43927</c:v>
                </c:pt>
                <c:pt idx="66">
                  <c:v>43928</c:v>
                </c:pt>
                <c:pt idx="67">
                  <c:v>43929</c:v>
                </c:pt>
                <c:pt idx="68">
                  <c:v>43930</c:v>
                </c:pt>
                <c:pt idx="69">
                  <c:v>43934</c:v>
                </c:pt>
                <c:pt idx="70">
                  <c:v>43935</c:v>
                </c:pt>
                <c:pt idx="71">
                  <c:v>43936</c:v>
                </c:pt>
                <c:pt idx="72">
                  <c:v>43937</c:v>
                </c:pt>
                <c:pt idx="73">
                  <c:v>43938</c:v>
                </c:pt>
                <c:pt idx="74">
                  <c:v>43941</c:v>
                </c:pt>
                <c:pt idx="75">
                  <c:v>43942</c:v>
                </c:pt>
                <c:pt idx="76">
                  <c:v>43943</c:v>
                </c:pt>
                <c:pt idx="77">
                  <c:v>43944</c:v>
                </c:pt>
                <c:pt idx="78">
                  <c:v>43945</c:v>
                </c:pt>
                <c:pt idx="79">
                  <c:v>43948</c:v>
                </c:pt>
                <c:pt idx="80">
                  <c:v>43949</c:v>
                </c:pt>
                <c:pt idx="81">
                  <c:v>43950</c:v>
                </c:pt>
                <c:pt idx="82">
                  <c:v>43951</c:v>
                </c:pt>
                <c:pt idx="83">
                  <c:v>43952</c:v>
                </c:pt>
                <c:pt idx="84">
                  <c:v>43955</c:v>
                </c:pt>
                <c:pt idx="85">
                  <c:v>43956</c:v>
                </c:pt>
                <c:pt idx="86">
                  <c:v>43957</c:v>
                </c:pt>
                <c:pt idx="87">
                  <c:v>43958</c:v>
                </c:pt>
                <c:pt idx="88">
                  <c:v>43959</c:v>
                </c:pt>
                <c:pt idx="89">
                  <c:v>43962</c:v>
                </c:pt>
                <c:pt idx="90">
                  <c:v>43963</c:v>
                </c:pt>
                <c:pt idx="91">
                  <c:v>43964</c:v>
                </c:pt>
                <c:pt idx="92">
                  <c:v>43965</c:v>
                </c:pt>
                <c:pt idx="93">
                  <c:v>43966</c:v>
                </c:pt>
                <c:pt idx="94">
                  <c:v>43969</c:v>
                </c:pt>
                <c:pt idx="95">
                  <c:v>43970</c:v>
                </c:pt>
                <c:pt idx="96">
                  <c:v>43971</c:v>
                </c:pt>
                <c:pt idx="97">
                  <c:v>43972</c:v>
                </c:pt>
                <c:pt idx="98">
                  <c:v>43973</c:v>
                </c:pt>
                <c:pt idx="99">
                  <c:v>43977</c:v>
                </c:pt>
                <c:pt idx="100">
                  <c:v>43978</c:v>
                </c:pt>
                <c:pt idx="101">
                  <c:v>43979</c:v>
                </c:pt>
                <c:pt idx="102">
                  <c:v>43980</c:v>
                </c:pt>
                <c:pt idx="103">
                  <c:v>43983</c:v>
                </c:pt>
                <c:pt idx="104">
                  <c:v>43984</c:v>
                </c:pt>
                <c:pt idx="105">
                  <c:v>43985</c:v>
                </c:pt>
                <c:pt idx="106">
                  <c:v>43986</c:v>
                </c:pt>
                <c:pt idx="107">
                  <c:v>43987</c:v>
                </c:pt>
                <c:pt idx="108">
                  <c:v>43990</c:v>
                </c:pt>
                <c:pt idx="109">
                  <c:v>43991</c:v>
                </c:pt>
                <c:pt idx="110">
                  <c:v>43992</c:v>
                </c:pt>
                <c:pt idx="111">
                  <c:v>43993</c:v>
                </c:pt>
                <c:pt idx="112">
                  <c:v>43994</c:v>
                </c:pt>
                <c:pt idx="113">
                  <c:v>43997</c:v>
                </c:pt>
                <c:pt idx="114">
                  <c:v>43998</c:v>
                </c:pt>
                <c:pt idx="115">
                  <c:v>43999</c:v>
                </c:pt>
                <c:pt idx="116">
                  <c:v>44000</c:v>
                </c:pt>
                <c:pt idx="117">
                  <c:v>44001</c:v>
                </c:pt>
                <c:pt idx="118">
                  <c:v>44004</c:v>
                </c:pt>
                <c:pt idx="119">
                  <c:v>44005</c:v>
                </c:pt>
                <c:pt idx="120">
                  <c:v>44006</c:v>
                </c:pt>
                <c:pt idx="121">
                  <c:v>44007</c:v>
                </c:pt>
                <c:pt idx="122">
                  <c:v>44008</c:v>
                </c:pt>
                <c:pt idx="123">
                  <c:v>44011</c:v>
                </c:pt>
                <c:pt idx="124">
                  <c:v>44012</c:v>
                </c:pt>
                <c:pt idx="125">
                  <c:v>44013</c:v>
                </c:pt>
                <c:pt idx="126">
                  <c:v>44014</c:v>
                </c:pt>
                <c:pt idx="127">
                  <c:v>44018</c:v>
                </c:pt>
                <c:pt idx="128">
                  <c:v>44019</c:v>
                </c:pt>
                <c:pt idx="129">
                  <c:v>44020</c:v>
                </c:pt>
                <c:pt idx="130">
                  <c:v>44021</c:v>
                </c:pt>
                <c:pt idx="131">
                  <c:v>44022</c:v>
                </c:pt>
                <c:pt idx="132">
                  <c:v>44025</c:v>
                </c:pt>
                <c:pt idx="133">
                  <c:v>44026</c:v>
                </c:pt>
                <c:pt idx="134">
                  <c:v>44027</c:v>
                </c:pt>
                <c:pt idx="135">
                  <c:v>44028</c:v>
                </c:pt>
                <c:pt idx="136">
                  <c:v>44029</c:v>
                </c:pt>
                <c:pt idx="137">
                  <c:v>44032</c:v>
                </c:pt>
                <c:pt idx="138">
                  <c:v>44033</c:v>
                </c:pt>
                <c:pt idx="139">
                  <c:v>44034</c:v>
                </c:pt>
                <c:pt idx="140">
                  <c:v>44035</c:v>
                </c:pt>
                <c:pt idx="141">
                  <c:v>44036</c:v>
                </c:pt>
                <c:pt idx="142">
                  <c:v>44039</c:v>
                </c:pt>
                <c:pt idx="143">
                  <c:v>44040</c:v>
                </c:pt>
                <c:pt idx="144">
                  <c:v>44041</c:v>
                </c:pt>
                <c:pt idx="145">
                  <c:v>44042</c:v>
                </c:pt>
                <c:pt idx="146">
                  <c:v>44043</c:v>
                </c:pt>
                <c:pt idx="147">
                  <c:v>44046</c:v>
                </c:pt>
                <c:pt idx="148">
                  <c:v>44047</c:v>
                </c:pt>
                <c:pt idx="149">
                  <c:v>44048</c:v>
                </c:pt>
                <c:pt idx="150">
                  <c:v>44049</c:v>
                </c:pt>
                <c:pt idx="151">
                  <c:v>44050</c:v>
                </c:pt>
                <c:pt idx="152">
                  <c:v>44053</c:v>
                </c:pt>
                <c:pt idx="153">
                  <c:v>44054</c:v>
                </c:pt>
                <c:pt idx="154">
                  <c:v>44055</c:v>
                </c:pt>
                <c:pt idx="155">
                  <c:v>44056</c:v>
                </c:pt>
                <c:pt idx="156">
                  <c:v>44057</c:v>
                </c:pt>
                <c:pt idx="157">
                  <c:v>44060</c:v>
                </c:pt>
                <c:pt idx="158">
                  <c:v>44061</c:v>
                </c:pt>
                <c:pt idx="159">
                  <c:v>44062</c:v>
                </c:pt>
                <c:pt idx="160">
                  <c:v>44063</c:v>
                </c:pt>
                <c:pt idx="161">
                  <c:v>44064</c:v>
                </c:pt>
                <c:pt idx="162">
                  <c:v>44067</c:v>
                </c:pt>
                <c:pt idx="163">
                  <c:v>44068</c:v>
                </c:pt>
                <c:pt idx="164">
                  <c:v>44069</c:v>
                </c:pt>
                <c:pt idx="165">
                  <c:v>44070</c:v>
                </c:pt>
                <c:pt idx="166">
                  <c:v>44071</c:v>
                </c:pt>
                <c:pt idx="167">
                  <c:v>44074</c:v>
                </c:pt>
                <c:pt idx="168">
                  <c:v>44075</c:v>
                </c:pt>
                <c:pt idx="169">
                  <c:v>44076</c:v>
                </c:pt>
                <c:pt idx="170">
                  <c:v>44077</c:v>
                </c:pt>
                <c:pt idx="171">
                  <c:v>44078</c:v>
                </c:pt>
                <c:pt idx="172">
                  <c:v>44082</c:v>
                </c:pt>
                <c:pt idx="173">
                  <c:v>44083</c:v>
                </c:pt>
                <c:pt idx="174">
                  <c:v>44084</c:v>
                </c:pt>
                <c:pt idx="175">
                  <c:v>44085</c:v>
                </c:pt>
                <c:pt idx="176">
                  <c:v>44088</c:v>
                </c:pt>
                <c:pt idx="177">
                  <c:v>44089</c:v>
                </c:pt>
                <c:pt idx="178">
                  <c:v>44090</c:v>
                </c:pt>
                <c:pt idx="179">
                  <c:v>44091</c:v>
                </c:pt>
                <c:pt idx="180">
                  <c:v>44092</c:v>
                </c:pt>
                <c:pt idx="181">
                  <c:v>44095</c:v>
                </c:pt>
                <c:pt idx="182">
                  <c:v>44096</c:v>
                </c:pt>
                <c:pt idx="183">
                  <c:v>44097</c:v>
                </c:pt>
                <c:pt idx="184">
                  <c:v>44098</c:v>
                </c:pt>
                <c:pt idx="185">
                  <c:v>44099</c:v>
                </c:pt>
                <c:pt idx="186">
                  <c:v>44102</c:v>
                </c:pt>
                <c:pt idx="187">
                  <c:v>44103</c:v>
                </c:pt>
                <c:pt idx="188">
                  <c:v>44104</c:v>
                </c:pt>
                <c:pt idx="189">
                  <c:v>44105</c:v>
                </c:pt>
                <c:pt idx="190">
                  <c:v>44106</c:v>
                </c:pt>
                <c:pt idx="191">
                  <c:v>44109</c:v>
                </c:pt>
                <c:pt idx="192">
                  <c:v>44110</c:v>
                </c:pt>
                <c:pt idx="193">
                  <c:v>44111</c:v>
                </c:pt>
                <c:pt idx="194">
                  <c:v>44112</c:v>
                </c:pt>
                <c:pt idx="195">
                  <c:v>44113</c:v>
                </c:pt>
                <c:pt idx="196">
                  <c:v>44116</c:v>
                </c:pt>
                <c:pt idx="197">
                  <c:v>44117</c:v>
                </c:pt>
                <c:pt idx="198">
                  <c:v>44118</c:v>
                </c:pt>
                <c:pt idx="199">
                  <c:v>44119</c:v>
                </c:pt>
                <c:pt idx="200">
                  <c:v>44120</c:v>
                </c:pt>
                <c:pt idx="201">
                  <c:v>44123</c:v>
                </c:pt>
                <c:pt idx="202">
                  <c:v>44124</c:v>
                </c:pt>
                <c:pt idx="203">
                  <c:v>44125</c:v>
                </c:pt>
                <c:pt idx="204">
                  <c:v>44126</c:v>
                </c:pt>
                <c:pt idx="205">
                  <c:v>44127</c:v>
                </c:pt>
                <c:pt idx="206">
                  <c:v>44130</c:v>
                </c:pt>
                <c:pt idx="207">
                  <c:v>44131</c:v>
                </c:pt>
                <c:pt idx="208">
                  <c:v>44132</c:v>
                </c:pt>
                <c:pt idx="209">
                  <c:v>44133</c:v>
                </c:pt>
                <c:pt idx="210">
                  <c:v>44134</c:v>
                </c:pt>
                <c:pt idx="211">
                  <c:v>44137</c:v>
                </c:pt>
                <c:pt idx="212">
                  <c:v>44138</c:v>
                </c:pt>
                <c:pt idx="213">
                  <c:v>44139</c:v>
                </c:pt>
                <c:pt idx="214">
                  <c:v>44140</c:v>
                </c:pt>
                <c:pt idx="215">
                  <c:v>44141</c:v>
                </c:pt>
                <c:pt idx="216">
                  <c:v>44144</c:v>
                </c:pt>
                <c:pt idx="217">
                  <c:v>44145</c:v>
                </c:pt>
                <c:pt idx="218">
                  <c:v>44146</c:v>
                </c:pt>
                <c:pt idx="219">
                  <c:v>44147</c:v>
                </c:pt>
                <c:pt idx="220">
                  <c:v>44148</c:v>
                </c:pt>
                <c:pt idx="221">
                  <c:v>44151</c:v>
                </c:pt>
                <c:pt idx="222">
                  <c:v>44152</c:v>
                </c:pt>
                <c:pt idx="223">
                  <c:v>44153</c:v>
                </c:pt>
                <c:pt idx="224">
                  <c:v>44154</c:v>
                </c:pt>
                <c:pt idx="225">
                  <c:v>44155</c:v>
                </c:pt>
                <c:pt idx="226">
                  <c:v>44158</c:v>
                </c:pt>
                <c:pt idx="227">
                  <c:v>44159</c:v>
                </c:pt>
                <c:pt idx="228">
                  <c:v>44160</c:v>
                </c:pt>
                <c:pt idx="229">
                  <c:v>44162</c:v>
                </c:pt>
                <c:pt idx="230">
                  <c:v>44165</c:v>
                </c:pt>
                <c:pt idx="231">
                  <c:v>44166</c:v>
                </c:pt>
                <c:pt idx="232">
                  <c:v>44167</c:v>
                </c:pt>
                <c:pt idx="233">
                  <c:v>44168</c:v>
                </c:pt>
                <c:pt idx="234">
                  <c:v>44169</c:v>
                </c:pt>
                <c:pt idx="235">
                  <c:v>44172</c:v>
                </c:pt>
                <c:pt idx="236">
                  <c:v>44173</c:v>
                </c:pt>
                <c:pt idx="237">
                  <c:v>44174</c:v>
                </c:pt>
                <c:pt idx="238">
                  <c:v>44175</c:v>
                </c:pt>
                <c:pt idx="239">
                  <c:v>44176</c:v>
                </c:pt>
                <c:pt idx="240">
                  <c:v>44179</c:v>
                </c:pt>
                <c:pt idx="241">
                  <c:v>44180</c:v>
                </c:pt>
                <c:pt idx="242">
                  <c:v>44181</c:v>
                </c:pt>
                <c:pt idx="243">
                  <c:v>44182</c:v>
                </c:pt>
                <c:pt idx="244">
                  <c:v>44183</c:v>
                </c:pt>
                <c:pt idx="245">
                  <c:v>44186</c:v>
                </c:pt>
                <c:pt idx="246">
                  <c:v>44187</c:v>
                </c:pt>
                <c:pt idx="247">
                  <c:v>44188</c:v>
                </c:pt>
                <c:pt idx="248">
                  <c:v>44189</c:v>
                </c:pt>
                <c:pt idx="249">
                  <c:v>44193</c:v>
                </c:pt>
                <c:pt idx="250">
                  <c:v>44194</c:v>
                </c:pt>
                <c:pt idx="251">
                  <c:v>44195</c:v>
                </c:pt>
                <c:pt idx="252">
                  <c:v>44196</c:v>
                </c:pt>
                <c:pt idx="253">
                  <c:v>44200</c:v>
                </c:pt>
                <c:pt idx="254">
                  <c:v>44201</c:v>
                </c:pt>
                <c:pt idx="255">
                  <c:v>44202</c:v>
                </c:pt>
                <c:pt idx="256">
                  <c:v>44203</c:v>
                </c:pt>
                <c:pt idx="257">
                  <c:v>44204</c:v>
                </c:pt>
                <c:pt idx="258">
                  <c:v>44207</c:v>
                </c:pt>
                <c:pt idx="259">
                  <c:v>44208</c:v>
                </c:pt>
                <c:pt idx="260">
                  <c:v>44209</c:v>
                </c:pt>
                <c:pt idx="261">
                  <c:v>44210</c:v>
                </c:pt>
                <c:pt idx="262">
                  <c:v>44211</c:v>
                </c:pt>
                <c:pt idx="263">
                  <c:v>44215</c:v>
                </c:pt>
                <c:pt idx="264">
                  <c:v>44216</c:v>
                </c:pt>
                <c:pt idx="265">
                  <c:v>44217</c:v>
                </c:pt>
                <c:pt idx="266">
                  <c:v>44218</c:v>
                </c:pt>
                <c:pt idx="267">
                  <c:v>44221</c:v>
                </c:pt>
                <c:pt idx="268">
                  <c:v>44222</c:v>
                </c:pt>
                <c:pt idx="269">
                  <c:v>44223</c:v>
                </c:pt>
                <c:pt idx="270">
                  <c:v>44224</c:v>
                </c:pt>
                <c:pt idx="271">
                  <c:v>44225</c:v>
                </c:pt>
                <c:pt idx="272">
                  <c:v>44228</c:v>
                </c:pt>
                <c:pt idx="273">
                  <c:v>44229</c:v>
                </c:pt>
                <c:pt idx="274">
                  <c:v>44230</c:v>
                </c:pt>
                <c:pt idx="275">
                  <c:v>44231</c:v>
                </c:pt>
                <c:pt idx="276">
                  <c:v>44232</c:v>
                </c:pt>
                <c:pt idx="277">
                  <c:v>44235</c:v>
                </c:pt>
                <c:pt idx="278">
                  <c:v>44236</c:v>
                </c:pt>
                <c:pt idx="279">
                  <c:v>44237</c:v>
                </c:pt>
                <c:pt idx="280">
                  <c:v>44238</c:v>
                </c:pt>
                <c:pt idx="281">
                  <c:v>44239</c:v>
                </c:pt>
                <c:pt idx="282">
                  <c:v>44243</c:v>
                </c:pt>
                <c:pt idx="283">
                  <c:v>44244</c:v>
                </c:pt>
                <c:pt idx="284">
                  <c:v>44245</c:v>
                </c:pt>
                <c:pt idx="285">
                  <c:v>44246</c:v>
                </c:pt>
                <c:pt idx="286">
                  <c:v>44249</c:v>
                </c:pt>
                <c:pt idx="287">
                  <c:v>44250</c:v>
                </c:pt>
                <c:pt idx="288">
                  <c:v>44251</c:v>
                </c:pt>
                <c:pt idx="289">
                  <c:v>44252</c:v>
                </c:pt>
                <c:pt idx="290">
                  <c:v>44253</c:v>
                </c:pt>
                <c:pt idx="291">
                  <c:v>44256</c:v>
                </c:pt>
                <c:pt idx="292">
                  <c:v>44257</c:v>
                </c:pt>
                <c:pt idx="293">
                  <c:v>44258</c:v>
                </c:pt>
                <c:pt idx="294">
                  <c:v>44259</c:v>
                </c:pt>
                <c:pt idx="295">
                  <c:v>44260</c:v>
                </c:pt>
                <c:pt idx="296">
                  <c:v>44263</c:v>
                </c:pt>
                <c:pt idx="297">
                  <c:v>44264</c:v>
                </c:pt>
                <c:pt idx="298">
                  <c:v>44265</c:v>
                </c:pt>
                <c:pt idx="299">
                  <c:v>44266</c:v>
                </c:pt>
                <c:pt idx="300">
                  <c:v>44267</c:v>
                </c:pt>
                <c:pt idx="301">
                  <c:v>44270</c:v>
                </c:pt>
                <c:pt idx="302">
                  <c:v>44271</c:v>
                </c:pt>
                <c:pt idx="303">
                  <c:v>44272</c:v>
                </c:pt>
                <c:pt idx="304">
                  <c:v>44273</c:v>
                </c:pt>
                <c:pt idx="305">
                  <c:v>44274</c:v>
                </c:pt>
                <c:pt idx="306">
                  <c:v>44277</c:v>
                </c:pt>
                <c:pt idx="307">
                  <c:v>44278</c:v>
                </c:pt>
                <c:pt idx="308">
                  <c:v>44279</c:v>
                </c:pt>
                <c:pt idx="309">
                  <c:v>44280</c:v>
                </c:pt>
                <c:pt idx="310">
                  <c:v>44281</c:v>
                </c:pt>
                <c:pt idx="311">
                  <c:v>44284</c:v>
                </c:pt>
                <c:pt idx="312">
                  <c:v>44285</c:v>
                </c:pt>
                <c:pt idx="313">
                  <c:v>44286</c:v>
                </c:pt>
                <c:pt idx="314">
                  <c:v>44287</c:v>
                </c:pt>
                <c:pt idx="315">
                  <c:v>44291</c:v>
                </c:pt>
                <c:pt idx="316">
                  <c:v>44292</c:v>
                </c:pt>
                <c:pt idx="317">
                  <c:v>44293</c:v>
                </c:pt>
                <c:pt idx="318">
                  <c:v>44294</c:v>
                </c:pt>
                <c:pt idx="319">
                  <c:v>44295</c:v>
                </c:pt>
                <c:pt idx="320">
                  <c:v>44298</c:v>
                </c:pt>
                <c:pt idx="321">
                  <c:v>44299</c:v>
                </c:pt>
                <c:pt idx="322">
                  <c:v>44300</c:v>
                </c:pt>
                <c:pt idx="323">
                  <c:v>44301</c:v>
                </c:pt>
                <c:pt idx="324">
                  <c:v>44302</c:v>
                </c:pt>
                <c:pt idx="325">
                  <c:v>44305</c:v>
                </c:pt>
                <c:pt idx="326">
                  <c:v>44306</c:v>
                </c:pt>
                <c:pt idx="327">
                  <c:v>44307</c:v>
                </c:pt>
                <c:pt idx="328">
                  <c:v>44308</c:v>
                </c:pt>
                <c:pt idx="329">
                  <c:v>44309</c:v>
                </c:pt>
                <c:pt idx="330">
                  <c:v>44312</c:v>
                </c:pt>
                <c:pt idx="331">
                  <c:v>44313</c:v>
                </c:pt>
                <c:pt idx="332">
                  <c:v>44314</c:v>
                </c:pt>
                <c:pt idx="333">
                  <c:v>44315</c:v>
                </c:pt>
                <c:pt idx="334">
                  <c:v>44316</c:v>
                </c:pt>
                <c:pt idx="335">
                  <c:v>44319</c:v>
                </c:pt>
                <c:pt idx="336">
                  <c:v>44320</c:v>
                </c:pt>
                <c:pt idx="337">
                  <c:v>44321</c:v>
                </c:pt>
                <c:pt idx="338">
                  <c:v>44322</c:v>
                </c:pt>
                <c:pt idx="339">
                  <c:v>44323</c:v>
                </c:pt>
                <c:pt idx="340">
                  <c:v>44326</c:v>
                </c:pt>
                <c:pt idx="341">
                  <c:v>44327</c:v>
                </c:pt>
                <c:pt idx="342">
                  <c:v>44328</c:v>
                </c:pt>
                <c:pt idx="343">
                  <c:v>44329</c:v>
                </c:pt>
                <c:pt idx="344">
                  <c:v>44330</c:v>
                </c:pt>
                <c:pt idx="345">
                  <c:v>44333</c:v>
                </c:pt>
                <c:pt idx="346">
                  <c:v>44334</c:v>
                </c:pt>
                <c:pt idx="347">
                  <c:v>44335</c:v>
                </c:pt>
                <c:pt idx="348">
                  <c:v>44336</c:v>
                </c:pt>
                <c:pt idx="349">
                  <c:v>44337</c:v>
                </c:pt>
                <c:pt idx="350">
                  <c:v>44340</c:v>
                </c:pt>
                <c:pt idx="351">
                  <c:v>44341</c:v>
                </c:pt>
                <c:pt idx="352">
                  <c:v>44342</c:v>
                </c:pt>
                <c:pt idx="353">
                  <c:v>44343</c:v>
                </c:pt>
                <c:pt idx="354">
                  <c:v>44344</c:v>
                </c:pt>
                <c:pt idx="355">
                  <c:v>44348</c:v>
                </c:pt>
                <c:pt idx="356">
                  <c:v>44349</c:v>
                </c:pt>
                <c:pt idx="357">
                  <c:v>44350</c:v>
                </c:pt>
                <c:pt idx="358">
                  <c:v>44351</c:v>
                </c:pt>
                <c:pt idx="359">
                  <c:v>44354</c:v>
                </c:pt>
                <c:pt idx="360">
                  <c:v>44355</c:v>
                </c:pt>
                <c:pt idx="361">
                  <c:v>44356</c:v>
                </c:pt>
                <c:pt idx="362">
                  <c:v>44357</c:v>
                </c:pt>
                <c:pt idx="363">
                  <c:v>44358</c:v>
                </c:pt>
                <c:pt idx="364">
                  <c:v>44361</c:v>
                </c:pt>
                <c:pt idx="365">
                  <c:v>44362</c:v>
                </c:pt>
                <c:pt idx="366">
                  <c:v>44363</c:v>
                </c:pt>
                <c:pt idx="367">
                  <c:v>44364</c:v>
                </c:pt>
                <c:pt idx="368">
                  <c:v>44365</c:v>
                </c:pt>
                <c:pt idx="369">
                  <c:v>44368</c:v>
                </c:pt>
                <c:pt idx="370">
                  <c:v>44369</c:v>
                </c:pt>
                <c:pt idx="371">
                  <c:v>44370</c:v>
                </c:pt>
                <c:pt idx="372">
                  <c:v>44371</c:v>
                </c:pt>
                <c:pt idx="373">
                  <c:v>44372</c:v>
                </c:pt>
                <c:pt idx="374">
                  <c:v>44375</c:v>
                </c:pt>
                <c:pt idx="375">
                  <c:v>44376</c:v>
                </c:pt>
                <c:pt idx="376">
                  <c:v>44377</c:v>
                </c:pt>
                <c:pt idx="377">
                  <c:v>44378</c:v>
                </c:pt>
                <c:pt idx="378">
                  <c:v>44379</c:v>
                </c:pt>
                <c:pt idx="379">
                  <c:v>44383</c:v>
                </c:pt>
                <c:pt idx="380">
                  <c:v>44384</c:v>
                </c:pt>
                <c:pt idx="381">
                  <c:v>44385</c:v>
                </c:pt>
                <c:pt idx="382">
                  <c:v>44386</c:v>
                </c:pt>
                <c:pt idx="383">
                  <c:v>44389</c:v>
                </c:pt>
                <c:pt idx="384">
                  <c:v>44390</c:v>
                </c:pt>
                <c:pt idx="385">
                  <c:v>44391</c:v>
                </c:pt>
                <c:pt idx="386">
                  <c:v>44392</c:v>
                </c:pt>
                <c:pt idx="387">
                  <c:v>44393</c:v>
                </c:pt>
                <c:pt idx="388">
                  <c:v>44396</c:v>
                </c:pt>
                <c:pt idx="389">
                  <c:v>44397</c:v>
                </c:pt>
                <c:pt idx="390">
                  <c:v>44398</c:v>
                </c:pt>
                <c:pt idx="391">
                  <c:v>44399</c:v>
                </c:pt>
                <c:pt idx="392">
                  <c:v>44400</c:v>
                </c:pt>
                <c:pt idx="393">
                  <c:v>44403</c:v>
                </c:pt>
                <c:pt idx="394">
                  <c:v>44404</c:v>
                </c:pt>
                <c:pt idx="395">
                  <c:v>44405</c:v>
                </c:pt>
                <c:pt idx="396">
                  <c:v>44406</c:v>
                </c:pt>
                <c:pt idx="397">
                  <c:v>44407</c:v>
                </c:pt>
                <c:pt idx="398">
                  <c:v>44410</c:v>
                </c:pt>
                <c:pt idx="399">
                  <c:v>44411</c:v>
                </c:pt>
                <c:pt idx="400">
                  <c:v>44412</c:v>
                </c:pt>
                <c:pt idx="401">
                  <c:v>44413</c:v>
                </c:pt>
                <c:pt idx="402">
                  <c:v>44414</c:v>
                </c:pt>
                <c:pt idx="403">
                  <c:v>44417</c:v>
                </c:pt>
                <c:pt idx="404">
                  <c:v>44418</c:v>
                </c:pt>
                <c:pt idx="405">
                  <c:v>44419</c:v>
                </c:pt>
                <c:pt idx="406">
                  <c:v>44420</c:v>
                </c:pt>
                <c:pt idx="407">
                  <c:v>44421</c:v>
                </c:pt>
                <c:pt idx="408">
                  <c:v>44424</c:v>
                </c:pt>
                <c:pt idx="409">
                  <c:v>44425</c:v>
                </c:pt>
                <c:pt idx="410">
                  <c:v>44426</c:v>
                </c:pt>
                <c:pt idx="411">
                  <c:v>44427</c:v>
                </c:pt>
                <c:pt idx="412">
                  <c:v>44428</c:v>
                </c:pt>
                <c:pt idx="413">
                  <c:v>44431</c:v>
                </c:pt>
                <c:pt idx="414">
                  <c:v>44432</c:v>
                </c:pt>
                <c:pt idx="415">
                  <c:v>44433</c:v>
                </c:pt>
                <c:pt idx="416">
                  <c:v>44434</c:v>
                </c:pt>
                <c:pt idx="417">
                  <c:v>44435</c:v>
                </c:pt>
                <c:pt idx="418">
                  <c:v>44438</c:v>
                </c:pt>
                <c:pt idx="419">
                  <c:v>44439</c:v>
                </c:pt>
                <c:pt idx="420">
                  <c:v>44440</c:v>
                </c:pt>
                <c:pt idx="421">
                  <c:v>44441</c:v>
                </c:pt>
                <c:pt idx="422">
                  <c:v>44442</c:v>
                </c:pt>
                <c:pt idx="423">
                  <c:v>44446</c:v>
                </c:pt>
                <c:pt idx="424">
                  <c:v>44447</c:v>
                </c:pt>
                <c:pt idx="425">
                  <c:v>44448</c:v>
                </c:pt>
                <c:pt idx="426">
                  <c:v>44449</c:v>
                </c:pt>
                <c:pt idx="427">
                  <c:v>44452</c:v>
                </c:pt>
                <c:pt idx="428">
                  <c:v>44453</c:v>
                </c:pt>
                <c:pt idx="429">
                  <c:v>44454</c:v>
                </c:pt>
                <c:pt idx="430">
                  <c:v>44455</c:v>
                </c:pt>
                <c:pt idx="431">
                  <c:v>44456</c:v>
                </c:pt>
                <c:pt idx="432">
                  <c:v>44459</c:v>
                </c:pt>
                <c:pt idx="433">
                  <c:v>44460</c:v>
                </c:pt>
                <c:pt idx="434">
                  <c:v>44461</c:v>
                </c:pt>
                <c:pt idx="435">
                  <c:v>44462</c:v>
                </c:pt>
                <c:pt idx="436">
                  <c:v>44463</c:v>
                </c:pt>
                <c:pt idx="437">
                  <c:v>44466</c:v>
                </c:pt>
                <c:pt idx="438">
                  <c:v>44467</c:v>
                </c:pt>
                <c:pt idx="439">
                  <c:v>44468</c:v>
                </c:pt>
                <c:pt idx="440">
                  <c:v>44469</c:v>
                </c:pt>
                <c:pt idx="441">
                  <c:v>44470</c:v>
                </c:pt>
                <c:pt idx="442">
                  <c:v>44473</c:v>
                </c:pt>
                <c:pt idx="443">
                  <c:v>44474</c:v>
                </c:pt>
                <c:pt idx="444">
                  <c:v>44475</c:v>
                </c:pt>
                <c:pt idx="445">
                  <c:v>44476</c:v>
                </c:pt>
                <c:pt idx="446">
                  <c:v>44477</c:v>
                </c:pt>
                <c:pt idx="447">
                  <c:v>44480</c:v>
                </c:pt>
                <c:pt idx="448">
                  <c:v>44481</c:v>
                </c:pt>
                <c:pt idx="449">
                  <c:v>44482</c:v>
                </c:pt>
                <c:pt idx="450">
                  <c:v>44483</c:v>
                </c:pt>
                <c:pt idx="451">
                  <c:v>44484</c:v>
                </c:pt>
                <c:pt idx="452">
                  <c:v>44487</c:v>
                </c:pt>
                <c:pt idx="453">
                  <c:v>44488</c:v>
                </c:pt>
                <c:pt idx="454">
                  <c:v>44489</c:v>
                </c:pt>
                <c:pt idx="455">
                  <c:v>44490</c:v>
                </c:pt>
                <c:pt idx="456">
                  <c:v>44491</c:v>
                </c:pt>
                <c:pt idx="457">
                  <c:v>44494</c:v>
                </c:pt>
                <c:pt idx="458">
                  <c:v>44495</c:v>
                </c:pt>
                <c:pt idx="459">
                  <c:v>44496</c:v>
                </c:pt>
                <c:pt idx="460">
                  <c:v>44497</c:v>
                </c:pt>
                <c:pt idx="461">
                  <c:v>44498</c:v>
                </c:pt>
                <c:pt idx="462">
                  <c:v>44501</c:v>
                </c:pt>
                <c:pt idx="463">
                  <c:v>44502</c:v>
                </c:pt>
                <c:pt idx="464">
                  <c:v>44503</c:v>
                </c:pt>
                <c:pt idx="465">
                  <c:v>44504</c:v>
                </c:pt>
                <c:pt idx="466">
                  <c:v>44505</c:v>
                </c:pt>
                <c:pt idx="467">
                  <c:v>44508</c:v>
                </c:pt>
                <c:pt idx="468">
                  <c:v>44509</c:v>
                </c:pt>
                <c:pt idx="469">
                  <c:v>44510</c:v>
                </c:pt>
                <c:pt idx="470">
                  <c:v>44511</c:v>
                </c:pt>
                <c:pt idx="471">
                  <c:v>44512</c:v>
                </c:pt>
                <c:pt idx="472">
                  <c:v>44515</c:v>
                </c:pt>
                <c:pt idx="473">
                  <c:v>44516</c:v>
                </c:pt>
                <c:pt idx="474">
                  <c:v>44517</c:v>
                </c:pt>
                <c:pt idx="475">
                  <c:v>44518</c:v>
                </c:pt>
                <c:pt idx="476">
                  <c:v>44519</c:v>
                </c:pt>
                <c:pt idx="477">
                  <c:v>44522</c:v>
                </c:pt>
                <c:pt idx="478">
                  <c:v>44523</c:v>
                </c:pt>
                <c:pt idx="479">
                  <c:v>44524</c:v>
                </c:pt>
                <c:pt idx="480">
                  <c:v>44526</c:v>
                </c:pt>
                <c:pt idx="481">
                  <c:v>44529</c:v>
                </c:pt>
                <c:pt idx="482">
                  <c:v>44530</c:v>
                </c:pt>
                <c:pt idx="483">
                  <c:v>44531</c:v>
                </c:pt>
                <c:pt idx="484">
                  <c:v>44532</c:v>
                </c:pt>
                <c:pt idx="485">
                  <c:v>44533</c:v>
                </c:pt>
                <c:pt idx="486">
                  <c:v>44536</c:v>
                </c:pt>
                <c:pt idx="487">
                  <c:v>44537</c:v>
                </c:pt>
                <c:pt idx="488">
                  <c:v>44538</c:v>
                </c:pt>
                <c:pt idx="489">
                  <c:v>44539</c:v>
                </c:pt>
                <c:pt idx="490">
                  <c:v>44540</c:v>
                </c:pt>
                <c:pt idx="491">
                  <c:v>44543</c:v>
                </c:pt>
                <c:pt idx="492">
                  <c:v>44544</c:v>
                </c:pt>
                <c:pt idx="493">
                  <c:v>44545</c:v>
                </c:pt>
                <c:pt idx="494">
                  <c:v>44546</c:v>
                </c:pt>
                <c:pt idx="495">
                  <c:v>44547</c:v>
                </c:pt>
                <c:pt idx="496">
                  <c:v>44550</c:v>
                </c:pt>
                <c:pt idx="497">
                  <c:v>44551</c:v>
                </c:pt>
                <c:pt idx="498">
                  <c:v>44552</c:v>
                </c:pt>
                <c:pt idx="499">
                  <c:v>44553</c:v>
                </c:pt>
                <c:pt idx="500">
                  <c:v>44557</c:v>
                </c:pt>
                <c:pt idx="501">
                  <c:v>44558</c:v>
                </c:pt>
                <c:pt idx="502">
                  <c:v>44559</c:v>
                </c:pt>
                <c:pt idx="503">
                  <c:v>44560</c:v>
                </c:pt>
                <c:pt idx="504">
                  <c:v>44561</c:v>
                </c:pt>
                <c:pt idx="505">
                  <c:v>44564</c:v>
                </c:pt>
                <c:pt idx="506">
                  <c:v>44565</c:v>
                </c:pt>
                <c:pt idx="507">
                  <c:v>44566</c:v>
                </c:pt>
                <c:pt idx="508">
                  <c:v>44567</c:v>
                </c:pt>
                <c:pt idx="509">
                  <c:v>44568</c:v>
                </c:pt>
                <c:pt idx="510">
                  <c:v>44571</c:v>
                </c:pt>
                <c:pt idx="511">
                  <c:v>44572</c:v>
                </c:pt>
                <c:pt idx="512">
                  <c:v>44573</c:v>
                </c:pt>
                <c:pt idx="513">
                  <c:v>44574</c:v>
                </c:pt>
                <c:pt idx="514">
                  <c:v>44575</c:v>
                </c:pt>
                <c:pt idx="515">
                  <c:v>44579</c:v>
                </c:pt>
                <c:pt idx="516">
                  <c:v>44580</c:v>
                </c:pt>
                <c:pt idx="517">
                  <c:v>44581</c:v>
                </c:pt>
                <c:pt idx="518">
                  <c:v>44582</c:v>
                </c:pt>
                <c:pt idx="519">
                  <c:v>44585</c:v>
                </c:pt>
                <c:pt idx="520">
                  <c:v>44586</c:v>
                </c:pt>
                <c:pt idx="521">
                  <c:v>44587</c:v>
                </c:pt>
                <c:pt idx="522">
                  <c:v>44588</c:v>
                </c:pt>
                <c:pt idx="523">
                  <c:v>44589</c:v>
                </c:pt>
                <c:pt idx="524">
                  <c:v>44592</c:v>
                </c:pt>
                <c:pt idx="525">
                  <c:v>44593</c:v>
                </c:pt>
                <c:pt idx="526">
                  <c:v>44594</c:v>
                </c:pt>
                <c:pt idx="527">
                  <c:v>44595</c:v>
                </c:pt>
                <c:pt idx="528">
                  <c:v>44596</c:v>
                </c:pt>
                <c:pt idx="529">
                  <c:v>44599</c:v>
                </c:pt>
                <c:pt idx="530">
                  <c:v>44600</c:v>
                </c:pt>
                <c:pt idx="531">
                  <c:v>44601</c:v>
                </c:pt>
                <c:pt idx="532">
                  <c:v>44602</c:v>
                </c:pt>
                <c:pt idx="533">
                  <c:v>44603</c:v>
                </c:pt>
                <c:pt idx="534">
                  <c:v>44606</c:v>
                </c:pt>
                <c:pt idx="535">
                  <c:v>44607</c:v>
                </c:pt>
                <c:pt idx="536">
                  <c:v>44608</c:v>
                </c:pt>
                <c:pt idx="537">
                  <c:v>44609</c:v>
                </c:pt>
                <c:pt idx="538">
                  <c:v>44610</c:v>
                </c:pt>
                <c:pt idx="539">
                  <c:v>44614</c:v>
                </c:pt>
                <c:pt idx="540">
                  <c:v>44615</c:v>
                </c:pt>
                <c:pt idx="541">
                  <c:v>44616</c:v>
                </c:pt>
                <c:pt idx="542">
                  <c:v>44617</c:v>
                </c:pt>
                <c:pt idx="543">
                  <c:v>44620</c:v>
                </c:pt>
                <c:pt idx="544">
                  <c:v>44621</c:v>
                </c:pt>
                <c:pt idx="545">
                  <c:v>44622</c:v>
                </c:pt>
                <c:pt idx="546">
                  <c:v>44623</c:v>
                </c:pt>
                <c:pt idx="547">
                  <c:v>44624</c:v>
                </c:pt>
                <c:pt idx="548">
                  <c:v>44627</c:v>
                </c:pt>
                <c:pt idx="549">
                  <c:v>44628</c:v>
                </c:pt>
                <c:pt idx="550">
                  <c:v>44629</c:v>
                </c:pt>
                <c:pt idx="551">
                  <c:v>44630</c:v>
                </c:pt>
                <c:pt idx="552">
                  <c:v>44631</c:v>
                </c:pt>
                <c:pt idx="553">
                  <c:v>44634</c:v>
                </c:pt>
                <c:pt idx="554">
                  <c:v>44635</c:v>
                </c:pt>
                <c:pt idx="555">
                  <c:v>44636</c:v>
                </c:pt>
                <c:pt idx="556">
                  <c:v>44637</c:v>
                </c:pt>
                <c:pt idx="557">
                  <c:v>44638</c:v>
                </c:pt>
                <c:pt idx="558">
                  <c:v>44641</c:v>
                </c:pt>
                <c:pt idx="559">
                  <c:v>44642</c:v>
                </c:pt>
                <c:pt idx="560">
                  <c:v>44643</c:v>
                </c:pt>
                <c:pt idx="561">
                  <c:v>44644</c:v>
                </c:pt>
                <c:pt idx="562">
                  <c:v>44645</c:v>
                </c:pt>
                <c:pt idx="563">
                  <c:v>44648</c:v>
                </c:pt>
                <c:pt idx="564">
                  <c:v>44649</c:v>
                </c:pt>
                <c:pt idx="565">
                  <c:v>44650</c:v>
                </c:pt>
                <c:pt idx="566">
                  <c:v>44651</c:v>
                </c:pt>
                <c:pt idx="567">
                  <c:v>44652</c:v>
                </c:pt>
                <c:pt idx="568">
                  <c:v>44655</c:v>
                </c:pt>
                <c:pt idx="569">
                  <c:v>44656</c:v>
                </c:pt>
                <c:pt idx="570">
                  <c:v>44657</c:v>
                </c:pt>
                <c:pt idx="571">
                  <c:v>44658</c:v>
                </c:pt>
                <c:pt idx="572">
                  <c:v>44659</c:v>
                </c:pt>
                <c:pt idx="573">
                  <c:v>44662</c:v>
                </c:pt>
                <c:pt idx="574">
                  <c:v>44663</c:v>
                </c:pt>
                <c:pt idx="575">
                  <c:v>44664</c:v>
                </c:pt>
                <c:pt idx="576">
                  <c:v>44665</c:v>
                </c:pt>
                <c:pt idx="577">
                  <c:v>44669</c:v>
                </c:pt>
                <c:pt idx="578">
                  <c:v>44670</c:v>
                </c:pt>
                <c:pt idx="579">
                  <c:v>44671</c:v>
                </c:pt>
                <c:pt idx="580">
                  <c:v>44672</c:v>
                </c:pt>
                <c:pt idx="581">
                  <c:v>44673</c:v>
                </c:pt>
                <c:pt idx="582">
                  <c:v>44676</c:v>
                </c:pt>
                <c:pt idx="583">
                  <c:v>44677</c:v>
                </c:pt>
                <c:pt idx="584">
                  <c:v>44678</c:v>
                </c:pt>
                <c:pt idx="585">
                  <c:v>44679</c:v>
                </c:pt>
                <c:pt idx="586">
                  <c:v>44680</c:v>
                </c:pt>
                <c:pt idx="587">
                  <c:v>44683</c:v>
                </c:pt>
                <c:pt idx="588">
                  <c:v>44684</c:v>
                </c:pt>
                <c:pt idx="589">
                  <c:v>44685</c:v>
                </c:pt>
                <c:pt idx="590">
                  <c:v>44686</c:v>
                </c:pt>
                <c:pt idx="591">
                  <c:v>44687</c:v>
                </c:pt>
                <c:pt idx="592">
                  <c:v>44690</c:v>
                </c:pt>
                <c:pt idx="593">
                  <c:v>44691</c:v>
                </c:pt>
                <c:pt idx="594">
                  <c:v>44692</c:v>
                </c:pt>
                <c:pt idx="595">
                  <c:v>44693</c:v>
                </c:pt>
                <c:pt idx="596">
                  <c:v>44694</c:v>
                </c:pt>
                <c:pt idx="597">
                  <c:v>44697</c:v>
                </c:pt>
                <c:pt idx="598">
                  <c:v>44698</c:v>
                </c:pt>
                <c:pt idx="599">
                  <c:v>44699</c:v>
                </c:pt>
                <c:pt idx="600">
                  <c:v>44700</c:v>
                </c:pt>
                <c:pt idx="601">
                  <c:v>44701</c:v>
                </c:pt>
                <c:pt idx="602">
                  <c:v>44704</c:v>
                </c:pt>
                <c:pt idx="603">
                  <c:v>44705</c:v>
                </c:pt>
                <c:pt idx="604">
                  <c:v>44706</c:v>
                </c:pt>
                <c:pt idx="605">
                  <c:v>44707</c:v>
                </c:pt>
                <c:pt idx="606">
                  <c:v>44708</c:v>
                </c:pt>
                <c:pt idx="607">
                  <c:v>44712</c:v>
                </c:pt>
                <c:pt idx="608">
                  <c:v>44713</c:v>
                </c:pt>
                <c:pt idx="609">
                  <c:v>44714</c:v>
                </c:pt>
                <c:pt idx="610">
                  <c:v>44715</c:v>
                </c:pt>
                <c:pt idx="611">
                  <c:v>44718</c:v>
                </c:pt>
                <c:pt idx="612">
                  <c:v>44719</c:v>
                </c:pt>
                <c:pt idx="613">
                  <c:v>44720</c:v>
                </c:pt>
                <c:pt idx="614">
                  <c:v>44721</c:v>
                </c:pt>
                <c:pt idx="615">
                  <c:v>44722</c:v>
                </c:pt>
                <c:pt idx="616">
                  <c:v>44725</c:v>
                </c:pt>
                <c:pt idx="617">
                  <c:v>44726</c:v>
                </c:pt>
                <c:pt idx="618">
                  <c:v>44727</c:v>
                </c:pt>
                <c:pt idx="619">
                  <c:v>44728</c:v>
                </c:pt>
                <c:pt idx="620">
                  <c:v>44729</c:v>
                </c:pt>
                <c:pt idx="621">
                  <c:v>44733</c:v>
                </c:pt>
                <c:pt idx="622">
                  <c:v>44734</c:v>
                </c:pt>
                <c:pt idx="623">
                  <c:v>44735</c:v>
                </c:pt>
                <c:pt idx="624">
                  <c:v>44736</c:v>
                </c:pt>
                <c:pt idx="625">
                  <c:v>44739</c:v>
                </c:pt>
                <c:pt idx="626">
                  <c:v>44740</c:v>
                </c:pt>
                <c:pt idx="627">
                  <c:v>44741</c:v>
                </c:pt>
                <c:pt idx="628">
                  <c:v>44742</c:v>
                </c:pt>
                <c:pt idx="629">
                  <c:v>44743</c:v>
                </c:pt>
                <c:pt idx="630">
                  <c:v>44747</c:v>
                </c:pt>
                <c:pt idx="631">
                  <c:v>44748</c:v>
                </c:pt>
                <c:pt idx="632">
                  <c:v>44749</c:v>
                </c:pt>
                <c:pt idx="633">
                  <c:v>44750</c:v>
                </c:pt>
                <c:pt idx="634">
                  <c:v>44753</c:v>
                </c:pt>
                <c:pt idx="635">
                  <c:v>44754</c:v>
                </c:pt>
                <c:pt idx="636">
                  <c:v>44755</c:v>
                </c:pt>
                <c:pt idx="637">
                  <c:v>44756</c:v>
                </c:pt>
                <c:pt idx="638">
                  <c:v>44757</c:v>
                </c:pt>
                <c:pt idx="639">
                  <c:v>44760</c:v>
                </c:pt>
                <c:pt idx="640">
                  <c:v>44761</c:v>
                </c:pt>
                <c:pt idx="641">
                  <c:v>44762</c:v>
                </c:pt>
                <c:pt idx="642">
                  <c:v>44763</c:v>
                </c:pt>
                <c:pt idx="643">
                  <c:v>44764</c:v>
                </c:pt>
                <c:pt idx="644">
                  <c:v>44767</c:v>
                </c:pt>
                <c:pt idx="645">
                  <c:v>44768</c:v>
                </c:pt>
                <c:pt idx="646">
                  <c:v>44769</c:v>
                </c:pt>
                <c:pt idx="647">
                  <c:v>44770</c:v>
                </c:pt>
                <c:pt idx="648">
                  <c:v>44771</c:v>
                </c:pt>
                <c:pt idx="649">
                  <c:v>44774</c:v>
                </c:pt>
                <c:pt idx="650">
                  <c:v>44775</c:v>
                </c:pt>
                <c:pt idx="651">
                  <c:v>44776</c:v>
                </c:pt>
                <c:pt idx="652">
                  <c:v>44777</c:v>
                </c:pt>
                <c:pt idx="653">
                  <c:v>44778</c:v>
                </c:pt>
                <c:pt idx="654">
                  <c:v>44781</c:v>
                </c:pt>
                <c:pt idx="655">
                  <c:v>44782</c:v>
                </c:pt>
                <c:pt idx="656">
                  <c:v>44783</c:v>
                </c:pt>
                <c:pt idx="657">
                  <c:v>44784</c:v>
                </c:pt>
                <c:pt idx="658">
                  <c:v>44785</c:v>
                </c:pt>
                <c:pt idx="659">
                  <c:v>44788</c:v>
                </c:pt>
                <c:pt idx="660">
                  <c:v>44789</c:v>
                </c:pt>
                <c:pt idx="661">
                  <c:v>44790</c:v>
                </c:pt>
                <c:pt idx="662">
                  <c:v>44791</c:v>
                </c:pt>
                <c:pt idx="663">
                  <c:v>44792</c:v>
                </c:pt>
                <c:pt idx="664">
                  <c:v>44795</c:v>
                </c:pt>
                <c:pt idx="665">
                  <c:v>44796</c:v>
                </c:pt>
                <c:pt idx="666">
                  <c:v>44797</c:v>
                </c:pt>
                <c:pt idx="667">
                  <c:v>44798</c:v>
                </c:pt>
                <c:pt idx="668">
                  <c:v>44799</c:v>
                </c:pt>
                <c:pt idx="669">
                  <c:v>44802</c:v>
                </c:pt>
                <c:pt idx="670">
                  <c:v>44803</c:v>
                </c:pt>
                <c:pt idx="671">
                  <c:v>44804</c:v>
                </c:pt>
                <c:pt idx="672">
                  <c:v>44805</c:v>
                </c:pt>
                <c:pt idx="673">
                  <c:v>44806</c:v>
                </c:pt>
                <c:pt idx="674">
                  <c:v>44810</c:v>
                </c:pt>
                <c:pt idx="675">
                  <c:v>44811</c:v>
                </c:pt>
                <c:pt idx="676">
                  <c:v>44812</c:v>
                </c:pt>
                <c:pt idx="677">
                  <c:v>44813</c:v>
                </c:pt>
                <c:pt idx="678">
                  <c:v>44816</c:v>
                </c:pt>
                <c:pt idx="679">
                  <c:v>44817</c:v>
                </c:pt>
                <c:pt idx="680">
                  <c:v>44818</c:v>
                </c:pt>
                <c:pt idx="681">
                  <c:v>44819</c:v>
                </c:pt>
                <c:pt idx="682">
                  <c:v>44820</c:v>
                </c:pt>
                <c:pt idx="683">
                  <c:v>44823</c:v>
                </c:pt>
                <c:pt idx="684">
                  <c:v>44824</c:v>
                </c:pt>
                <c:pt idx="685">
                  <c:v>44825</c:v>
                </c:pt>
                <c:pt idx="686">
                  <c:v>44826</c:v>
                </c:pt>
                <c:pt idx="687">
                  <c:v>44827</c:v>
                </c:pt>
                <c:pt idx="688">
                  <c:v>44830</c:v>
                </c:pt>
                <c:pt idx="689">
                  <c:v>44831</c:v>
                </c:pt>
                <c:pt idx="690">
                  <c:v>44832</c:v>
                </c:pt>
                <c:pt idx="691">
                  <c:v>44833</c:v>
                </c:pt>
                <c:pt idx="692">
                  <c:v>44834</c:v>
                </c:pt>
                <c:pt idx="693">
                  <c:v>44837</c:v>
                </c:pt>
                <c:pt idx="694">
                  <c:v>44838</c:v>
                </c:pt>
                <c:pt idx="695">
                  <c:v>44839</c:v>
                </c:pt>
                <c:pt idx="696">
                  <c:v>44840</c:v>
                </c:pt>
                <c:pt idx="697">
                  <c:v>44841</c:v>
                </c:pt>
                <c:pt idx="698">
                  <c:v>44844</c:v>
                </c:pt>
                <c:pt idx="699">
                  <c:v>44845</c:v>
                </c:pt>
                <c:pt idx="700">
                  <c:v>44846</c:v>
                </c:pt>
                <c:pt idx="701">
                  <c:v>44847</c:v>
                </c:pt>
                <c:pt idx="702">
                  <c:v>44848</c:v>
                </c:pt>
                <c:pt idx="703">
                  <c:v>44851</c:v>
                </c:pt>
                <c:pt idx="704">
                  <c:v>44852</c:v>
                </c:pt>
                <c:pt idx="705">
                  <c:v>44853</c:v>
                </c:pt>
                <c:pt idx="706">
                  <c:v>44854</c:v>
                </c:pt>
                <c:pt idx="707">
                  <c:v>44855</c:v>
                </c:pt>
                <c:pt idx="708">
                  <c:v>44858</c:v>
                </c:pt>
                <c:pt idx="709">
                  <c:v>44859</c:v>
                </c:pt>
                <c:pt idx="710">
                  <c:v>44860</c:v>
                </c:pt>
                <c:pt idx="711">
                  <c:v>44861</c:v>
                </c:pt>
                <c:pt idx="712">
                  <c:v>44862</c:v>
                </c:pt>
                <c:pt idx="713">
                  <c:v>44865</c:v>
                </c:pt>
                <c:pt idx="714">
                  <c:v>44866</c:v>
                </c:pt>
                <c:pt idx="715">
                  <c:v>44867</c:v>
                </c:pt>
                <c:pt idx="716">
                  <c:v>44868</c:v>
                </c:pt>
                <c:pt idx="717">
                  <c:v>44869</c:v>
                </c:pt>
                <c:pt idx="718">
                  <c:v>44872</c:v>
                </c:pt>
                <c:pt idx="719">
                  <c:v>44873</c:v>
                </c:pt>
                <c:pt idx="720">
                  <c:v>44874</c:v>
                </c:pt>
                <c:pt idx="721">
                  <c:v>44875</c:v>
                </c:pt>
                <c:pt idx="722">
                  <c:v>44876</c:v>
                </c:pt>
                <c:pt idx="723">
                  <c:v>44879</c:v>
                </c:pt>
                <c:pt idx="724">
                  <c:v>44880</c:v>
                </c:pt>
                <c:pt idx="725">
                  <c:v>44881</c:v>
                </c:pt>
                <c:pt idx="726">
                  <c:v>44882</c:v>
                </c:pt>
                <c:pt idx="727">
                  <c:v>44883</c:v>
                </c:pt>
                <c:pt idx="728">
                  <c:v>44886</c:v>
                </c:pt>
                <c:pt idx="729">
                  <c:v>44887</c:v>
                </c:pt>
                <c:pt idx="730">
                  <c:v>44888</c:v>
                </c:pt>
                <c:pt idx="731">
                  <c:v>44890</c:v>
                </c:pt>
                <c:pt idx="732">
                  <c:v>44893</c:v>
                </c:pt>
                <c:pt idx="733">
                  <c:v>44894</c:v>
                </c:pt>
                <c:pt idx="734">
                  <c:v>44895</c:v>
                </c:pt>
                <c:pt idx="735">
                  <c:v>44896</c:v>
                </c:pt>
                <c:pt idx="736">
                  <c:v>44897</c:v>
                </c:pt>
                <c:pt idx="737">
                  <c:v>44900</c:v>
                </c:pt>
                <c:pt idx="738">
                  <c:v>44901</c:v>
                </c:pt>
                <c:pt idx="739">
                  <c:v>44902</c:v>
                </c:pt>
                <c:pt idx="740">
                  <c:v>44903</c:v>
                </c:pt>
                <c:pt idx="741">
                  <c:v>44904</c:v>
                </c:pt>
                <c:pt idx="742">
                  <c:v>44907</c:v>
                </c:pt>
                <c:pt idx="743">
                  <c:v>44908</c:v>
                </c:pt>
                <c:pt idx="744">
                  <c:v>44909</c:v>
                </c:pt>
                <c:pt idx="745">
                  <c:v>44910</c:v>
                </c:pt>
                <c:pt idx="746">
                  <c:v>44911</c:v>
                </c:pt>
                <c:pt idx="747">
                  <c:v>44914</c:v>
                </c:pt>
                <c:pt idx="748">
                  <c:v>44915</c:v>
                </c:pt>
                <c:pt idx="749">
                  <c:v>44916</c:v>
                </c:pt>
                <c:pt idx="750">
                  <c:v>44917</c:v>
                </c:pt>
                <c:pt idx="751">
                  <c:v>44918</c:v>
                </c:pt>
                <c:pt idx="752">
                  <c:v>44922</c:v>
                </c:pt>
                <c:pt idx="753">
                  <c:v>44923</c:v>
                </c:pt>
                <c:pt idx="754">
                  <c:v>44924</c:v>
                </c:pt>
                <c:pt idx="755">
                  <c:v>44925</c:v>
                </c:pt>
                <c:pt idx="756">
                  <c:v>44929</c:v>
                </c:pt>
                <c:pt idx="757">
                  <c:v>44930</c:v>
                </c:pt>
                <c:pt idx="758">
                  <c:v>44931</c:v>
                </c:pt>
                <c:pt idx="759">
                  <c:v>44932</c:v>
                </c:pt>
                <c:pt idx="760">
                  <c:v>44935</c:v>
                </c:pt>
                <c:pt idx="761">
                  <c:v>44936</c:v>
                </c:pt>
                <c:pt idx="762">
                  <c:v>44937</c:v>
                </c:pt>
                <c:pt idx="763">
                  <c:v>44938</c:v>
                </c:pt>
                <c:pt idx="764">
                  <c:v>44939</c:v>
                </c:pt>
                <c:pt idx="765">
                  <c:v>44943</c:v>
                </c:pt>
                <c:pt idx="766">
                  <c:v>44944</c:v>
                </c:pt>
                <c:pt idx="767">
                  <c:v>44945</c:v>
                </c:pt>
                <c:pt idx="768">
                  <c:v>44946</c:v>
                </c:pt>
                <c:pt idx="769">
                  <c:v>44949</c:v>
                </c:pt>
                <c:pt idx="770">
                  <c:v>44950</c:v>
                </c:pt>
                <c:pt idx="771">
                  <c:v>44951</c:v>
                </c:pt>
                <c:pt idx="772">
                  <c:v>44952</c:v>
                </c:pt>
                <c:pt idx="773">
                  <c:v>44953</c:v>
                </c:pt>
                <c:pt idx="774">
                  <c:v>44956</c:v>
                </c:pt>
                <c:pt idx="775">
                  <c:v>44957</c:v>
                </c:pt>
                <c:pt idx="776">
                  <c:v>44958</c:v>
                </c:pt>
                <c:pt idx="777">
                  <c:v>44959</c:v>
                </c:pt>
                <c:pt idx="778">
                  <c:v>44960</c:v>
                </c:pt>
                <c:pt idx="779">
                  <c:v>44963</c:v>
                </c:pt>
                <c:pt idx="780">
                  <c:v>44964</c:v>
                </c:pt>
                <c:pt idx="781">
                  <c:v>44965</c:v>
                </c:pt>
                <c:pt idx="782">
                  <c:v>44966</c:v>
                </c:pt>
                <c:pt idx="783">
                  <c:v>44967</c:v>
                </c:pt>
                <c:pt idx="784">
                  <c:v>44970</c:v>
                </c:pt>
                <c:pt idx="785">
                  <c:v>44971</c:v>
                </c:pt>
                <c:pt idx="786">
                  <c:v>44972</c:v>
                </c:pt>
                <c:pt idx="787">
                  <c:v>44973</c:v>
                </c:pt>
                <c:pt idx="788">
                  <c:v>44974</c:v>
                </c:pt>
                <c:pt idx="789">
                  <c:v>44978</c:v>
                </c:pt>
                <c:pt idx="790">
                  <c:v>44979</c:v>
                </c:pt>
                <c:pt idx="791">
                  <c:v>44980</c:v>
                </c:pt>
                <c:pt idx="792">
                  <c:v>44981</c:v>
                </c:pt>
                <c:pt idx="793">
                  <c:v>44984</c:v>
                </c:pt>
                <c:pt idx="794">
                  <c:v>44985</c:v>
                </c:pt>
                <c:pt idx="795">
                  <c:v>44986</c:v>
                </c:pt>
                <c:pt idx="796">
                  <c:v>44987</c:v>
                </c:pt>
                <c:pt idx="797">
                  <c:v>44988</c:v>
                </c:pt>
                <c:pt idx="798">
                  <c:v>44991</c:v>
                </c:pt>
                <c:pt idx="799">
                  <c:v>44992</c:v>
                </c:pt>
                <c:pt idx="800">
                  <c:v>44993</c:v>
                </c:pt>
                <c:pt idx="801">
                  <c:v>44994</c:v>
                </c:pt>
                <c:pt idx="802">
                  <c:v>44995</c:v>
                </c:pt>
                <c:pt idx="803">
                  <c:v>44998</c:v>
                </c:pt>
                <c:pt idx="804">
                  <c:v>44999</c:v>
                </c:pt>
                <c:pt idx="805">
                  <c:v>45000</c:v>
                </c:pt>
                <c:pt idx="806">
                  <c:v>45001</c:v>
                </c:pt>
                <c:pt idx="807">
                  <c:v>45002</c:v>
                </c:pt>
                <c:pt idx="808">
                  <c:v>45005</c:v>
                </c:pt>
                <c:pt idx="809">
                  <c:v>45006</c:v>
                </c:pt>
                <c:pt idx="810">
                  <c:v>45007</c:v>
                </c:pt>
                <c:pt idx="811">
                  <c:v>45008</c:v>
                </c:pt>
                <c:pt idx="812">
                  <c:v>45009</c:v>
                </c:pt>
                <c:pt idx="813">
                  <c:v>45012</c:v>
                </c:pt>
                <c:pt idx="814">
                  <c:v>45013</c:v>
                </c:pt>
                <c:pt idx="815">
                  <c:v>45014</c:v>
                </c:pt>
                <c:pt idx="816">
                  <c:v>45015</c:v>
                </c:pt>
                <c:pt idx="817">
                  <c:v>45016</c:v>
                </c:pt>
                <c:pt idx="818">
                  <c:v>45019</c:v>
                </c:pt>
                <c:pt idx="819">
                  <c:v>45020</c:v>
                </c:pt>
                <c:pt idx="820">
                  <c:v>45021</c:v>
                </c:pt>
                <c:pt idx="821">
                  <c:v>45022</c:v>
                </c:pt>
                <c:pt idx="822">
                  <c:v>45026</c:v>
                </c:pt>
                <c:pt idx="823">
                  <c:v>45027</c:v>
                </c:pt>
                <c:pt idx="824">
                  <c:v>45028</c:v>
                </c:pt>
                <c:pt idx="825">
                  <c:v>45029</c:v>
                </c:pt>
                <c:pt idx="826">
                  <c:v>45030</c:v>
                </c:pt>
                <c:pt idx="827">
                  <c:v>45033</c:v>
                </c:pt>
                <c:pt idx="828">
                  <c:v>45034</c:v>
                </c:pt>
                <c:pt idx="829">
                  <c:v>45035</c:v>
                </c:pt>
                <c:pt idx="830">
                  <c:v>45036</c:v>
                </c:pt>
                <c:pt idx="831">
                  <c:v>45037</c:v>
                </c:pt>
                <c:pt idx="832">
                  <c:v>45040</c:v>
                </c:pt>
                <c:pt idx="833">
                  <c:v>45041</c:v>
                </c:pt>
                <c:pt idx="834">
                  <c:v>45042</c:v>
                </c:pt>
                <c:pt idx="835">
                  <c:v>45043</c:v>
                </c:pt>
                <c:pt idx="836">
                  <c:v>45044</c:v>
                </c:pt>
                <c:pt idx="837">
                  <c:v>45047</c:v>
                </c:pt>
                <c:pt idx="838">
                  <c:v>45048</c:v>
                </c:pt>
                <c:pt idx="839">
                  <c:v>45049</c:v>
                </c:pt>
                <c:pt idx="840">
                  <c:v>45050</c:v>
                </c:pt>
                <c:pt idx="841">
                  <c:v>45051</c:v>
                </c:pt>
                <c:pt idx="842">
                  <c:v>45054</c:v>
                </c:pt>
                <c:pt idx="843">
                  <c:v>45055</c:v>
                </c:pt>
                <c:pt idx="844">
                  <c:v>45056</c:v>
                </c:pt>
                <c:pt idx="845">
                  <c:v>45057</c:v>
                </c:pt>
                <c:pt idx="846">
                  <c:v>45058</c:v>
                </c:pt>
                <c:pt idx="847">
                  <c:v>45061</c:v>
                </c:pt>
                <c:pt idx="848">
                  <c:v>45062</c:v>
                </c:pt>
                <c:pt idx="849">
                  <c:v>45063</c:v>
                </c:pt>
                <c:pt idx="850">
                  <c:v>45064</c:v>
                </c:pt>
                <c:pt idx="851">
                  <c:v>45065</c:v>
                </c:pt>
                <c:pt idx="852">
                  <c:v>45068</c:v>
                </c:pt>
                <c:pt idx="853">
                  <c:v>45069</c:v>
                </c:pt>
                <c:pt idx="854">
                  <c:v>45070</c:v>
                </c:pt>
                <c:pt idx="855">
                  <c:v>45071</c:v>
                </c:pt>
                <c:pt idx="856">
                  <c:v>45072</c:v>
                </c:pt>
                <c:pt idx="857">
                  <c:v>45076</c:v>
                </c:pt>
                <c:pt idx="858">
                  <c:v>45077</c:v>
                </c:pt>
                <c:pt idx="859">
                  <c:v>45078</c:v>
                </c:pt>
                <c:pt idx="860">
                  <c:v>45079</c:v>
                </c:pt>
                <c:pt idx="861">
                  <c:v>45082</c:v>
                </c:pt>
                <c:pt idx="862">
                  <c:v>45083</c:v>
                </c:pt>
                <c:pt idx="863">
                  <c:v>45084</c:v>
                </c:pt>
                <c:pt idx="864">
                  <c:v>45085</c:v>
                </c:pt>
                <c:pt idx="865">
                  <c:v>45086</c:v>
                </c:pt>
                <c:pt idx="866">
                  <c:v>45089</c:v>
                </c:pt>
                <c:pt idx="867">
                  <c:v>45090</c:v>
                </c:pt>
                <c:pt idx="868">
                  <c:v>45091</c:v>
                </c:pt>
                <c:pt idx="869">
                  <c:v>45092</c:v>
                </c:pt>
                <c:pt idx="870">
                  <c:v>45093</c:v>
                </c:pt>
                <c:pt idx="871">
                  <c:v>45097</c:v>
                </c:pt>
                <c:pt idx="872">
                  <c:v>45098</c:v>
                </c:pt>
                <c:pt idx="873">
                  <c:v>45099</c:v>
                </c:pt>
                <c:pt idx="874">
                  <c:v>45100</c:v>
                </c:pt>
                <c:pt idx="875">
                  <c:v>45103</c:v>
                </c:pt>
                <c:pt idx="876">
                  <c:v>45104</c:v>
                </c:pt>
                <c:pt idx="877">
                  <c:v>45105</c:v>
                </c:pt>
                <c:pt idx="878">
                  <c:v>45106</c:v>
                </c:pt>
                <c:pt idx="879">
                  <c:v>45107</c:v>
                </c:pt>
                <c:pt idx="880">
                  <c:v>45110</c:v>
                </c:pt>
                <c:pt idx="881">
                  <c:v>45112</c:v>
                </c:pt>
                <c:pt idx="882">
                  <c:v>45113</c:v>
                </c:pt>
                <c:pt idx="883">
                  <c:v>45114</c:v>
                </c:pt>
                <c:pt idx="884">
                  <c:v>45117</c:v>
                </c:pt>
                <c:pt idx="885">
                  <c:v>45118</c:v>
                </c:pt>
                <c:pt idx="886">
                  <c:v>45119</c:v>
                </c:pt>
                <c:pt idx="887">
                  <c:v>45120</c:v>
                </c:pt>
                <c:pt idx="888">
                  <c:v>45121</c:v>
                </c:pt>
                <c:pt idx="889">
                  <c:v>45124</c:v>
                </c:pt>
                <c:pt idx="890">
                  <c:v>45125</c:v>
                </c:pt>
                <c:pt idx="891">
                  <c:v>45126</c:v>
                </c:pt>
                <c:pt idx="892">
                  <c:v>45127</c:v>
                </c:pt>
                <c:pt idx="893">
                  <c:v>45128</c:v>
                </c:pt>
                <c:pt idx="894">
                  <c:v>45131</c:v>
                </c:pt>
                <c:pt idx="895">
                  <c:v>45132</c:v>
                </c:pt>
                <c:pt idx="896">
                  <c:v>45133</c:v>
                </c:pt>
                <c:pt idx="897">
                  <c:v>45134</c:v>
                </c:pt>
                <c:pt idx="898">
                  <c:v>45135</c:v>
                </c:pt>
                <c:pt idx="899">
                  <c:v>45138</c:v>
                </c:pt>
                <c:pt idx="900">
                  <c:v>45139</c:v>
                </c:pt>
                <c:pt idx="901">
                  <c:v>45140</c:v>
                </c:pt>
                <c:pt idx="902">
                  <c:v>45141</c:v>
                </c:pt>
                <c:pt idx="903">
                  <c:v>45142</c:v>
                </c:pt>
                <c:pt idx="904">
                  <c:v>45145</c:v>
                </c:pt>
                <c:pt idx="905">
                  <c:v>45146</c:v>
                </c:pt>
                <c:pt idx="906">
                  <c:v>45147</c:v>
                </c:pt>
                <c:pt idx="907">
                  <c:v>45148</c:v>
                </c:pt>
                <c:pt idx="908">
                  <c:v>45149</c:v>
                </c:pt>
                <c:pt idx="909">
                  <c:v>45152</c:v>
                </c:pt>
                <c:pt idx="910">
                  <c:v>45153</c:v>
                </c:pt>
                <c:pt idx="911">
                  <c:v>45154</c:v>
                </c:pt>
                <c:pt idx="912">
                  <c:v>45155</c:v>
                </c:pt>
                <c:pt idx="913">
                  <c:v>45156</c:v>
                </c:pt>
                <c:pt idx="914">
                  <c:v>45159</c:v>
                </c:pt>
                <c:pt idx="915">
                  <c:v>45160</c:v>
                </c:pt>
                <c:pt idx="916">
                  <c:v>45161</c:v>
                </c:pt>
                <c:pt idx="917">
                  <c:v>45162</c:v>
                </c:pt>
                <c:pt idx="918">
                  <c:v>45163</c:v>
                </c:pt>
                <c:pt idx="919">
                  <c:v>45166</c:v>
                </c:pt>
                <c:pt idx="920">
                  <c:v>45167</c:v>
                </c:pt>
                <c:pt idx="921">
                  <c:v>45168</c:v>
                </c:pt>
                <c:pt idx="922">
                  <c:v>45169</c:v>
                </c:pt>
                <c:pt idx="923">
                  <c:v>45170</c:v>
                </c:pt>
                <c:pt idx="924">
                  <c:v>45174</c:v>
                </c:pt>
                <c:pt idx="925">
                  <c:v>45175</c:v>
                </c:pt>
                <c:pt idx="926">
                  <c:v>45176</c:v>
                </c:pt>
                <c:pt idx="927">
                  <c:v>45177</c:v>
                </c:pt>
                <c:pt idx="928">
                  <c:v>45180</c:v>
                </c:pt>
                <c:pt idx="929">
                  <c:v>45181</c:v>
                </c:pt>
                <c:pt idx="930">
                  <c:v>45182</c:v>
                </c:pt>
                <c:pt idx="931">
                  <c:v>45183</c:v>
                </c:pt>
                <c:pt idx="932">
                  <c:v>45184</c:v>
                </c:pt>
                <c:pt idx="933">
                  <c:v>45187</c:v>
                </c:pt>
                <c:pt idx="934">
                  <c:v>45188</c:v>
                </c:pt>
                <c:pt idx="935">
                  <c:v>45189</c:v>
                </c:pt>
                <c:pt idx="936">
                  <c:v>45190</c:v>
                </c:pt>
                <c:pt idx="937">
                  <c:v>45191</c:v>
                </c:pt>
                <c:pt idx="938">
                  <c:v>45194</c:v>
                </c:pt>
                <c:pt idx="939">
                  <c:v>45195</c:v>
                </c:pt>
                <c:pt idx="940">
                  <c:v>45196</c:v>
                </c:pt>
                <c:pt idx="941">
                  <c:v>45197</c:v>
                </c:pt>
                <c:pt idx="942">
                  <c:v>45198</c:v>
                </c:pt>
                <c:pt idx="943">
                  <c:v>45201</c:v>
                </c:pt>
                <c:pt idx="944">
                  <c:v>45202</c:v>
                </c:pt>
                <c:pt idx="945">
                  <c:v>45203</c:v>
                </c:pt>
                <c:pt idx="946">
                  <c:v>45204</c:v>
                </c:pt>
                <c:pt idx="947">
                  <c:v>45205</c:v>
                </c:pt>
                <c:pt idx="948">
                  <c:v>45208</c:v>
                </c:pt>
                <c:pt idx="949">
                  <c:v>45209</c:v>
                </c:pt>
                <c:pt idx="950">
                  <c:v>45210</c:v>
                </c:pt>
                <c:pt idx="951">
                  <c:v>45211</c:v>
                </c:pt>
                <c:pt idx="952">
                  <c:v>45212</c:v>
                </c:pt>
                <c:pt idx="953">
                  <c:v>45215</c:v>
                </c:pt>
                <c:pt idx="954">
                  <c:v>45216</c:v>
                </c:pt>
                <c:pt idx="955">
                  <c:v>45217</c:v>
                </c:pt>
                <c:pt idx="956">
                  <c:v>45218</c:v>
                </c:pt>
                <c:pt idx="957">
                  <c:v>45219</c:v>
                </c:pt>
                <c:pt idx="958">
                  <c:v>45222</c:v>
                </c:pt>
                <c:pt idx="959">
                  <c:v>45223</c:v>
                </c:pt>
                <c:pt idx="960">
                  <c:v>45224</c:v>
                </c:pt>
                <c:pt idx="961">
                  <c:v>45225</c:v>
                </c:pt>
                <c:pt idx="962">
                  <c:v>45226</c:v>
                </c:pt>
                <c:pt idx="963">
                  <c:v>45229</c:v>
                </c:pt>
                <c:pt idx="964">
                  <c:v>45230</c:v>
                </c:pt>
                <c:pt idx="965">
                  <c:v>45231</c:v>
                </c:pt>
                <c:pt idx="966">
                  <c:v>45232</c:v>
                </c:pt>
                <c:pt idx="967">
                  <c:v>45233</c:v>
                </c:pt>
                <c:pt idx="968">
                  <c:v>45236</c:v>
                </c:pt>
                <c:pt idx="969">
                  <c:v>45237</c:v>
                </c:pt>
                <c:pt idx="970">
                  <c:v>45238</c:v>
                </c:pt>
                <c:pt idx="971">
                  <c:v>45239</c:v>
                </c:pt>
                <c:pt idx="972">
                  <c:v>45240</c:v>
                </c:pt>
                <c:pt idx="973">
                  <c:v>45243</c:v>
                </c:pt>
                <c:pt idx="974">
                  <c:v>45244</c:v>
                </c:pt>
                <c:pt idx="975">
                  <c:v>45245</c:v>
                </c:pt>
                <c:pt idx="976">
                  <c:v>45246</c:v>
                </c:pt>
                <c:pt idx="977">
                  <c:v>45247</c:v>
                </c:pt>
                <c:pt idx="978">
                  <c:v>45250</c:v>
                </c:pt>
                <c:pt idx="979">
                  <c:v>45251</c:v>
                </c:pt>
                <c:pt idx="980">
                  <c:v>45252</c:v>
                </c:pt>
                <c:pt idx="981">
                  <c:v>45254</c:v>
                </c:pt>
                <c:pt idx="982">
                  <c:v>45257</c:v>
                </c:pt>
                <c:pt idx="983">
                  <c:v>45258</c:v>
                </c:pt>
                <c:pt idx="984">
                  <c:v>45259</c:v>
                </c:pt>
                <c:pt idx="985">
                  <c:v>45260</c:v>
                </c:pt>
                <c:pt idx="986">
                  <c:v>45261</c:v>
                </c:pt>
                <c:pt idx="987">
                  <c:v>45264</c:v>
                </c:pt>
                <c:pt idx="988">
                  <c:v>45265</c:v>
                </c:pt>
                <c:pt idx="989">
                  <c:v>45266</c:v>
                </c:pt>
                <c:pt idx="990">
                  <c:v>45267</c:v>
                </c:pt>
                <c:pt idx="991">
                  <c:v>45268</c:v>
                </c:pt>
                <c:pt idx="992">
                  <c:v>45271</c:v>
                </c:pt>
                <c:pt idx="993">
                  <c:v>45272</c:v>
                </c:pt>
                <c:pt idx="994">
                  <c:v>45273</c:v>
                </c:pt>
                <c:pt idx="995">
                  <c:v>45274</c:v>
                </c:pt>
                <c:pt idx="996">
                  <c:v>45275</c:v>
                </c:pt>
                <c:pt idx="997">
                  <c:v>45278</c:v>
                </c:pt>
                <c:pt idx="998">
                  <c:v>45279</c:v>
                </c:pt>
                <c:pt idx="999">
                  <c:v>45280</c:v>
                </c:pt>
                <c:pt idx="1000">
                  <c:v>45281</c:v>
                </c:pt>
                <c:pt idx="1001">
                  <c:v>45282</c:v>
                </c:pt>
                <c:pt idx="1002">
                  <c:v>45286</c:v>
                </c:pt>
                <c:pt idx="1003">
                  <c:v>45287</c:v>
                </c:pt>
                <c:pt idx="1004">
                  <c:v>45288</c:v>
                </c:pt>
                <c:pt idx="1005">
                  <c:v>45289</c:v>
                </c:pt>
                <c:pt idx="1006">
                  <c:v>45293</c:v>
                </c:pt>
                <c:pt idx="1007">
                  <c:v>45294</c:v>
                </c:pt>
                <c:pt idx="1008">
                  <c:v>45295</c:v>
                </c:pt>
                <c:pt idx="1009">
                  <c:v>45296</c:v>
                </c:pt>
                <c:pt idx="1010">
                  <c:v>45299</c:v>
                </c:pt>
                <c:pt idx="1011">
                  <c:v>45300</c:v>
                </c:pt>
                <c:pt idx="1012">
                  <c:v>45301</c:v>
                </c:pt>
                <c:pt idx="1013">
                  <c:v>45302</c:v>
                </c:pt>
                <c:pt idx="1014">
                  <c:v>45303</c:v>
                </c:pt>
                <c:pt idx="1015">
                  <c:v>45307</c:v>
                </c:pt>
                <c:pt idx="1016">
                  <c:v>45308</c:v>
                </c:pt>
                <c:pt idx="1017">
                  <c:v>45309</c:v>
                </c:pt>
                <c:pt idx="1018">
                  <c:v>45310</c:v>
                </c:pt>
                <c:pt idx="1019">
                  <c:v>45313</c:v>
                </c:pt>
                <c:pt idx="1020">
                  <c:v>45314</c:v>
                </c:pt>
                <c:pt idx="1021">
                  <c:v>45315</c:v>
                </c:pt>
                <c:pt idx="1022">
                  <c:v>45316</c:v>
                </c:pt>
                <c:pt idx="1023">
                  <c:v>45317</c:v>
                </c:pt>
                <c:pt idx="1024">
                  <c:v>45320</c:v>
                </c:pt>
                <c:pt idx="1025">
                  <c:v>45321</c:v>
                </c:pt>
                <c:pt idx="1026">
                  <c:v>45322</c:v>
                </c:pt>
                <c:pt idx="1027">
                  <c:v>45323</c:v>
                </c:pt>
                <c:pt idx="1028">
                  <c:v>45324</c:v>
                </c:pt>
                <c:pt idx="1029">
                  <c:v>45327</c:v>
                </c:pt>
                <c:pt idx="1030">
                  <c:v>45328</c:v>
                </c:pt>
                <c:pt idx="1031">
                  <c:v>45329</c:v>
                </c:pt>
                <c:pt idx="1032">
                  <c:v>45330</c:v>
                </c:pt>
                <c:pt idx="1033">
                  <c:v>45331</c:v>
                </c:pt>
                <c:pt idx="1034">
                  <c:v>45334</c:v>
                </c:pt>
                <c:pt idx="1035">
                  <c:v>45335</c:v>
                </c:pt>
                <c:pt idx="1036">
                  <c:v>45336</c:v>
                </c:pt>
                <c:pt idx="1037">
                  <c:v>45337</c:v>
                </c:pt>
                <c:pt idx="1038">
                  <c:v>45338</c:v>
                </c:pt>
                <c:pt idx="1039">
                  <c:v>45342</c:v>
                </c:pt>
                <c:pt idx="1040">
                  <c:v>45343</c:v>
                </c:pt>
                <c:pt idx="1041">
                  <c:v>45344</c:v>
                </c:pt>
                <c:pt idx="1042">
                  <c:v>45345</c:v>
                </c:pt>
                <c:pt idx="1043">
                  <c:v>45348</c:v>
                </c:pt>
                <c:pt idx="1044">
                  <c:v>45349</c:v>
                </c:pt>
                <c:pt idx="1045">
                  <c:v>45350</c:v>
                </c:pt>
                <c:pt idx="1046">
                  <c:v>45351</c:v>
                </c:pt>
                <c:pt idx="1047">
                  <c:v>45352</c:v>
                </c:pt>
                <c:pt idx="1048">
                  <c:v>45355</c:v>
                </c:pt>
                <c:pt idx="1049">
                  <c:v>45356</c:v>
                </c:pt>
                <c:pt idx="1050">
                  <c:v>45357</c:v>
                </c:pt>
                <c:pt idx="1051">
                  <c:v>45358</c:v>
                </c:pt>
                <c:pt idx="1052">
                  <c:v>45359</c:v>
                </c:pt>
                <c:pt idx="1053">
                  <c:v>45362</c:v>
                </c:pt>
                <c:pt idx="1054">
                  <c:v>45363</c:v>
                </c:pt>
                <c:pt idx="1055">
                  <c:v>45364</c:v>
                </c:pt>
                <c:pt idx="1056">
                  <c:v>45365</c:v>
                </c:pt>
                <c:pt idx="1057">
                  <c:v>45366</c:v>
                </c:pt>
                <c:pt idx="1058">
                  <c:v>45369</c:v>
                </c:pt>
                <c:pt idx="1059">
                  <c:v>45370</c:v>
                </c:pt>
                <c:pt idx="1060">
                  <c:v>45371</c:v>
                </c:pt>
                <c:pt idx="1061">
                  <c:v>45372</c:v>
                </c:pt>
                <c:pt idx="1062">
                  <c:v>45373</c:v>
                </c:pt>
                <c:pt idx="1063">
                  <c:v>45376</c:v>
                </c:pt>
                <c:pt idx="1064">
                  <c:v>45377</c:v>
                </c:pt>
                <c:pt idx="1065">
                  <c:v>45378</c:v>
                </c:pt>
                <c:pt idx="1066">
                  <c:v>45379</c:v>
                </c:pt>
                <c:pt idx="1067">
                  <c:v>45383</c:v>
                </c:pt>
                <c:pt idx="1068">
                  <c:v>45384</c:v>
                </c:pt>
                <c:pt idx="1069">
                  <c:v>45385</c:v>
                </c:pt>
                <c:pt idx="1070">
                  <c:v>45386</c:v>
                </c:pt>
                <c:pt idx="1071">
                  <c:v>45387</c:v>
                </c:pt>
                <c:pt idx="1072">
                  <c:v>45390</c:v>
                </c:pt>
                <c:pt idx="1073">
                  <c:v>45391</c:v>
                </c:pt>
                <c:pt idx="1074">
                  <c:v>45392</c:v>
                </c:pt>
                <c:pt idx="1075">
                  <c:v>45393</c:v>
                </c:pt>
                <c:pt idx="1076">
                  <c:v>45394</c:v>
                </c:pt>
                <c:pt idx="1077">
                  <c:v>45397</c:v>
                </c:pt>
                <c:pt idx="1078">
                  <c:v>45398</c:v>
                </c:pt>
                <c:pt idx="1079">
                  <c:v>45399</c:v>
                </c:pt>
                <c:pt idx="1080">
                  <c:v>45400</c:v>
                </c:pt>
                <c:pt idx="1081">
                  <c:v>45401</c:v>
                </c:pt>
                <c:pt idx="1082">
                  <c:v>45404</c:v>
                </c:pt>
                <c:pt idx="1083">
                  <c:v>45405</c:v>
                </c:pt>
                <c:pt idx="1084">
                  <c:v>45406</c:v>
                </c:pt>
                <c:pt idx="1085">
                  <c:v>45407</c:v>
                </c:pt>
                <c:pt idx="1086">
                  <c:v>45408</c:v>
                </c:pt>
                <c:pt idx="1087">
                  <c:v>45411</c:v>
                </c:pt>
                <c:pt idx="1088">
                  <c:v>45412</c:v>
                </c:pt>
                <c:pt idx="1089">
                  <c:v>45413</c:v>
                </c:pt>
                <c:pt idx="1090">
                  <c:v>45414</c:v>
                </c:pt>
                <c:pt idx="1091">
                  <c:v>45415</c:v>
                </c:pt>
                <c:pt idx="1092">
                  <c:v>45418</c:v>
                </c:pt>
                <c:pt idx="1093">
                  <c:v>45419</c:v>
                </c:pt>
                <c:pt idx="1094">
                  <c:v>45420</c:v>
                </c:pt>
                <c:pt idx="1095">
                  <c:v>45421</c:v>
                </c:pt>
                <c:pt idx="1096">
                  <c:v>45422</c:v>
                </c:pt>
                <c:pt idx="1097">
                  <c:v>45425</c:v>
                </c:pt>
                <c:pt idx="1098">
                  <c:v>45426</c:v>
                </c:pt>
                <c:pt idx="1099">
                  <c:v>45427</c:v>
                </c:pt>
                <c:pt idx="1100">
                  <c:v>45428</c:v>
                </c:pt>
                <c:pt idx="1101">
                  <c:v>45429</c:v>
                </c:pt>
                <c:pt idx="1102">
                  <c:v>45432</c:v>
                </c:pt>
                <c:pt idx="1103">
                  <c:v>45433</c:v>
                </c:pt>
                <c:pt idx="1104">
                  <c:v>45434</c:v>
                </c:pt>
                <c:pt idx="1105">
                  <c:v>45435</c:v>
                </c:pt>
                <c:pt idx="1106">
                  <c:v>45436</c:v>
                </c:pt>
                <c:pt idx="1107">
                  <c:v>45440</c:v>
                </c:pt>
                <c:pt idx="1108">
                  <c:v>45441</c:v>
                </c:pt>
                <c:pt idx="1109">
                  <c:v>45442</c:v>
                </c:pt>
                <c:pt idx="1110">
                  <c:v>45443</c:v>
                </c:pt>
                <c:pt idx="1111">
                  <c:v>45446</c:v>
                </c:pt>
                <c:pt idx="1112">
                  <c:v>45447</c:v>
                </c:pt>
                <c:pt idx="1113">
                  <c:v>45448</c:v>
                </c:pt>
                <c:pt idx="1114">
                  <c:v>45449</c:v>
                </c:pt>
                <c:pt idx="1115">
                  <c:v>45450</c:v>
                </c:pt>
                <c:pt idx="1116">
                  <c:v>45453</c:v>
                </c:pt>
                <c:pt idx="1117">
                  <c:v>45454</c:v>
                </c:pt>
                <c:pt idx="1118">
                  <c:v>45455</c:v>
                </c:pt>
                <c:pt idx="1119">
                  <c:v>45456</c:v>
                </c:pt>
                <c:pt idx="1120">
                  <c:v>45457</c:v>
                </c:pt>
                <c:pt idx="1121">
                  <c:v>45460</c:v>
                </c:pt>
                <c:pt idx="1122">
                  <c:v>45461</c:v>
                </c:pt>
                <c:pt idx="1123">
                  <c:v>45463</c:v>
                </c:pt>
                <c:pt idx="1124">
                  <c:v>45464</c:v>
                </c:pt>
                <c:pt idx="1125">
                  <c:v>45467</c:v>
                </c:pt>
                <c:pt idx="1126">
                  <c:v>45468</c:v>
                </c:pt>
                <c:pt idx="1127">
                  <c:v>45469</c:v>
                </c:pt>
                <c:pt idx="1128">
                  <c:v>45470</c:v>
                </c:pt>
                <c:pt idx="1129">
                  <c:v>45471</c:v>
                </c:pt>
                <c:pt idx="1130">
                  <c:v>45474</c:v>
                </c:pt>
                <c:pt idx="1131">
                  <c:v>45475</c:v>
                </c:pt>
                <c:pt idx="1132">
                  <c:v>45476</c:v>
                </c:pt>
                <c:pt idx="1133">
                  <c:v>45478</c:v>
                </c:pt>
                <c:pt idx="1134">
                  <c:v>45481</c:v>
                </c:pt>
                <c:pt idx="1135">
                  <c:v>45482</c:v>
                </c:pt>
                <c:pt idx="1136">
                  <c:v>45483</c:v>
                </c:pt>
                <c:pt idx="1137">
                  <c:v>45484</c:v>
                </c:pt>
                <c:pt idx="1138">
                  <c:v>45485</c:v>
                </c:pt>
                <c:pt idx="1139">
                  <c:v>45488</c:v>
                </c:pt>
                <c:pt idx="1140">
                  <c:v>45489</c:v>
                </c:pt>
                <c:pt idx="1141">
                  <c:v>45490</c:v>
                </c:pt>
                <c:pt idx="1142">
                  <c:v>45491</c:v>
                </c:pt>
                <c:pt idx="1143">
                  <c:v>45492</c:v>
                </c:pt>
                <c:pt idx="1144">
                  <c:v>45495</c:v>
                </c:pt>
                <c:pt idx="1145">
                  <c:v>45496</c:v>
                </c:pt>
                <c:pt idx="1146">
                  <c:v>45497</c:v>
                </c:pt>
                <c:pt idx="1147">
                  <c:v>45498</c:v>
                </c:pt>
                <c:pt idx="1148">
                  <c:v>45499</c:v>
                </c:pt>
                <c:pt idx="1149">
                  <c:v>45502</c:v>
                </c:pt>
                <c:pt idx="1150">
                  <c:v>45503</c:v>
                </c:pt>
                <c:pt idx="1151">
                  <c:v>45504</c:v>
                </c:pt>
                <c:pt idx="1152">
                  <c:v>45505</c:v>
                </c:pt>
                <c:pt idx="1153">
                  <c:v>45506</c:v>
                </c:pt>
                <c:pt idx="1154">
                  <c:v>45509</c:v>
                </c:pt>
                <c:pt idx="1155">
                  <c:v>45510</c:v>
                </c:pt>
                <c:pt idx="1156">
                  <c:v>45511</c:v>
                </c:pt>
                <c:pt idx="1157">
                  <c:v>45512</c:v>
                </c:pt>
                <c:pt idx="1158">
                  <c:v>45513</c:v>
                </c:pt>
                <c:pt idx="1159">
                  <c:v>45516</c:v>
                </c:pt>
                <c:pt idx="1160">
                  <c:v>45517</c:v>
                </c:pt>
                <c:pt idx="1161">
                  <c:v>45518</c:v>
                </c:pt>
                <c:pt idx="1162">
                  <c:v>45519</c:v>
                </c:pt>
                <c:pt idx="1163">
                  <c:v>45520</c:v>
                </c:pt>
                <c:pt idx="1164">
                  <c:v>45523</c:v>
                </c:pt>
                <c:pt idx="1165">
                  <c:v>45524</c:v>
                </c:pt>
                <c:pt idx="1166">
                  <c:v>45525</c:v>
                </c:pt>
                <c:pt idx="1167">
                  <c:v>45526</c:v>
                </c:pt>
                <c:pt idx="1168">
                  <c:v>45527</c:v>
                </c:pt>
                <c:pt idx="1169">
                  <c:v>45530</c:v>
                </c:pt>
                <c:pt idx="1170">
                  <c:v>45531</c:v>
                </c:pt>
                <c:pt idx="1171">
                  <c:v>45532</c:v>
                </c:pt>
                <c:pt idx="1172">
                  <c:v>45533</c:v>
                </c:pt>
                <c:pt idx="1173">
                  <c:v>45534</c:v>
                </c:pt>
                <c:pt idx="1174">
                  <c:v>45538</c:v>
                </c:pt>
                <c:pt idx="1175">
                  <c:v>45539</c:v>
                </c:pt>
                <c:pt idx="1176">
                  <c:v>45540</c:v>
                </c:pt>
                <c:pt idx="1177">
                  <c:v>45541</c:v>
                </c:pt>
                <c:pt idx="1178">
                  <c:v>45544</c:v>
                </c:pt>
                <c:pt idx="1179">
                  <c:v>45545</c:v>
                </c:pt>
                <c:pt idx="1180">
                  <c:v>45546</c:v>
                </c:pt>
                <c:pt idx="1181">
                  <c:v>45547</c:v>
                </c:pt>
                <c:pt idx="1182">
                  <c:v>45548</c:v>
                </c:pt>
                <c:pt idx="1183">
                  <c:v>45551</c:v>
                </c:pt>
                <c:pt idx="1184">
                  <c:v>45552</c:v>
                </c:pt>
                <c:pt idx="1185">
                  <c:v>45553</c:v>
                </c:pt>
                <c:pt idx="1186">
                  <c:v>45554</c:v>
                </c:pt>
                <c:pt idx="1187">
                  <c:v>45555</c:v>
                </c:pt>
                <c:pt idx="1188">
                  <c:v>45558</c:v>
                </c:pt>
                <c:pt idx="1189">
                  <c:v>45559</c:v>
                </c:pt>
                <c:pt idx="1190">
                  <c:v>45560</c:v>
                </c:pt>
                <c:pt idx="1191">
                  <c:v>45561</c:v>
                </c:pt>
                <c:pt idx="1192">
                  <c:v>45562</c:v>
                </c:pt>
                <c:pt idx="1193">
                  <c:v>45565</c:v>
                </c:pt>
                <c:pt idx="1194">
                  <c:v>45566</c:v>
                </c:pt>
                <c:pt idx="1195">
                  <c:v>45567</c:v>
                </c:pt>
                <c:pt idx="1196">
                  <c:v>45568</c:v>
                </c:pt>
                <c:pt idx="1197">
                  <c:v>45569</c:v>
                </c:pt>
                <c:pt idx="1198">
                  <c:v>45572</c:v>
                </c:pt>
                <c:pt idx="1199">
                  <c:v>45573</c:v>
                </c:pt>
                <c:pt idx="1200">
                  <c:v>45574</c:v>
                </c:pt>
                <c:pt idx="1201">
                  <c:v>45575</c:v>
                </c:pt>
                <c:pt idx="1202">
                  <c:v>45576</c:v>
                </c:pt>
                <c:pt idx="1203">
                  <c:v>45579</c:v>
                </c:pt>
                <c:pt idx="1204">
                  <c:v>45580</c:v>
                </c:pt>
                <c:pt idx="1205">
                  <c:v>45581</c:v>
                </c:pt>
                <c:pt idx="1206">
                  <c:v>45582</c:v>
                </c:pt>
                <c:pt idx="1207">
                  <c:v>45583</c:v>
                </c:pt>
                <c:pt idx="1208">
                  <c:v>45586</c:v>
                </c:pt>
                <c:pt idx="1209">
                  <c:v>45587</c:v>
                </c:pt>
                <c:pt idx="1210">
                  <c:v>45588</c:v>
                </c:pt>
                <c:pt idx="1211">
                  <c:v>45589</c:v>
                </c:pt>
                <c:pt idx="1212">
                  <c:v>45590</c:v>
                </c:pt>
                <c:pt idx="1213">
                  <c:v>45593</c:v>
                </c:pt>
                <c:pt idx="1214">
                  <c:v>45594</c:v>
                </c:pt>
                <c:pt idx="1215">
                  <c:v>45595</c:v>
                </c:pt>
                <c:pt idx="1216">
                  <c:v>45596</c:v>
                </c:pt>
                <c:pt idx="1217">
                  <c:v>45597</c:v>
                </c:pt>
                <c:pt idx="1218">
                  <c:v>45600</c:v>
                </c:pt>
                <c:pt idx="1219">
                  <c:v>45601</c:v>
                </c:pt>
                <c:pt idx="1220">
                  <c:v>45602</c:v>
                </c:pt>
                <c:pt idx="1221">
                  <c:v>45603</c:v>
                </c:pt>
                <c:pt idx="1222">
                  <c:v>45604</c:v>
                </c:pt>
                <c:pt idx="1223">
                  <c:v>45607</c:v>
                </c:pt>
                <c:pt idx="1224">
                  <c:v>45608</c:v>
                </c:pt>
                <c:pt idx="1225">
                  <c:v>45609</c:v>
                </c:pt>
                <c:pt idx="1226">
                  <c:v>45610</c:v>
                </c:pt>
                <c:pt idx="1227">
                  <c:v>45611</c:v>
                </c:pt>
                <c:pt idx="1228">
                  <c:v>45614</c:v>
                </c:pt>
                <c:pt idx="1229">
                  <c:v>45615</c:v>
                </c:pt>
                <c:pt idx="1230">
                  <c:v>45616</c:v>
                </c:pt>
                <c:pt idx="1231">
                  <c:v>45617</c:v>
                </c:pt>
                <c:pt idx="1232">
                  <c:v>45618</c:v>
                </c:pt>
                <c:pt idx="1233">
                  <c:v>45621</c:v>
                </c:pt>
                <c:pt idx="1234">
                  <c:v>45622</c:v>
                </c:pt>
                <c:pt idx="1235">
                  <c:v>45623</c:v>
                </c:pt>
                <c:pt idx="1236">
                  <c:v>45625</c:v>
                </c:pt>
                <c:pt idx="1237">
                  <c:v>45628</c:v>
                </c:pt>
                <c:pt idx="1238">
                  <c:v>45629</c:v>
                </c:pt>
                <c:pt idx="1239">
                  <c:v>45630</c:v>
                </c:pt>
                <c:pt idx="1240">
                  <c:v>45631</c:v>
                </c:pt>
                <c:pt idx="1241">
                  <c:v>45632</c:v>
                </c:pt>
                <c:pt idx="1242">
                  <c:v>45635</c:v>
                </c:pt>
                <c:pt idx="1243">
                  <c:v>45636</c:v>
                </c:pt>
                <c:pt idx="1244">
                  <c:v>45637</c:v>
                </c:pt>
                <c:pt idx="1245">
                  <c:v>45638</c:v>
                </c:pt>
                <c:pt idx="1246">
                  <c:v>45639</c:v>
                </c:pt>
                <c:pt idx="1247">
                  <c:v>45642</c:v>
                </c:pt>
                <c:pt idx="1248">
                  <c:v>45643</c:v>
                </c:pt>
                <c:pt idx="1249">
                  <c:v>45644</c:v>
                </c:pt>
                <c:pt idx="1250">
                  <c:v>45645</c:v>
                </c:pt>
                <c:pt idx="1251">
                  <c:v>45646</c:v>
                </c:pt>
                <c:pt idx="1252">
                  <c:v>45649</c:v>
                </c:pt>
                <c:pt idx="1253">
                  <c:v>45650</c:v>
                </c:pt>
                <c:pt idx="1254">
                  <c:v>45652</c:v>
                </c:pt>
                <c:pt idx="1255">
                  <c:v>45653</c:v>
                </c:pt>
                <c:pt idx="1256">
                  <c:v>45656</c:v>
                </c:pt>
                <c:pt idx="1257">
                  <c:v>45657</c:v>
                </c:pt>
                <c:pt idx="1258">
                  <c:v>45659</c:v>
                </c:pt>
                <c:pt idx="1259">
                  <c:v>45660</c:v>
                </c:pt>
                <c:pt idx="1260">
                  <c:v>45663</c:v>
                </c:pt>
                <c:pt idx="1261">
                  <c:v>45664</c:v>
                </c:pt>
                <c:pt idx="1262">
                  <c:v>45665</c:v>
                </c:pt>
                <c:pt idx="1263">
                  <c:v>45667</c:v>
                </c:pt>
                <c:pt idx="1264">
                  <c:v>45670</c:v>
                </c:pt>
                <c:pt idx="1265">
                  <c:v>45671</c:v>
                </c:pt>
                <c:pt idx="1266">
                  <c:v>45672</c:v>
                </c:pt>
                <c:pt idx="1267">
                  <c:v>45673</c:v>
                </c:pt>
                <c:pt idx="1268">
                  <c:v>45674</c:v>
                </c:pt>
                <c:pt idx="1269">
                  <c:v>45678</c:v>
                </c:pt>
                <c:pt idx="1270">
                  <c:v>45679</c:v>
                </c:pt>
                <c:pt idx="1271">
                  <c:v>45680</c:v>
                </c:pt>
                <c:pt idx="1272">
                  <c:v>45681</c:v>
                </c:pt>
                <c:pt idx="1273">
                  <c:v>45684</c:v>
                </c:pt>
                <c:pt idx="1274">
                  <c:v>45685</c:v>
                </c:pt>
                <c:pt idx="1275">
                  <c:v>45686</c:v>
                </c:pt>
                <c:pt idx="1276">
                  <c:v>45687</c:v>
                </c:pt>
                <c:pt idx="1277">
                  <c:v>45688</c:v>
                </c:pt>
                <c:pt idx="1278">
                  <c:v>45691</c:v>
                </c:pt>
                <c:pt idx="1279">
                  <c:v>45692</c:v>
                </c:pt>
                <c:pt idx="1280">
                  <c:v>45693</c:v>
                </c:pt>
                <c:pt idx="1281">
                  <c:v>45694</c:v>
                </c:pt>
                <c:pt idx="1282">
                  <c:v>45695</c:v>
                </c:pt>
                <c:pt idx="1283">
                  <c:v>45698</c:v>
                </c:pt>
                <c:pt idx="1284">
                  <c:v>45699</c:v>
                </c:pt>
                <c:pt idx="1285">
                  <c:v>45700</c:v>
                </c:pt>
                <c:pt idx="1286">
                  <c:v>45701</c:v>
                </c:pt>
                <c:pt idx="1287">
                  <c:v>45702</c:v>
                </c:pt>
                <c:pt idx="1288">
                  <c:v>45706</c:v>
                </c:pt>
                <c:pt idx="1289">
                  <c:v>45707</c:v>
                </c:pt>
                <c:pt idx="1290">
                  <c:v>45708</c:v>
                </c:pt>
                <c:pt idx="1291">
                  <c:v>45709</c:v>
                </c:pt>
                <c:pt idx="1292">
                  <c:v>45712</c:v>
                </c:pt>
                <c:pt idx="1293">
                  <c:v>45713</c:v>
                </c:pt>
                <c:pt idx="1294">
                  <c:v>45714</c:v>
                </c:pt>
                <c:pt idx="1295">
                  <c:v>45715</c:v>
                </c:pt>
                <c:pt idx="1296">
                  <c:v>45716</c:v>
                </c:pt>
                <c:pt idx="1297">
                  <c:v>45719</c:v>
                </c:pt>
                <c:pt idx="1298">
                  <c:v>45720</c:v>
                </c:pt>
                <c:pt idx="1299">
                  <c:v>45721</c:v>
                </c:pt>
                <c:pt idx="1300">
                  <c:v>45722</c:v>
                </c:pt>
                <c:pt idx="1301">
                  <c:v>45723</c:v>
                </c:pt>
                <c:pt idx="1302">
                  <c:v>45726</c:v>
                </c:pt>
                <c:pt idx="1303">
                  <c:v>45727</c:v>
                </c:pt>
                <c:pt idx="1304">
                  <c:v>45728</c:v>
                </c:pt>
                <c:pt idx="1305">
                  <c:v>45729</c:v>
                </c:pt>
                <c:pt idx="1306">
                  <c:v>45730</c:v>
                </c:pt>
                <c:pt idx="1307">
                  <c:v>45733</c:v>
                </c:pt>
                <c:pt idx="1308">
                  <c:v>45734</c:v>
                </c:pt>
                <c:pt idx="1309">
                  <c:v>45735</c:v>
                </c:pt>
                <c:pt idx="1310">
                  <c:v>45736</c:v>
                </c:pt>
                <c:pt idx="1311">
                  <c:v>45737</c:v>
                </c:pt>
                <c:pt idx="1312">
                  <c:v>45740</c:v>
                </c:pt>
                <c:pt idx="1313">
                  <c:v>45741</c:v>
                </c:pt>
                <c:pt idx="1314">
                  <c:v>45742</c:v>
                </c:pt>
                <c:pt idx="1315">
                  <c:v>45743</c:v>
                </c:pt>
                <c:pt idx="1316">
                  <c:v>45744</c:v>
                </c:pt>
                <c:pt idx="1317">
                  <c:v>45747</c:v>
                </c:pt>
                <c:pt idx="1318">
                  <c:v>45748</c:v>
                </c:pt>
                <c:pt idx="1319">
                  <c:v>45749</c:v>
                </c:pt>
                <c:pt idx="1320">
                  <c:v>45750</c:v>
                </c:pt>
                <c:pt idx="1321">
                  <c:v>45751</c:v>
                </c:pt>
                <c:pt idx="1322">
                  <c:v>45754</c:v>
                </c:pt>
                <c:pt idx="1323">
                  <c:v>45755</c:v>
                </c:pt>
                <c:pt idx="1324">
                  <c:v>45756</c:v>
                </c:pt>
                <c:pt idx="1325">
                  <c:v>45757</c:v>
                </c:pt>
                <c:pt idx="1326">
                  <c:v>45758</c:v>
                </c:pt>
                <c:pt idx="1327">
                  <c:v>45761</c:v>
                </c:pt>
                <c:pt idx="1328">
                  <c:v>45762</c:v>
                </c:pt>
                <c:pt idx="1329">
                  <c:v>45763</c:v>
                </c:pt>
                <c:pt idx="1330">
                  <c:v>45764</c:v>
                </c:pt>
                <c:pt idx="1331">
                  <c:v>45768</c:v>
                </c:pt>
                <c:pt idx="1332">
                  <c:v>45769</c:v>
                </c:pt>
                <c:pt idx="1333">
                  <c:v>45770</c:v>
                </c:pt>
                <c:pt idx="1334">
                  <c:v>45771</c:v>
                </c:pt>
                <c:pt idx="1335">
                  <c:v>45772</c:v>
                </c:pt>
                <c:pt idx="1336">
                  <c:v>45775</c:v>
                </c:pt>
                <c:pt idx="1337">
                  <c:v>45776</c:v>
                </c:pt>
                <c:pt idx="1338">
                  <c:v>45777</c:v>
                </c:pt>
                <c:pt idx="1339">
                  <c:v>45778</c:v>
                </c:pt>
                <c:pt idx="1340">
                  <c:v>45779</c:v>
                </c:pt>
                <c:pt idx="1341">
                  <c:v>45782</c:v>
                </c:pt>
                <c:pt idx="1342">
                  <c:v>45783</c:v>
                </c:pt>
                <c:pt idx="1343">
                  <c:v>45784</c:v>
                </c:pt>
                <c:pt idx="1344">
                  <c:v>45785</c:v>
                </c:pt>
                <c:pt idx="1345">
                  <c:v>45786</c:v>
                </c:pt>
                <c:pt idx="1346">
                  <c:v>45789</c:v>
                </c:pt>
                <c:pt idx="1347">
                  <c:v>45790</c:v>
                </c:pt>
                <c:pt idx="1348">
                  <c:v>45791</c:v>
                </c:pt>
                <c:pt idx="1349">
                  <c:v>45792</c:v>
                </c:pt>
                <c:pt idx="1350">
                  <c:v>45793</c:v>
                </c:pt>
                <c:pt idx="1351">
                  <c:v>45796</c:v>
                </c:pt>
                <c:pt idx="1352">
                  <c:v>45797</c:v>
                </c:pt>
                <c:pt idx="1353">
                  <c:v>45798</c:v>
                </c:pt>
                <c:pt idx="1354">
                  <c:v>45799</c:v>
                </c:pt>
                <c:pt idx="1355">
                  <c:v>45800</c:v>
                </c:pt>
                <c:pt idx="1356">
                  <c:v>45804</c:v>
                </c:pt>
                <c:pt idx="1357">
                  <c:v>45805</c:v>
                </c:pt>
                <c:pt idx="1358">
                  <c:v>45806</c:v>
                </c:pt>
                <c:pt idx="1359">
                  <c:v>45807</c:v>
                </c:pt>
                <c:pt idx="1360">
                  <c:v>45810</c:v>
                </c:pt>
                <c:pt idx="1361">
                  <c:v>45811</c:v>
                </c:pt>
                <c:pt idx="1362">
                  <c:v>45812</c:v>
                </c:pt>
                <c:pt idx="1363">
                  <c:v>45813</c:v>
                </c:pt>
                <c:pt idx="1364">
                  <c:v>45814</c:v>
                </c:pt>
                <c:pt idx="1365">
                  <c:v>45817</c:v>
                </c:pt>
                <c:pt idx="1366">
                  <c:v>45818</c:v>
                </c:pt>
                <c:pt idx="1367">
                  <c:v>45819</c:v>
                </c:pt>
                <c:pt idx="1368">
                  <c:v>45820</c:v>
                </c:pt>
                <c:pt idx="1369">
                  <c:v>45821</c:v>
                </c:pt>
                <c:pt idx="1370">
                  <c:v>45824</c:v>
                </c:pt>
                <c:pt idx="1371">
                  <c:v>45825</c:v>
                </c:pt>
                <c:pt idx="1372">
                  <c:v>45826</c:v>
                </c:pt>
                <c:pt idx="1373">
                  <c:v>45828</c:v>
                </c:pt>
                <c:pt idx="1374">
                  <c:v>45831</c:v>
                </c:pt>
                <c:pt idx="1375">
                  <c:v>45832</c:v>
                </c:pt>
                <c:pt idx="1376">
                  <c:v>45833</c:v>
                </c:pt>
                <c:pt idx="1377">
                  <c:v>45834</c:v>
                </c:pt>
                <c:pt idx="1378">
                  <c:v>45835</c:v>
                </c:pt>
                <c:pt idx="1379">
                  <c:v>45838</c:v>
                </c:pt>
                <c:pt idx="1380">
                  <c:v>45839</c:v>
                </c:pt>
                <c:pt idx="1381">
                  <c:v>45840</c:v>
                </c:pt>
                <c:pt idx="1382">
                  <c:v>45841</c:v>
                </c:pt>
                <c:pt idx="1383">
                  <c:v>45845</c:v>
                </c:pt>
                <c:pt idx="1384">
                  <c:v>45846</c:v>
                </c:pt>
                <c:pt idx="1385">
                  <c:v>45847</c:v>
                </c:pt>
                <c:pt idx="1386">
                  <c:v>45848</c:v>
                </c:pt>
                <c:pt idx="1387">
                  <c:v>45849</c:v>
                </c:pt>
                <c:pt idx="1388">
                  <c:v>45852</c:v>
                </c:pt>
                <c:pt idx="1389">
                  <c:v>45853</c:v>
                </c:pt>
                <c:pt idx="1390">
                  <c:v>45854</c:v>
                </c:pt>
                <c:pt idx="1391">
                  <c:v>45855</c:v>
                </c:pt>
                <c:pt idx="1392">
                  <c:v>45856</c:v>
                </c:pt>
                <c:pt idx="1393">
                  <c:v>45859</c:v>
                </c:pt>
                <c:pt idx="1394">
                  <c:v>45860</c:v>
                </c:pt>
                <c:pt idx="1395">
                  <c:v>45861</c:v>
                </c:pt>
                <c:pt idx="1396">
                  <c:v>45862</c:v>
                </c:pt>
                <c:pt idx="1397">
                  <c:v>45863</c:v>
                </c:pt>
                <c:pt idx="1398">
                  <c:v>45866</c:v>
                </c:pt>
                <c:pt idx="1399">
                  <c:v>45867</c:v>
                </c:pt>
                <c:pt idx="1400">
                  <c:v>45868</c:v>
                </c:pt>
                <c:pt idx="1401">
                  <c:v>45869</c:v>
                </c:pt>
                <c:pt idx="1402">
                  <c:v>45870</c:v>
                </c:pt>
                <c:pt idx="1403">
                  <c:v>45873</c:v>
                </c:pt>
                <c:pt idx="1404">
                  <c:v>45874</c:v>
                </c:pt>
                <c:pt idx="1405">
                  <c:v>45875</c:v>
                </c:pt>
                <c:pt idx="1406">
                  <c:v>45876</c:v>
                </c:pt>
                <c:pt idx="1407">
                  <c:v>45877</c:v>
                </c:pt>
                <c:pt idx="1408">
                  <c:v>45880</c:v>
                </c:pt>
                <c:pt idx="1409">
                  <c:v>45881</c:v>
                </c:pt>
                <c:pt idx="1410">
                  <c:v>45882</c:v>
                </c:pt>
                <c:pt idx="1411">
                  <c:v>45883</c:v>
                </c:pt>
                <c:pt idx="1412">
                  <c:v>45884</c:v>
                </c:pt>
                <c:pt idx="1413">
                  <c:v>45887</c:v>
                </c:pt>
                <c:pt idx="1414">
                  <c:v>45888</c:v>
                </c:pt>
                <c:pt idx="1415">
                  <c:v>45889</c:v>
                </c:pt>
                <c:pt idx="1416">
                  <c:v>45890</c:v>
                </c:pt>
                <c:pt idx="1417">
                  <c:v>45891</c:v>
                </c:pt>
                <c:pt idx="1418">
                  <c:v>45894</c:v>
                </c:pt>
                <c:pt idx="1419">
                  <c:v>45895</c:v>
                </c:pt>
                <c:pt idx="1420">
                  <c:v>45896</c:v>
                </c:pt>
                <c:pt idx="1421">
                  <c:v>45897</c:v>
                </c:pt>
                <c:pt idx="1422">
                  <c:v>45898</c:v>
                </c:pt>
                <c:pt idx="1423">
                  <c:v>45902</c:v>
                </c:pt>
                <c:pt idx="1424">
                  <c:v>45903</c:v>
                </c:pt>
                <c:pt idx="1425">
                  <c:v>45904</c:v>
                </c:pt>
                <c:pt idx="1426">
                  <c:v>45905</c:v>
                </c:pt>
                <c:pt idx="1427">
                  <c:v>45908</c:v>
                </c:pt>
                <c:pt idx="1428">
                  <c:v>45909</c:v>
                </c:pt>
                <c:pt idx="1429">
                  <c:v>45910</c:v>
                </c:pt>
                <c:pt idx="1430">
                  <c:v>45911</c:v>
                </c:pt>
                <c:pt idx="1431">
                  <c:v>45912</c:v>
                </c:pt>
                <c:pt idx="1432">
                  <c:v>45915</c:v>
                </c:pt>
                <c:pt idx="1433">
                  <c:v>45916</c:v>
                </c:pt>
                <c:pt idx="1434">
                  <c:v>45917</c:v>
                </c:pt>
                <c:pt idx="1435">
                  <c:v>45918</c:v>
                </c:pt>
                <c:pt idx="1436">
                  <c:v>45919</c:v>
                </c:pt>
                <c:pt idx="1437">
                  <c:v>45922</c:v>
                </c:pt>
                <c:pt idx="1438">
                  <c:v>45923</c:v>
                </c:pt>
                <c:pt idx="1439">
                  <c:v>45924</c:v>
                </c:pt>
                <c:pt idx="1440">
                  <c:v>45925</c:v>
                </c:pt>
                <c:pt idx="1441">
                  <c:v>45926</c:v>
                </c:pt>
                <c:pt idx="1442">
                  <c:v>45929</c:v>
                </c:pt>
                <c:pt idx="1443">
                  <c:v>45930</c:v>
                </c:pt>
                <c:pt idx="1444">
                  <c:v>45931</c:v>
                </c:pt>
                <c:pt idx="1445">
                  <c:v>45932</c:v>
                </c:pt>
                <c:pt idx="1446">
                  <c:v>45933</c:v>
                </c:pt>
                <c:pt idx="1447">
                  <c:v>45936</c:v>
                </c:pt>
                <c:pt idx="1448">
                  <c:v>45937</c:v>
                </c:pt>
                <c:pt idx="1449">
                  <c:v>45938</c:v>
                </c:pt>
                <c:pt idx="1450">
                  <c:v>45939</c:v>
                </c:pt>
                <c:pt idx="1451">
                  <c:v>45940</c:v>
                </c:pt>
                <c:pt idx="1452">
                  <c:v>45943</c:v>
                </c:pt>
                <c:pt idx="1453">
                  <c:v>45944</c:v>
                </c:pt>
                <c:pt idx="1454">
                  <c:v>45945</c:v>
                </c:pt>
                <c:pt idx="1455">
                  <c:v>45946</c:v>
                </c:pt>
                <c:pt idx="1456">
                  <c:v>45947</c:v>
                </c:pt>
                <c:pt idx="1457">
                  <c:v>45950</c:v>
                </c:pt>
                <c:pt idx="1458">
                  <c:v>45951</c:v>
                </c:pt>
                <c:pt idx="1459">
                  <c:v>45952</c:v>
                </c:pt>
                <c:pt idx="1460">
                  <c:v>45953</c:v>
                </c:pt>
                <c:pt idx="1461">
                  <c:v>45954</c:v>
                </c:pt>
                <c:pt idx="1462">
                  <c:v>45957</c:v>
                </c:pt>
                <c:pt idx="1463">
                  <c:v>45958</c:v>
                </c:pt>
                <c:pt idx="1464">
                  <c:v>45959</c:v>
                </c:pt>
                <c:pt idx="1465">
                  <c:v>45960</c:v>
                </c:pt>
                <c:pt idx="1466">
                  <c:v>45961</c:v>
                </c:pt>
                <c:pt idx="1467">
                  <c:v>45964</c:v>
                </c:pt>
                <c:pt idx="1468">
                  <c:v>45965</c:v>
                </c:pt>
                <c:pt idx="1469">
                  <c:v>45966</c:v>
                </c:pt>
                <c:pt idx="1470">
                  <c:v>45967</c:v>
                </c:pt>
                <c:pt idx="1471">
                  <c:v>45968</c:v>
                </c:pt>
                <c:pt idx="1472">
                  <c:v>45971</c:v>
                </c:pt>
                <c:pt idx="1473">
                  <c:v>45972</c:v>
                </c:pt>
                <c:pt idx="1474">
                  <c:v>45973</c:v>
                </c:pt>
                <c:pt idx="1475">
                  <c:v>45974</c:v>
                </c:pt>
                <c:pt idx="1476">
                  <c:v>45975</c:v>
                </c:pt>
                <c:pt idx="1477">
                  <c:v>45978</c:v>
                </c:pt>
                <c:pt idx="1478">
                  <c:v>45979</c:v>
                </c:pt>
                <c:pt idx="1479">
                  <c:v>45980</c:v>
                </c:pt>
                <c:pt idx="1480">
                  <c:v>45981</c:v>
                </c:pt>
                <c:pt idx="1481">
                  <c:v>45982</c:v>
                </c:pt>
                <c:pt idx="1482">
                  <c:v>45985</c:v>
                </c:pt>
                <c:pt idx="1483">
                  <c:v>45986</c:v>
                </c:pt>
                <c:pt idx="1484">
                  <c:v>45987</c:v>
                </c:pt>
                <c:pt idx="1485">
                  <c:v>45989</c:v>
                </c:pt>
                <c:pt idx="1486">
                  <c:v>45992</c:v>
                </c:pt>
                <c:pt idx="1487">
                  <c:v>45993</c:v>
                </c:pt>
                <c:pt idx="1488">
                  <c:v>45994</c:v>
                </c:pt>
                <c:pt idx="1489">
                  <c:v>45995</c:v>
                </c:pt>
                <c:pt idx="1490">
                  <c:v>45996</c:v>
                </c:pt>
                <c:pt idx="1491">
                  <c:v>45999</c:v>
                </c:pt>
                <c:pt idx="1492">
                  <c:v>46000</c:v>
                </c:pt>
                <c:pt idx="1493">
                  <c:v>46001</c:v>
                </c:pt>
                <c:pt idx="1494">
                  <c:v>46002</c:v>
                </c:pt>
              </c:numCache>
            </c:numRef>
          </c:cat>
          <c:val>
            <c:numRef>
              <c:f>TAN!$B$3:$B$1497</c:f>
              <c:numCache>
                <c:formatCode>General</c:formatCode>
                <c:ptCount val="1495"/>
                <c:pt idx="0">
                  <c:v>31.722980499267582</c:v>
                </c:pt>
                <c:pt idx="1">
                  <c:v>31.514404296875</c:v>
                </c:pt>
                <c:pt idx="2">
                  <c:v>31.236309051513668</c:v>
                </c:pt>
                <c:pt idx="3">
                  <c:v>31.514404296875</c:v>
                </c:pt>
                <c:pt idx="4">
                  <c:v>31.852094650268551</c:v>
                </c:pt>
                <c:pt idx="5">
                  <c:v>32.318904876708977</c:v>
                </c:pt>
                <c:pt idx="6">
                  <c:v>32.199714660644531</c:v>
                </c:pt>
                <c:pt idx="7">
                  <c:v>32.914825439453118</c:v>
                </c:pt>
                <c:pt idx="8">
                  <c:v>33.212783813476562</c:v>
                </c:pt>
                <c:pt idx="9">
                  <c:v>32.934688568115227</c:v>
                </c:pt>
                <c:pt idx="10">
                  <c:v>33.192920684814453</c:v>
                </c:pt>
                <c:pt idx="11">
                  <c:v>33.441219329833977</c:v>
                </c:pt>
                <c:pt idx="12">
                  <c:v>33.431289672851562</c:v>
                </c:pt>
                <c:pt idx="13">
                  <c:v>33.123397827148438</c:v>
                </c:pt>
                <c:pt idx="14">
                  <c:v>33.232646942138672</c:v>
                </c:pt>
                <c:pt idx="15">
                  <c:v>33.153194427490227</c:v>
                </c:pt>
                <c:pt idx="16">
                  <c:v>31.7031135559082</c:v>
                </c:pt>
                <c:pt idx="17">
                  <c:v>32.527477264404297</c:v>
                </c:pt>
                <c:pt idx="18">
                  <c:v>32.845302581787109</c:v>
                </c:pt>
                <c:pt idx="19">
                  <c:v>32.865165710449219</c:v>
                </c:pt>
                <c:pt idx="20">
                  <c:v>31.931552886962891</c:v>
                </c:pt>
                <c:pt idx="21">
                  <c:v>32.368564605712891</c:v>
                </c:pt>
                <c:pt idx="22">
                  <c:v>33.967624664306641</c:v>
                </c:pt>
                <c:pt idx="23">
                  <c:v>34.533748626708977</c:v>
                </c:pt>
                <c:pt idx="24">
                  <c:v>34.901237487792969</c:v>
                </c:pt>
                <c:pt idx="25">
                  <c:v>34.553615570068359</c:v>
                </c:pt>
                <c:pt idx="26">
                  <c:v>34.950893402099609</c:v>
                </c:pt>
                <c:pt idx="27">
                  <c:v>36.341384887695312</c:v>
                </c:pt>
                <c:pt idx="28">
                  <c:v>38.079494476318359</c:v>
                </c:pt>
                <c:pt idx="29">
                  <c:v>37.414043426513672</c:v>
                </c:pt>
                <c:pt idx="30">
                  <c:v>37.255130767822273</c:v>
                </c:pt>
                <c:pt idx="31">
                  <c:v>37.443840026855469</c:v>
                </c:pt>
                <c:pt idx="32">
                  <c:v>40.463188171386719</c:v>
                </c:pt>
                <c:pt idx="33">
                  <c:v>41.575572967529297</c:v>
                </c:pt>
                <c:pt idx="34">
                  <c:v>40.492984771728523</c:v>
                </c:pt>
                <c:pt idx="35">
                  <c:v>38.973381042480469</c:v>
                </c:pt>
                <c:pt idx="36">
                  <c:v>37.563022613525391</c:v>
                </c:pt>
                <c:pt idx="37">
                  <c:v>37.642482757568359</c:v>
                </c:pt>
                <c:pt idx="38">
                  <c:v>36.242069244384773</c:v>
                </c:pt>
                <c:pt idx="39">
                  <c:v>36.222198486328118</c:v>
                </c:pt>
                <c:pt idx="40">
                  <c:v>36.738670349121087</c:v>
                </c:pt>
                <c:pt idx="41">
                  <c:v>36.877716064453118</c:v>
                </c:pt>
                <c:pt idx="42">
                  <c:v>38.258274078369141</c:v>
                </c:pt>
                <c:pt idx="43">
                  <c:v>38.069564819335938</c:v>
                </c:pt>
                <c:pt idx="44">
                  <c:v>36.629413604736328</c:v>
                </c:pt>
                <c:pt idx="45">
                  <c:v>31.713047027587891</c:v>
                </c:pt>
                <c:pt idx="46">
                  <c:v>32.875091552734382</c:v>
                </c:pt>
                <c:pt idx="47">
                  <c:v>30.75956916809082</c:v>
                </c:pt>
                <c:pt idx="48">
                  <c:v>26.369600296020511</c:v>
                </c:pt>
                <c:pt idx="49">
                  <c:v>26.98538970947266</c:v>
                </c:pt>
                <c:pt idx="50">
                  <c:v>22.64508056640625</c:v>
                </c:pt>
                <c:pt idx="51">
                  <c:v>24.333530426025391</c:v>
                </c:pt>
                <c:pt idx="52">
                  <c:v>22.098819732666019</c:v>
                </c:pt>
                <c:pt idx="53">
                  <c:v>22.843721389770511</c:v>
                </c:pt>
                <c:pt idx="54">
                  <c:v>22.59542083740234</c:v>
                </c:pt>
                <c:pt idx="55">
                  <c:v>22.069021224975589</c:v>
                </c:pt>
                <c:pt idx="56">
                  <c:v>25.048637390136719</c:v>
                </c:pt>
                <c:pt idx="57">
                  <c:v>26.220621109008789</c:v>
                </c:pt>
                <c:pt idx="58">
                  <c:v>26.975458145141602</c:v>
                </c:pt>
                <c:pt idx="59">
                  <c:v>24.800334930419918</c:v>
                </c:pt>
                <c:pt idx="60">
                  <c:v>24.969182968139648</c:v>
                </c:pt>
                <c:pt idx="61">
                  <c:v>25.058572769165039</c:v>
                </c:pt>
                <c:pt idx="62">
                  <c:v>23.687948226928711</c:v>
                </c:pt>
                <c:pt idx="63">
                  <c:v>24.353395462036129</c:v>
                </c:pt>
                <c:pt idx="64">
                  <c:v>23.658149719238281</c:v>
                </c:pt>
                <c:pt idx="65">
                  <c:v>25.545242309570309</c:v>
                </c:pt>
                <c:pt idx="66">
                  <c:v>26.23055267333984</c:v>
                </c:pt>
                <c:pt idx="67">
                  <c:v>27.303215026855469</c:v>
                </c:pt>
                <c:pt idx="68">
                  <c:v>27.779951095581051</c:v>
                </c:pt>
                <c:pt idx="69">
                  <c:v>27.42240142822266</c:v>
                </c:pt>
                <c:pt idx="70">
                  <c:v>28.872476577758789</c:v>
                </c:pt>
                <c:pt idx="71">
                  <c:v>27.79981803894043</c:v>
                </c:pt>
                <c:pt idx="72">
                  <c:v>27.58131217956543</c:v>
                </c:pt>
                <c:pt idx="73">
                  <c:v>28.703634262084961</c:v>
                </c:pt>
                <c:pt idx="74">
                  <c:v>28.44539833068848</c:v>
                </c:pt>
                <c:pt idx="75">
                  <c:v>27.402534484863281</c:v>
                </c:pt>
                <c:pt idx="76">
                  <c:v>28.25669097900391</c:v>
                </c:pt>
                <c:pt idx="77">
                  <c:v>28.743362426757809</c:v>
                </c:pt>
                <c:pt idx="78">
                  <c:v>28.177236557006839</c:v>
                </c:pt>
                <c:pt idx="79">
                  <c:v>28.663906097412109</c:v>
                </c:pt>
                <c:pt idx="80">
                  <c:v>29.190305709838871</c:v>
                </c:pt>
                <c:pt idx="81">
                  <c:v>30.97807502746582</c:v>
                </c:pt>
                <c:pt idx="82">
                  <c:v>29.915346145629879</c:v>
                </c:pt>
                <c:pt idx="83">
                  <c:v>28.604312896728519</c:v>
                </c:pt>
                <c:pt idx="84">
                  <c:v>29.061189651489261</c:v>
                </c:pt>
                <c:pt idx="85">
                  <c:v>29.180374145507809</c:v>
                </c:pt>
                <c:pt idx="86">
                  <c:v>30.382150650024411</c:v>
                </c:pt>
                <c:pt idx="87">
                  <c:v>30.660249710083011</c:v>
                </c:pt>
                <c:pt idx="88">
                  <c:v>31.991140365600589</c:v>
                </c:pt>
                <c:pt idx="89">
                  <c:v>32.001075744628913</c:v>
                </c:pt>
                <c:pt idx="90">
                  <c:v>31.583929061889648</c:v>
                </c:pt>
                <c:pt idx="91">
                  <c:v>30.908550262451168</c:v>
                </c:pt>
                <c:pt idx="92">
                  <c:v>30.680110931396481</c:v>
                </c:pt>
                <c:pt idx="93">
                  <c:v>30.680110931396481</c:v>
                </c:pt>
                <c:pt idx="94">
                  <c:v>32.656589508056641</c:v>
                </c:pt>
                <c:pt idx="95">
                  <c:v>33.322036743164062</c:v>
                </c:pt>
                <c:pt idx="96">
                  <c:v>33.580276489257812</c:v>
                </c:pt>
                <c:pt idx="97">
                  <c:v>33.043941497802727</c:v>
                </c:pt>
                <c:pt idx="98">
                  <c:v>32.477813720703118</c:v>
                </c:pt>
                <c:pt idx="99">
                  <c:v>33.520679473876953</c:v>
                </c:pt>
                <c:pt idx="100">
                  <c:v>33.421360015869141</c:v>
                </c:pt>
                <c:pt idx="101">
                  <c:v>32.825435638427727</c:v>
                </c:pt>
                <c:pt idx="102">
                  <c:v>33.530609130859382</c:v>
                </c:pt>
                <c:pt idx="103">
                  <c:v>34.633068084716797</c:v>
                </c:pt>
                <c:pt idx="104">
                  <c:v>34.434429168701172</c:v>
                </c:pt>
                <c:pt idx="105">
                  <c:v>34.891300201416023</c:v>
                </c:pt>
                <c:pt idx="106">
                  <c:v>34.335109710693359</c:v>
                </c:pt>
                <c:pt idx="107">
                  <c:v>35.318382263183587</c:v>
                </c:pt>
                <c:pt idx="108">
                  <c:v>36.152675628662109</c:v>
                </c:pt>
                <c:pt idx="109">
                  <c:v>35.377975463867188</c:v>
                </c:pt>
                <c:pt idx="110">
                  <c:v>34.980693817138672</c:v>
                </c:pt>
                <c:pt idx="111">
                  <c:v>32.845302581787109</c:v>
                </c:pt>
                <c:pt idx="112">
                  <c:v>33.828571319580078</c:v>
                </c:pt>
                <c:pt idx="113">
                  <c:v>34.553615570068359</c:v>
                </c:pt>
                <c:pt idx="114">
                  <c:v>35.228992462158203</c:v>
                </c:pt>
                <c:pt idx="115">
                  <c:v>33.778911590576172</c:v>
                </c:pt>
                <c:pt idx="116">
                  <c:v>34.702594757080078</c:v>
                </c:pt>
                <c:pt idx="117">
                  <c:v>34.921100616455078</c:v>
                </c:pt>
                <c:pt idx="118">
                  <c:v>35.119743347167969</c:v>
                </c:pt>
                <c:pt idx="119">
                  <c:v>35.765323638916023</c:v>
                </c:pt>
                <c:pt idx="120">
                  <c:v>35.765323638916023</c:v>
                </c:pt>
                <c:pt idx="121">
                  <c:v>35.666004180908203</c:v>
                </c:pt>
                <c:pt idx="122">
                  <c:v>34.652931213378913</c:v>
                </c:pt>
                <c:pt idx="123">
                  <c:v>35.785186767578118</c:v>
                </c:pt>
                <c:pt idx="124">
                  <c:v>35.854713439941413</c:v>
                </c:pt>
                <c:pt idx="125">
                  <c:v>36.53009033203125</c:v>
                </c:pt>
                <c:pt idx="126">
                  <c:v>37.086284637451172</c:v>
                </c:pt>
                <c:pt idx="127">
                  <c:v>38.973381042480469</c:v>
                </c:pt>
                <c:pt idx="128">
                  <c:v>39.430252075195312</c:v>
                </c:pt>
                <c:pt idx="129">
                  <c:v>41.297477722167969</c:v>
                </c:pt>
                <c:pt idx="130">
                  <c:v>41.108768463134773</c:v>
                </c:pt>
                <c:pt idx="131">
                  <c:v>41.088905334472663</c:v>
                </c:pt>
                <c:pt idx="132">
                  <c:v>40.741283416748047</c:v>
                </c:pt>
                <c:pt idx="133">
                  <c:v>42.717758178710938</c:v>
                </c:pt>
                <c:pt idx="134">
                  <c:v>43.532192230224609</c:v>
                </c:pt>
                <c:pt idx="135">
                  <c:v>42.588645935058587</c:v>
                </c:pt>
                <c:pt idx="136">
                  <c:v>43.591777801513672</c:v>
                </c:pt>
                <c:pt idx="137">
                  <c:v>45.339828491210938</c:v>
                </c:pt>
                <c:pt idx="138">
                  <c:v>45.210704803466797</c:v>
                </c:pt>
                <c:pt idx="139">
                  <c:v>45.419277191162109</c:v>
                </c:pt>
                <c:pt idx="140">
                  <c:v>45.836429595947273</c:v>
                </c:pt>
                <c:pt idx="141">
                  <c:v>44.624717712402337</c:v>
                </c:pt>
                <c:pt idx="142">
                  <c:v>45.995338439941413</c:v>
                </c:pt>
                <c:pt idx="143">
                  <c:v>44.455867767333977</c:v>
                </c:pt>
                <c:pt idx="144">
                  <c:v>44.624717712402337</c:v>
                </c:pt>
                <c:pt idx="145">
                  <c:v>44.743900299072273</c:v>
                </c:pt>
                <c:pt idx="146">
                  <c:v>44.704170227050781</c:v>
                </c:pt>
                <c:pt idx="147">
                  <c:v>45.737106323242188</c:v>
                </c:pt>
                <c:pt idx="148">
                  <c:v>48.726654052734382</c:v>
                </c:pt>
                <c:pt idx="149">
                  <c:v>50.425037384033203</c:v>
                </c:pt>
                <c:pt idx="150">
                  <c:v>49.779449462890618</c:v>
                </c:pt>
                <c:pt idx="151">
                  <c:v>50.852115631103523</c:v>
                </c:pt>
                <c:pt idx="152">
                  <c:v>50.931568145751953</c:v>
                </c:pt>
                <c:pt idx="153">
                  <c:v>49.342437744140618</c:v>
                </c:pt>
                <c:pt idx="154">
                  <c:v>50.762722015380859</c:v>
                </c:pt>
                <c:pt idx="155">
                  <c:v>52.05389404296875</c:v>
                </c:pt>
                <c:pt idx="156">
                  <c:v>51.209671020507812</c:v>
                </c:pt>
                <c:pt idx="157">
                  <c:v>51.994300842285163</c:v>
                </c:pt>
                <c:pt idx="158">
                  <c:v>52.004230499267578</c:v>
                </c:pt>
                <c:pt idx="159">
                  <c:v>52.361785888671882</c:v>
                </c:pt>
                <c:pt idx="160">
                  <c:v>51.656608581542969</c:v>
                </c:pt>
                <c:pt idx="161">
                  <c:v>52.083686828613281</c:v>
                </c:pt>
                <c:pt idx="162">
                  <c:v>53.136482238769531</c:v>
                </c:pt>
                <c:pt idx="163">
                  <c:v>54.735546112060547</c:v>
                </c:pt>
                <c:pt idx="164">
                  <c:v>54.546836853027337</c:v>
                </c:pt>
                <c:pt idx="165">
                  <c:v>54.685886383056641</c:v>
                </c:pt>
                <c:pt idx="166">
                  <c:v>56.473655700683587</c:v>
                </c:pt>
                <c:pt idx="167">
                  <c:v>56.404132843017578</c:v>
                </c:pt>
                <c:pt idx="168">
                  <c:v>57.119239807128913</c:v>
                </c:pt>
                <c:pt idx="169">
                  <c:v>56.592838287353523</c:v>
                </c:pt>
                <c:pt idx="170">
                  <c:v>52.232669830322273</c:v>
                </c:pt>
                <c:pt idx="171">
                  <c:v>51.150074005126953</c:v>
                </c:pt>
                <c:pt idx="172">
                  <c:v>50.971298217773438</c:v>
                </c:pt>
                <c:pt idx="173">
                  <c:v>52.848457336425781</c:v>
                </c:pt>
                <c:pt idx="174">
                  <c:v>51.577152252197273</c:v>
                </c:pt>
                <c:pt idx="175">
                  <c:v>52.361785888671882</c:v>
                </c:pt>
                <c:pt idx="176">
                  <c:v>54.626296997070312</c:v>
                </c:pt>
                <c:pt idx="177">
                  <c:v>56.096237182617188</c:v>
                </c:pt>
                <c:pt idx="178">
                  <c:v>56.275012969970703</c:v>
                </c:pt>
                <c:pt idx="179">
                  <c:v>54.437587738037109</c:v>
                </c:pt>
                <c:pt idx="180">
                  <c:v>54.844802856445312</c:v>
                </c:pt>
                <c:pt idx="181">
                  <c:v>54.81500244140625</c:v>
                </c:pt>
                <c:pt idx="182">
                  <c:v>55.073234558105469</c:v>
                </c:pt>
                <c:pt idx="183">
                  <c:v>55.90753173828125</c:v>
                </c:pt>
                <c:pt idx="184">
                  <c:v>55.391063690185547</c:v>
                </c:pt>
                <c:pt idx="185">
                  <c:v>57.24835205078125</c:v>
                </c:pt>
                <c:pt idx="186">
                  <c:v>60.128650665283203</c:v>
                </c:pt>
                <c:pt idx="187">
                  <c:v>62.095199584960938</c:v>
                </c:pt>
                <c:pt idx="188">
                  <c:v>64.349777221679688</c:v>
                </c:pt>
                <c:pt idx="189">
                  <c:v>66.723533630371094</c:v>
                </c:pt>
                <c:pt idx="190">
                  <c:v>66.137542724609375</c:v>
                </c:pt>
                <c:pt idx="191">
                  <c:v>70.070632934570312</c:v>
                </c:pt>
                <c:pt idx="192">
                  <c:v>70.835403442382812</c:v>
                </c:pt>
                <c:pt idx="193">
                  <c:v>74.669181823730469</c:v>
                </c:pt>
                <c:pt idx="194">
                  <c:v>74.490394592285156</c:v>
                </c:pt>
                <c:pt idx="195">
                  <c:v>75.145919799804688</c:v>
                </c:pt>
                <c:pt idx="196">
                  <c:v>72.623176574707031</c:v>
                </c:pt>
                <c:pt idx="197">
                  <c:v>73.536918640136719</c:v>
                </c:pt>
                <c:pt idx="198">
                  <c:v>74.619514465332031</c:v>
                </c:pt>
                <c:pt idx="199">
                  <c:v>73.0601806640625</c:v>
                </c:pt>
                <c:pt idx="200">
                  <c:v>73.010520935058594</c:v>
                </c:pt>
                <c:pt idx="201">
                  <c:v>74.122917175292969</c:v>
                </c:pt>
                <c:pt idx="202">
                  <c:v>77.201850891113281</c:v>
                </c:pt>
                <c:pt idx="203">
                  <c:v>70.736076354980469</c:v>
                </c:pt>
                <c:pt idx="204">
                  <c:v>70.597038269042969</c:v>
                </c:pt>
                <c:pt idx="205">
                  <c:v>70.636764526367188</c:v>
                </c:pt>
                <c:pt idx="206">
                  <c:v>69.156890869140625</c:v>
                </c:pt>
                <c:pt idx="207">
                  <c:v>67.806129455566406</c:v>
                </c:pt>
                <c:pt idx="208">
                  <c:v>68.590751647949219</c:v>
                </c:pt>
                <c:pt idx="209">
                  <c:v>70.299072265625</c:v>
                </c:pt>
                <c:pt idx="210">
                  <c:v>68.302726745605469</c:v>
                </c:pt>
                <c:pt idx="211">
                  <c:v>70.517578125</c:v>
                </c:pt>
                <c:pt idx="212">
                  <c:v>68.690086364746094</c:v>
                </c:pt>
                <c:pt idx="213">
                  <c:v>67.27972412109375</c:v>
                </c:pt>
                <c:pt idx="214">
                  <c:v>74.947273254394531</c:v>
                </c:pt>
                <c:pt idx="215">
                  <c:v>75.036666870117188</c:v>
                </c:pt>
                <c:pt idx="216">
                  <c:v>73.656112670898438</c:v>
                </c:pt>
                <c:pt idx="217">
                  <c:v>71.014175415039062</c:v>
                </c:pt>
                <c:pt idx="218">
                  <c:v>74.321563720703125</c:v>
                </c:pt>
                <c:pt idx="219">
                  <c:v>73.179367065429688</c:v>
                </c:pt>
                <c:pt idx="220">
                  <c:v>73.139640808105469</c:v>
                </c:pt>
                <c:pt idx="221">
                  <c:v>73.75543212890625</c:v>
                </c:pt>
                <c:pt idx="222">
                  <c:v>74.798294067382812</c:v>
                </c:pt>
                <c:pt idx="223">
                  <c:v>74.202369689941406</c:v>
                </c:pt>
                <c:pt idx="224">
                  <c:v>75.692176818847656</c:v>
                </c:pt>
                <c:pt idx="225">
                  <c:v>77.489875793457031</c:v>
                </c:pt>
                <c:pt idx="226">
                  <c:v>80.131813049316406</c:v>
                </c:pt>
                <c:pt idx="227">
                  <c:v>82.465835571289062</c:v>
                </c:pt>
                <c:pt idx="228">
                  <c:v>83.67755126953125</c:v>
                </c:pt>
                <c:pt idx="229">
                  <c:v>84.839599609375</c:v>
                </c:pt>
                <c:pt idx="230">
                  <c:v>84.00531005859375</c:v>
                </c:pt>
                <c:pt idx="231">
                  <c:v>82.833328247070312</c:v>
                </c:pt>
                <c:pt idx="232">
                  <c:v>81.562026977539062</c:v>
                </c:pt>
                <c:pt idx="233">
                  <c:v>80.439697265625</c:v>
                </c:pt>
                <c:pt idx="234">
                  <c:v>80.866775512695312</c:v>
                </c:pt>
                <c:pt idx="235">
                  <c:v>81.9990234375</c:v>
                </c:pt>
                <c:pt idx="236">
                  <c:v>83.657684326171875</c:v>
                </c:pt>
                <c:pt idx="237">
                  <c:v>79.665000915527344</c:v>
                </c:pt>
                <c:pt idx="238">
                  <c:v>81.452774047851562</c:v>
                </c:pt>
                <c:pt idx="239">
                  <c:v>83.230606079101562</c:v>
                </c:pt>
                <c:pt idx="240">
                  <c:v>85.455390930175781</c:v>
                </c:pt>
                <c:pt idx="241">
                  <c:v>92.348236083984375</c:v>
                </c:pt>
                <c:pt idx="242">
                  <c:v>91.494071960449219</c:v>
                </c:pt>
                <c:pt idx="243">
                  <c:v>92.368095397949219</c:v>
                </c:pt>
                <c:pt idx="244">
                  <c:v>95.347709655761719</c:v>
                </c:pt>
                <c:pt idx="245">
                  <c:v>98.998268127441406</c:v>
                </c:pt>
                <c:pt idx="246">
                  <c:v>102.5275115966797</c:v>
                </c:pt>
                <c:pt idx="247">
                  <c:v>103.39244079589839</c:v>
                </c:pt>
                <c:pt idx="248">
                  <c:v>102.19944763183589</c:v>
                </c:pt>
                <c:pt idx="249">
                  <c:v>102.04038238525391</c:v>
                </c:pt>
                <c:pt idx="250">
                  <c:v>98.6900634765625</c:v>
                </c:pt>
                <c:pt idx="251">
                  <c:v>101.7520751953125</c:v>
                </c:pt>
                <c:pt idx="252">
                  <c:v>102.15968322753911</c:v>
                </c:pt>
                <c:pt idx="253">
                  <c:v>104.34682464599609</c:v>
                </c:pt>
                <c:pt idx="254">
                  <c:v>105.4503479003906</c:v>
                </c:pt>
                <c:pt idx="255">
                  <c:v>114.5965957641602</c:v>
                </c:pt>
                <c:pt idx="256">
                  <c:v>120.8399124145508</c:v>
                </c:pt>
                <c:pt idx="257">
                  <c:v>118.4340438842773</c:v>
                </c:pt>
                <c:pt idx="258">
                  <c:v>114.9346084594727</c:v>
                </c:pt>
                <c:pt idx="259">
                  <c:v>114.95449066162109</c:v>
                </c:pt>
                <c:pt idx="260">
                  <c:v>113.7913360595703</c:v>
                </c:pt>
                <c:pt idx="261">
                  <c:v>114.5568313598633</c:v>
                </c:pt>
                <c:pt idx="262">
                  <c:v>106.2655563354492</c:v>
                </c:pt>
                <c:pt idx="263">
                  <c:v>113.3340148925781</c:v>
                </c:pt>
                <c:pt idx="264">
                  <c:v>114.1094589233398</c:v>
                </c:pt>
                <c:pt idx="265">
                  <c:v>120.7206115722656</c:v>
                </c:pt>
                <c:pt idx="266">
                  <c:v>120.40248870849609</c:v>
                </c:pt>
                <c:pt idx="267">
                  <c:v>118.3048095703125</c:v>
                </c:pt>
                <c:pt idx="268">
                  <c:v>116.91298675537109</c:v>
                </c:pt>
                <c:pt idx="269">
                  <c:v>109.8544616699219</c:v>
                </c:pt>
                <c:pt idx="270">
                  <c:v>111.5246505737305</c:v>
                </c:pt>
                <c:pt idx="271">
                  <c:v>108.05503845214839</c:v>
                </c:pt>
                <c:pt idx="272">
                  <c:v>109.8544616699219</c:v>
                </c:pt>
                <c:pt idx="273">
                  <c:v>115.2129821777344</c:v>
                </c:pt>
                <c:pt idx="274">
                  <c:v>115.8790664672852</c:v>
                </c:pt>
                <c:pt idx="275">
                  <c:v>114.36794281005859</c:v>
                </c:pt>
                <c:pt idx="276">
                  <c:v>116.0083084106445</c:v>
                </c:pt>
                <c:pt idx="277">
                  <c:v>118.2948684692383</c:v>
                </c:pt>
                <c:pt idx="278">
                  <c:v>121.22763824462891</c:v>
                </c:pt>
                <c:pt idx="279">
                  <c:v>119.0106582641602</c:v>
                </c:pt>
                <c:pt idx="280">
                  <c:v>120.6410827636719</c:v>
                </c:pt>
                <c:pt idx="281">
                  <c:v>120.6112518310547</c:v>
                </c:pt>
                <c:pt idx="282">
                  <c:v>117.7580184936523</c:v>
                </c:pt>
                <c:pt idx="283">
                  <c:v>115.0240859985352</c:v>
                </c:pt>
                <c:pt idx="284">
                  <c:v>107.65737152099609</c:v>
                </c:pt>
                <c:pt idx="285">
                  <c:v>109.9936447143555</c:v>
                </c:pt>
                <c:pt idx="286">
                  <c:v>100.36025238037109</c:v>
                </c:pt>
                <c:pt idx="287">
                  <c:v>99.9725341796875</c:v>
                </c:pt>
                <c:pt idx="288">
                  <c:v>102.7362899780273</c:v>
                </c:pt>
                <c:pt idx="289">
                  <c:v>97.079536437988281</c:v>
                </c:pt>
                <c:pt idx="290">
                  <c:v>100.7280960083008</c:v>
                </c:pt>
                <c:pt idx="291">
                  <c:v>106.4445037841797</c:v>
                </c:pt>
                <c:pt idx="292">
                  <c:v>100.4099655151367</c:v>
                </c:pt>
                <c:pt idx="293">
                  <c:v>93.94793701171875</c:v>
                </c:pt>
                <c:pt idx="294">
                  <c:v>88.619247436523438</c:v>
                </c:pt>
                <c:pt idx="295">
                  <c:v>86.968948364257812</c:v>
                </c:pt>
                <c:pt idx="296">
                  <c:v>80.675926208496094</c:v>
                </c:pt>
                <c:pt idx="297">
                  <c:v>91.015167236328125</c:v>
                </c:pt>
                <c:pt idx="298">
                  <c:v>89.812240600585938</c:v>
                </c:pt>
                <c:pt idx="299">
                  <c:v>98.192985534667969</c:v>
                </c:pt>
                <c:pt idx="300">
                  <c:v>96.731582641601562</c:v>
                </c:pt>
                <c:pt idx="301">
                  <c:v>95.807014465332031</c:v>
                </c:pt>
                <c:pt idx="302">
                  <c:v>93.808753967285156</c:v>
                </c:pt>
                <c:pt idx="303">
                  <c:v>92.556114196777344</c:v>
                </c:pt>
                <c:pt idx="304">
                  <c:v>86.461929321289062</c:v>
                </c:pt>
                <c:pt idx="305">
                  <c:v>89.056686401367188</c:v>
                </c:pt>
                <c:pt idx="306">
                  <c:v>90.935638427734375</c:v>
                </c:pt>
                <c:pt idx="307">
                  <c:v>88.072456359863281</c:v>
                </c:pt>
                <c:pt idx="308">
                  <c:v>84.006355285644531</c:v>
                </c:pt>
                <c:pt idx="309">
                  <c:v>84.69232177734375</c:v>
                </c:pt>
                <c:pt idx="310">
                  <c:v>87.505790710449219</c:v>
                </c:pt>
                <c:pt idx="311">
                  <c:v>83.737930297851562</c:v>
                </c:pt>
                <c:pt idx="312">
                  <c:v>88.748489379882812</c:v>
                </c:pt>
                <c:pt idx="313">
                  <c:v>91.23388671875</c:v>
                </c:pt>
                <c:pt idx="314">
                  <c:v>90.150253295898438</c:v>
                </c:pt>
                <c:pt idx="315">
                  <c:v>87.644973754882812</c:v>
                </c:pt>
                <c:pt idx="316">
                  <c:v>88.748489379882812</c:v>
                </c:pt>
                <c:pt idx="317">
                  <c:v>85.97479248046875</c:v>
                </c:pt>
                <c:pt idx="318">
                  <c:v>86.392341613769531</c:v>
                </c:pt>
                <c:pt idx="319">
                  <c:v>85.954910278320312</c:v>
                </c:pt>
                <c:pt idx="320">
                  <c:v>84.215126037597656</c:v>
                </c:pt>
                <c:pt idx="321">
                  <c:v>85.209281921386719</c:v>
                </c:pt>
                <c:pt idx="322">
                  <c:v>84.513374328613281</c:v>
                </c:pt>
                <c:pt idx="323">
                  <c:v>82.753715515136719</c:v>
                </c:pt>
                <c:pt idx="324">
                  <c:v>84.990570068359375</c:v>
                </c:pt>
                <c:pt idx="325">
                  <c:v>82.266578674316406</c:v>
                </c:pt>
                <c:pt idx="326">
                  <c:v>81.80926513671875</c:v>
                </c:pt>
                <c:pt idx="327">
                  <c:v>84.60284423828125</c:v>
                </c:pt>
                <c:pt idx="328">
                  <c:v>87.5853271484375</c:v>
                </c:pt>
                <c:pt idx="329">
                  <c:v>90.408737182617188</c:v>
                </c:pt>
                <c:pt idx="330">
                  <c:v>91.343238830566406</c:v>
                </c:pt>
                <c:pt idx="331">
                  <c:v>90.29937744140625</c:v>
                </c:pt>
                <c:pt idx="332">
                  <c:v>87.605209350585938</c:v>
                </c:pt>
                <c:pt idx="333">
                  <c:v>85.795845031738281</c:v>
                </c:pt>
                <c:pt idx="334">
                  <c:v>82.66424560546875</c:v>
                </c:pt>
                <c:pt idx="335">
                  <c:v>81.620376586914062</c:v>
                </c:pt>
                <c:pt idx="336">
                  <c:v>76.748992919921875</c:v>
                </c:pt>
                <c:pt idx="337">
                  <c:v>75.774726867675781</c:v>
                </c:pt>
                <c:pt idx="338">
                  <c:v>74.015068054199219</c:v>
                </c:pt>
                <c:pt idx="339">
                  <c:v>74.710975646972656</c:v>
                </c:pt>
                <c:pt idx="340">
                  <c:v>71.678794860839844</c:v>
                </c:pt>
                <c:pt idx="341">
                  <c:v>72.563591003417969</c:v>
                </c:pt>
                <c:pt idx="342">
                  <c:v>68.736091613769531</c:v>
                </c:pt>
                <c:pt idx="343">
                  <c:v>68.696319580078125</c:v>
                </c:pt>
                <c:pt idx="344">
                  <c:v>72.116226196289062</c:v>
                </c:pt>
                <c:pt idx="345">
                  <c:v>70.903350830078125</c:v>
                </c:pt>
                <c:pt idx="346">
                  <c:v>71.937278747558594</c:v>
                </c:pt>
                <c:pt idx="347">
                  <c:v>74.621498107910156</c:v>
                </c:pt>
                <c:pt idx="348">
                  <c:v>77.703392028808594</c:v>
                </c:pt>
                <c:pt idx="349">
                  <c:v>78.051353454589844</c:v>
                </c:pt>
                <c:pt idx="350">
                  <c:v>77.345504760742188</c:v>
                </c:pt>
                <c:pt idx="351">
                  <c:v>76.997535705566406</c:v>
                </c:pt>
                <c:pt idx="352">
                  <c:v>78.846672058105469</c:v>
                </c:pt>
                <c:pt idx="353">
                  <c:v>78.856613159179688</c:v>
                </c:pt>
                <c:pt idx="354">
                  <c:v>78.647842407226562</c:v>
                </c:pt>
                <c:pt idx="355">
                  <c:v>78.309829711914062</c:v>
                </c:pt>
                <c:pt idx="356">
                  <c:v>77.216255187988281</c:v>
                </c:pt>
                <c:pt idx="357">
                  <c:v>75.118583679199219</c:v>
                </c:pt>
                <c:pt idx="358">
                  <c:v>76.391105651855469</c:v>
                </c:pt>
                <c:pt idx="359">
                  <c:v>76.112739562988281</c:v>
                </c:pt>
                <c:pt idx="360">
                  <c:v>76.510398864746094</c:v>
                </c:pt>
                <c:pt idx="361">
                  <c:v>76.162452697753906</c:v>
                </c:pt>
                <c:pt idx="362">
                  <c:v>78.260124206542969</c:v>
                </c:pt>
                <c:pt idx="363">
                  <c:v>79.35369873046875</c:v>
                </c:pt>
                <c:pt idx="364">
                  <c:v>80.308090209960938</c:v>
                </c:pt>
                <c:pt idx="365">
                  <c:v>78.309829711914062</c:v>
                </c:pt>
                <c:pt idx="366">
                  <c:v>79.492881774902344</c:v>
                </c:pt>
                <c:pt idx="367">
                  <c:v>82.614532470703125</c:v>
                </c:pt>
                <c:pt idx="368">
                  <c:v>81.988212585449219</c:v>
                </c:pt>
                <c:pt idx="369">
                  <c:v>81.520957946777344</c:v>
                </c:pt>
                <c:pt idx="370">
                  <c:v>81.938507080078125</c:v>
                </c:pt>
                <c:pt idx="371">
                  <c:v>83.618637084960938</c:v>
                </c:pt>
                <c:pt idx="372">
                  <c:v>84.443794250488281</c:v>
                </c:pt>
                <c:pt idx="373">
                  <c:v>85.070098876953125</c:v>
                </c:pt>
                <c:pt idx="374">
                  <c:v>90.418670654296875</c:v>
                </c:pt>
                <c:pt idx="375">
                  <c:v>91.243827819824219</c:v>
                </c:pt>
                <c:pt idx="376">
                  <c:v>88.808143615722656</c:v>
                </c:pt>
                <c:pt idx="377">
                  <c:v>87.804039001464844</c:v>
                </c:pt>
                <c:pt idx="378">
                  <c:v>87.66485595703125</c:v>
                </c:pt>
                <c:pt idx="379">
                  <c:v>88.668960571289062</c:v>
                </c:pt>
                <c:pt idx="380">
                  <c:v>88.659019470214844</c:v>
                </c:pt>
                <c:pt idx="381">
                  <c:v>86.471870422363281</c:v>
                </c:pt>
                <c:pt idx="382">
                  <c:v>87.694679260253906</c:v>
                </c:pt>
                <c:pt idx="383">
                  <c:v>89.156089782714844</c:v>
                </c:pt>
                <c:pt idx="384">
                  <c:v>88.032699584960938</c:v>
                </c:pt>
                <c:pt idx="385">
                  <c:v>83.370094299316406</c:v>
                </c:pt>
                <c:pt idx="386">
                  <c:v>81.749618530273438</c:v>
                </c:pt>
                <c:pt idx="387">
                  <c:v>80.158966064453125</c:v>
                </c:pt>
                <c:pt idx="388">
                  <c:v>80.626220703125</c:v>
                </c:pt>
                <c:pt idx="389">
                  <c:v>82.445533752441406</c:v>
                </c:pt>
                <c:pt idx="390">
                  <c:v>85.905204772949219</c:v>
                </c:pt>
                <c:pt idx="391">
                  <c:v>85.129753112792969</c:v>
                </c:pt>
                <c:pt idx="392">
                  <c:v>82.972427368164062</c:v>
                </c:pt>
                <c:pt idx="393">
                  <c:v>81.789375305175781</c:v>
                </c:pt>
                <c:pt idx="394">
                  <c:v>80.049606323242188</c:v>
                </c:pt>
                <c:pt idx="395">
                  <c:v>83.380043029785156</c:v>
                </c:pt>
                <c:pt idx="396">
                  <c:v>83.817466735839844</c:v>
                </c:pt>
                <c:pt idx="397">
                  <c:v>85.169517517089844</c:v>
                </c:pt>
                <c:pt idx="398">
                  <c:v>84.9508056640625</c:v>
                </c:pt>
                <c:pt idx="399">
                  <c:v>87.982986450195312</c:v>
                </c:pt>
                <c:pt idx="400">
                  <c:v>87.883575439453125</c:v>
                </c:pt>
                <c:pt idx="401">
                  <c:v>86.531524658203125</c:v>
                </c:pt>
                <c:pt idx="402">
                  <c:v>85.736183166503906</c:v>
                </c:pt>
                <c:pt idx="403">
                  <c:v>87.57537841796875</c:v>
                </c:pt>
                <c:pt idx="404">
                  <c:v>87.048477172851562</c:v>
                </c:pt>
                <c:pt idx="405">
                  <c:v>85.368354797363281</c:v>
                </c:pt>
                <c:pt idx="406">
                  <c:v>85.070098876953125</c:v>
                </c:pt>
                <c:pt idx="407">
                  <c:v>82.336174011230469</c:v>
                </c:pt>
                <c:pt idx="408">
                  <c:v>80.109260559082031</c:v>
                </c:pt>
                <c:pt idx="409">
                  <c:v>78.031463623046875</c:v>
                </c:pt>
                <c:pt idx="410">
                  <c:v>78.707489013671875</c:v>
                </c:pt>
                <c:pt idx="411">
                  <c:v>77.554267883300781</c:v>
                </c:pt>
                <c:pt idx="412">
                  <c:v>79.1846923828125</c:v>
                </c:pt>
                <c:pt idx="413">
                  <c:v>81.600494384765625</c:v>
                </c:pt>
                <c:pt idx="414">
                  <c:v>81.878852844238281</c:v>
                </c:pt>
                <c:pt idx="415">
                  <c:v>82.962486267089844</c:v>
                </c:pt>
                <c:pt idx="416">
                  <c:v>82.515121459960938</c:v>
                </c:pt>
                <c:pt idx="417">
                  <c:v>83.618637084960938</c:v>
                </c:pt>
                <c:pt idx="418">
                  <c:v>85.606948852539062</c:v>
                </c:pt>
                <c:pt idx="419">
                  <c:v>85.129753112792969</c:v>
                </c:pt>
                <c:pt idx="420">
                  <c:v>85.527420043945312</c:v>
                </c:pt>
                <c:pt idx="421">
                  <c:v>86.501693725585938</c:v>
                </c:pt>
                <c:pt idx="422">
                  <c:v>85.537361145019531</c:v>
                </c:pt>
                <c:pt idx="423">
                  <c:v>84.722152709960938</c:v>
                </c:pt>
                <c:pt idx="424">
                  <c:v>83.25079345703125</c:v>
                </c:pt>
                <c:pt idx="425">
                  <c:v>83.887054443359375</c:v>
                </c:pt>
                <c:pt idx="426">
                  <c:v>82.843193054199219</c:v>
                </c:pt>
                <c:pt idx="427">
                  <c:v>84.503433227539062</c:v>
                </c:pt>
                <c:pt idx="428">
                  <c:v>83.807525634765625</c:v>
                </c:pt>
                <c:pt idx="429">
                  <c:v>83.658401489257812</c:v>
                </c:pt>
                <c:pt idx="430">
                  <c:v>82.704010009765625</c:v>
                </c:pt>
                <c:pt idx="431">
                  <c:v>84.722152709960938</c:v>
                </c:pt>
                <c:pt idx="432">
                  <c:v>80.397567749023438</c:v>
                </c:pt>
                <c:pt idx="433">
                  <c:v>81.30224609375</c:v>
                </c:pt>
                <c:pt idx="434">
                  <c:v>82.763656616210938</c:v>
                </c:pt>
                <c:pt idx="435">
                  <c:v>82.584709167480469</c:v>
                </c:pt>
                <c:pt idx="436">
                  <c:v>80.069496154785156</c:v>
                </c:pt>
                <c:pt idx="437">
                  <c:v>81.580612182617188</c:v>
                </c:pt>
                <c:pt idx="438">
                  <c:v>79.234390258789062</c:v>
                </c:pt>
                <c:pt idx="439">
                  <c:v>77.9022216796875</c:v>
                </c:pt>
                <c:pt idx="440">
                  <c:v>79.482933044433594</c:v>
                </c:pt>
                <c:pt idx="441">
                  <c:v>80.586456298828125</c:v>
                </c:pt>
                <c:pt idx="442">
                  <c:v>76.848419189453125</c:v>
                </c:pt>
                <c:pt idx="443">
                  <c:v>77.256027221679688</c:v>
                </c:pt>
                <c:pt idx="444">
                  <c:v>77.23614501953125</c:v>
                </c:pt>
                <c:pt idx="445">
                  <c:v>78.936149597167969</c:v>
                </c:pt>
                <c:pt idx="446">
                  <c:v>78.071235656738281</c:v>
                </c:pt>
                <c:pt idx="447">
                  <c:v>80.914527893066406</c:v>
                </c:pt>
                <c:pt idx="448">
                  <c:v>85.368354797363281</c:v>
                </c:pt>
                <c:pt idx="449">
                  <c:v>87.515731811523438</c:v>
                </c:pt>
                <c:pt idx="450">
                  <c:v>86.959007263183594</c:v>
                </c:pt>
                <c:pt idx="451">
                  <c:v>86.640876770019531</c:v>
                </c:pt>
                <c:pt idx="452">
                  <c:v>87.466026306152344</c:v>
                </c:pt>
                <c:pt idx="453">
                  <c:v>90.97540283203125</c:v>
                </c:pt>
                <c:pt idx="454">
                  <c:v>89.62335205078125</c:v>
                </c:pt>
                <c:pt idx="455">
                  <c:v>89.633293151855469</c:v>
                </c:pt>
                <c:pt idx="456">
                  <c:v>87.92333984375</c:v>
                </c:pt>
                <c:pt idx="457">
                  <c:v>90.4683837890625</c:v>
                </c:pt>
                <c:pt idx="458">
                  <c:v>89.166038513183594</c:v>
                </c:pt>
                <c:pt idx="459">
                  <c:v>93.639747619628906</c:v>
                </c:pt>
                <c:pt idx="460">
                  <c:v>97.427490234375</c:v>
                </c:pt>
                <c:pt idx="461">
                  <c:v>98.521064758300781</c:v>
                </c:pt>
                <c:pt idx="462">
                  <c:v>99.942710876464844</c:v>
                </c:pt>
                <c:pt idx="463">
                  <c:v>96.731582641601562</c:v>
                </c:pt>
                <c:pt idx="464">
                  <c:v>96.582450866699219</c:v>
                </c:pt>
                <c:pt idx="465">
                  <c:v>96.791229248046875</c:v>
                </c:pt>
                <c:pt idx="466">
                  <c:v>95.200576782226562</c:v>
                </c:pt>
                <c:pt idx="467">
                  <c:v>96.035667419433594</c:v>
                </c:pt>
                <c:pt idx="468">
                  <c:v>95.270172119140625</c:v>
                </c:pt>
                <c:pt idx="469">
                  <c:v>92.645591735839844</c:v>
                </c:pt>
                <c:pt idx="470">
                  <c:v>98.043876647949219</c:v>
                </c:pt>
                <c:pt idx="471">
                  <c:v>99.028083801269531</c:v>
                </c:pt>
                <c:pt idx="472">
                  <c:v>97.427490234375</c:v>
                </c:pt>
                <c:pt idx="473">
                  <c:v>96.940353393554688</c:v>
                </c:pt>
                <c:pt idx="474">
                  <c:v>96.572517395019531</c:v>
                </c:pt>
                <c:pt idx="475">
                  <c:v>94.4549560546875</c:v>
                </c:pt>
                <c:pt idx="476">
                  <c:v>97.546791076660156</c:v>
                </c:pt>
                <c:pt idx="477">
                  <c:v>95.469001770019531</c:v>
                </c:pt>
                <c:pt idx="478">
                  <c:v>92.914009094238281</c:v>
                </c:pt>
                <c:pt idx="479">
                  <c:v>93.152603149414062</c:v>
                </c:pt>
                <c:pt idx="480">
                  <c:v>90.140312194824219</c:v>
                </c:pt>
                <c:pt idx="481">
                  <c:v>91.790611267089844</c:v>
                </c:pt>
                <c:pt idx="482">
                  <c:v>88.967201232910156</c:v>
                </c:pt>
                <c:pt idx="483">
                  <c:v>85.895256042480469</c:v>
                </c:pt>
                <c:pt idx="484">
                  <c:v>85.825668334960938</c:v>
                </c:pt>
                <c:pt idx="485">
                  <c:v>81.680030822753906</c:v>
                </c:pt>
                <c:pt idx="486">
                  <c:v>82.813369750976562</c:v>
                </c:pt>
                <c:pt idx="487">
                  <c:v>85.825668334960938</c:v>
                </c:pt>
                <c:pt idx="488">
                  <c:v>86.442047119140625</c:v>
                </c:pt>
                <c:pt idx="489">
                  <c:v>83.320381164550781</c:v>
                </c:pt>
                <c:pt idx="490">
                  <c:v>83.151382446289062</c:v>
                </c:pt>
                <c:pt idx="491">
                  <c:v>83.300506591796875</c:v>
                </c:pt>
                <c:pt idx="492">
                  <c:v>80.089370727539062</c:v>
                </c:pt>
                <c:pt idx="493">
                  <c:v>80.954292297363281</c:v>
                </c:pt>
                <c:pt idx="494">
                  <c:v>78.309829711914062</c:v>
                </c:pt>
                <c:pt idx="495">
                  <c:v>78.578254699707031</c:v>
                </c:pt>
                <c:pt idx="496">
                  <c:v>73.3291015625</c:v>
                </c:pt>
                <c:pt idx="497">
                  <c:v>77.48468017578125</c:v>
                </c:pt>
                <c:pt idx="498">
                  <c:v>77.355438232421875</c:v>
                </c:pt>
                <c:pt idx="499">
                  <c:v>77.454864501953125</c:v>
                </c:pt>
                <c:pt idx="500">
                  <c:v>76.729118347167969</c:v>
                </c:pt>
                <c:pt idx="501">
                  <c:v>75.556007385253906</c:v>
                </c:pt>
                <c:pt idx="502">
                  <c:v>75.0191650390625</c:v>
                </c:pt>
                <c:pt idx="503">
                  <c:v>77.2261962890625</c:v>
                </c:pt>
                <c:pt idx="504">
                  <c:v>76.520347595214844</c:v>
                </c:pt>
                <c:pt idx="505">
                  <c:v>78.031463623046875</c:v>
                </c:pt>
                <c:pt idx="506">
                  <c:v>75.8741455078125</c:v>
                </c:pt>
                <c:pt idx="507">
                  <c:v>70.793998718261719</c:v>
                </c:pt>
                <c:pt idx="508">
                  <c:v>70.217384338378906</c:v>
                </c:pt>
                <c:pt idx="509">
                  <c:v>70.336685180664062</c:v>
                </c:pt>
                <c:pt idx="510">
                  <c:v>70.286972045898438</c:v>
                </c:pt>
                <c:pt idx="511">
                  <c:v>71.489913940429688</c:v>
                </c:pt>
                <c:pt idx="512">
                  <c:v>71.808036804199219</c:v>
                </c:pt>
                <c:pt idx="513">
                  <c:v>70.217384338378906</c:v>
                </c:pt>
                <c:pt idx="514">
                  <c:v>70.038429260253906</c:v>
                </c:pt>
                <c:pt idx="515">
                  <c:v>67.036079406738281</c:v>
                </c:pt>
                <c:pt idx="516">
                  <c:v>66.548942565917969</c:v>
                </c:pt>
                <c:pt idx="517">
                  <c:v>66.598648071289062</c:v>
                </c:pt>
                <c:pt idx="518">
                  <c:v>63.367633819580078</c:v>
                </c:pt>
                <c:pt idx="519">
                  <c:v>64.043655395507812</c:v>
                </c:pt>
                <c:pt idx="520">
                  <c:v>62.005638122558587</c:v>
                </c:pt>
                <c:pt idx="521">
                  <c:v>62.12493896484375</c:v>
                </c:pt>
                <c:pt idx="522">
                  <c:v>59.788665771484382</c:v>
                </c:pt>
                <c:pt idx="523">
                  <c:v>60.156501770019531</c:v>
                </c:pt>
                <c:pt idx="524">
                  <c:v>65.09747314453125</c:v>
                </c:pt>
                <c:pt idx="525">
                  <c:v>64.829048156738281</c:v>
                </c:pt>
                <c:pt idx="526">
                  <c:v>63.626117706298828</c:v>
                </c:pt>
                <c:pt idx="527">
                  <c:v>61.081069946289062</c:v>
                </c:pt>
                <c:pt idx="528">
                  <c:v>63.039562225341797</c:v>
                </c:pt>
                <c:pt idx="529">
                  <c:v>62.522598266601562</c:v>
                </c:pt>
                <c:pt idx="530">
                  <c:v>63.427284240722663</c:v>
                </c:pt>
                <c:pt idx="531">
                  <c:v>66.439582824707031</c:v>
                </c:pt>
                <c:pt idx="532">
                  <c:v>64.66998291015625</c:v>
                </c:pt>
                <c:pt idx="533">
                  <c:v>62.214412689208977</c:v>
                </c:pt>
                <c:pt idx="534">
                  <c:v>61.369373321533203</c:v>
                </c:pt>
                <c:pt idx="535">
                  <c:v>65.167068481445312</c:v>
                </c:pt>
                <c:pt idx="536">
                  <c:v>65.27642822265625</c:v>
                </c:pt>
                <c:pt idx="537">
                  <c:v>63.586349487304688</c:v>
                </c:pt>
                <c:pt idx="538">
                  <c:v>62.114994049072273</c:v>
                </c:pt>
                <c:pt idx="539">
                  <c:v>59.798606872558587</c:v>
                </c:pt>
                <c:pt idx="540">
                  <c:v>59.311470031738281</c:v>
                </c:pt>
                <c:pt idx="541">
                  <c:v>64.42144775390625</c:v>
                </c:pt>
                <c:pt idx="542">
                  <c:v>66.031982421875</c:v>
                </c:pt>
                <c:pt idx="543">
                  <c:v>71.052474975585938</c:v>
                </c:pt>
                <c:pt idx="544">
                  <c:v>72.414466857910156</c:v>
                </c:pt>
                <c:pt idx="545">
                  <c:v>69.939018249511719</c:v>
                </c:pt>
                <c:pt idx="546">
                  <c:v>67.930824279785156</c:v>
                </c:pt>
                <c:pt idx="547">
                  <c:v>67.562980651855469</c:v>
                </c:pt>
                <c:pt idx="548">
                  <c:v>69.581123352050781</c:v>
                </c:pt>
                <c:pt idx="549">
                  <c:v>76.063034057617188</c:v>
                </c:pt>
                <c:pt idx="550">
                  <c:v>76.371223449707031</c:v>
                </c:pt>
                <c:pt idx="551">
                  <c:v>74.561851501464844</c:v>
                </c:pt>
                <c:pt idx="552">
                  <c:v>73.199851989746094</c:v>
                </c:pt>
                <c:pt idx="553">
                  <c:v>68.696319580078125</c:v>
                </c:pt>
                <c:pt idx="554">
                  <c:v>70.913299560546875</c:v>
                </c:pt>
                <c:pt idx="555">
                  <c:v>75.168296813964844</c:v>
                </c:pt>
                <c:pt idx="556">
                  <c:v>74.740806579589844</c:v>
                </c:pt>
                <c:pt idx="557">
                  <c:v>75.595779418945312</c:v>
                </c:pt>
                <c:pt idx="558">
                  <c:v>75.138465881347656</c:v>
                </c:pt>
                <c:pt idx="559">
                  <c:v>76.3016357421875</c:v>
                </c:pt>
                <c:pt idx="560">
                  <c:v>75.744903564453125</c:v>
                </c:pt>
                <c:pt idx="561">
                  <c:v>76.7987060546875</c:v>
                </c:pt>
                <c:pt idx="562">
                  <c:v>74.919754028320312</c:v>
                </c:pt>
                <c:pt idx="563">
                  <c:v>75.526191711425781</c:v>
                </c:pt>
                <c:pt idx="564">
                  <c:v>76.609817504882812</c:v>
                </c:pt>
                <c:pt idx="565">
                  <c:v>75.337295532226562</c:v>
                </c:pt>
                <c:pt idx="566">
                  <c:v>75.0191650390625</c:v>
                </c:pt>
                <c:pt idx="567">
                  <c:v>75.764785766601562</c:v>
                </c:pt>
                <c:pt idx="568">
                  <c:v>78.946090698242188</c:v>
                </c:pt>
                <c:pt idx="569">
                  <c:v>76.898124694824219</c:v>
                </c:pt>
                <c:pt idx="570">
                  <c:v>74.899864196777344</c:v>
                </c:pt>
                <c:pt idx="571">
                  <c:v>74.114486694335938</c:v>
                </c:pt>
                <c:pt idx="572">
                  <c:v>72.285232543945312</c:v>
                </c:pt>
                <c:pt idx="573">
                  <c:v>71.798095703125</c:v>
                </c:pt>
                <c:pt idx="574">
                  <c:v>71.291069030761719</c:v>
                </c:pt>
                <c:pt idx="575">
                  <c:v>72.573539733886719</c:v>
                </c:pt>
                <c:pt idx="576">
                  <c:v>71.619148254394531</c:v>
                </c:pt>
                <c:pt idx="577">
                  <c:v>71.241371154785156</c:v>
                </c:pt>
                <c:pt idx="578">
                  <c:v>72.832023620605469</c:v>
                </c:pt>
                <c:pt idx="579">
                  <c:v>69.42205810546875</c:v>
                </c:pt>
                <c:pt idx="580">
                  <c:v>64.630218505859375</c:v>
                </c:pt>
                <c:pt idx="581">
                  <c:v>64.123199462890625</c:v>
                </c:pt>
                <c:pt idx="582">
                  <c:v>63.596294403076172</c:v>
                </c:pt>
                <c:pt idx="583">
                  <c:v>61.995697021484382</c:v>
                </c:pt>
                <c:pt idx="584">
                  <c:v>63.785186767578118</c:v>
                </c:pt>
                <c:pt idx="585">
                  <c:v>64.371734619140625</c:v>
                </c:pt>
                <c:pt idx="586">
                  <c:v>63.854774475097663</c:v>
                </c:pt>
                <c:pt idx="587">
                  <c:v>64.600395202636719</c:v>
                </c:pt>
                <c:pt idx="588">
                  <c:v>66.698066711425781</c:v>
                </c:pt>
                <c:pt idx="589">
                  <c:v>70.137847900390625</c:v>
                </c:pt>
                <c:pt idx="590">
                  <c:v>67.0460205078125</c:v>
                </c:pt>
                <c:pt idx="591">
                  <c:v>64.391609191894531</c:v>
                </c:pt>
                <c:pt idx="592">
                  <c:v>59.560009002685547</c:v>
                </c:pt>
                <c:pt idx="593">
                  <c:v>59.967613220214837</c:v>
                </c:pt>
                <c:pt idx="594">
                  <c:v>57.452396392822273</c:v>
                </c:pt>
                <c:pt idx="595">
                  <c:v>57.253559112548828</c:v>
                </c:pt>
                <c:pt idx="596">
                  <c:v>61.349491119384773</c:v>
                </c:pt>
                <c:pt idx="597">
                  <c:v>60.385162353515618</c:v>
                </c:pt>
                <c:pt idx="598">
                  <c:v>63.616176605224609</c:v>
                </c:pt>
                <c:pt idx="599">
                  <c:v>63.467048645019531</c:v>
                </c:pt>
                <c:pt idx="600">
                  <c:v>66.330223083496094</c:v>
                </c:pt>
                <c:pt idx="601">
                  <c:v>66.7974853515625</c:v>
                </c:pt>
                <c:pt idx="602">
                  <c:v>67.37408447265625</c:v>
                </c:pt>
                <c:pt idx="603">
                  <c:v>65.922615051269531</c:v>
                </c:pt>
                <c:pt idx="604">
                  <c:v>67.016197204589844</c:v>
                </c:pt>
                <c:pt idx="605">
                  <c:v>69.312705993652344</c:v>
                </c:pt>
                <c:pt idx="606">
                  <c:v>70.86358642578125</c:v>
                </c:pt>
                <c:pt idx="607">
                  <c:v>70.684638977050781</c:v>
                </c:pt>
                <c:pt idx="608">
                  <c:v>69.809776306152344</c:v>
                </c:pt>
                <c:pt idx="609">
                  <c:v>73.637290954589844</c:v>
                </c:pt>
                <c:pt idx="610">
                  <c:v>73.219749450683594</c:v>
                </c:pt>
                <c:pt idx="611">
                  <c:v>76.341400146484375</c:v>
                </c:pt>
                <c:pt idx="612">
                  <c:v>77.106895446777344</c:v>
                </c:pt>
                <c:pt idx="613">
                  <c:v>76.063034057617188</c:v>
                </c:pt>
                <c:pt idx="614">
                  <c:v>74.194015502929688</c:v>
                </c:pt>
                <c:pt idx="615">
                  <c:v>73.010971069335938</c:v>
                </c:pt>
                <c:pt idx="616">
                  <c:v>68.427902221679688</c:v>
                </c:pt>
                <c:pt idx="617">
                  <c:v>67.741928100585938</c:v>
                </c:pt>
                <c:pt idx="618">
                  <c:v>69.779960632324219</c:v>
                </c:pt>
                <c:pt idx="619">
                  <c:v>65.823204040527344</c:v>
                </c:pt>
                <c:pt idx="620">
                  <c:v>69.720298767089844</c:v>
                </c:pt>
                <c:pt idx="621">
                  <c:v>71.0325927734375</c:v>
                </c:pt>
                <c:pt idx="622">
                  <c:v>70.694580078125</c:v>
                </c:pt>
                <c:pt idx="623">
                  <c:v>72.603363037109375</c:v>
                </c:pt>
                <c:pt idx="624">
                  <c:v>73.339035034179688</c:v>
                </c:pt>
                <c:pt idx="625">
                  <c:v>74.601615905761719</c:v>
                </c:pt>
                <c:pt idx="626">
                  <c:v>71.788154602050781</c:v>
                </c:pt>
                <c:pt idx="627">
                  <c:v>68.9150390625</c:v>
                </c:pt>
                <c:pt idx="628">
                  <c:v>70.972946166992188</c:v>
                </c:pt>
                <c:pt idx="629">
                  <c:v>71.579383850097656</c:v>
                </c:pt>
                <c:pt idx="630">
                  <c:v>71.201606750488281</c:v>
                </c:pt>
                <c:pt idx="631">
                  <c:v>70.644874572753906</c:v>
                </c:pt>
                <c:pt idx="632">
                  <c:v>74.581733703613281</c:v>
                </c:pt>
                <c:pt idx="633">
                  <c:v>76.232040405273438</c:v>
                </c:pt>
                <c:pt idx="634">
                  <c:v>72.623245239257812</c:v>
                </c:pt>
                <c:pt idx="635">
                  <c:v>70.197502136230469</c:v>
                </c:pt>
                <c:pt idx="636">
                  <c:v>70.704521179199219</c:v>
                </c:pt>
                <c:pt idx="637">
                  <c:v>70.724403381347656</c:v>
                </c:pt>
                <c:pt idx="638">
                  <c:v>69.302757263183594</c:v>
                </c:pt>
                <c:pt idx="639">
                  <c:v>70.95306396484375</c:v>
                </c:pt>
                <c:pt idx="640">
                  <c:v>72.185813903808594</c:v>
                </c:pt>
                <c:pt idx="641">
                  <c:v>72.921493530273438</c:v>
                </c:pt>
                <c:pt idx="642">
                  <c:v>72.692840576171875</c:v>
                </c:pt>
                <c:pt idx="643">
                  <c:v>71.619148254394531</c:v>
                </c:pt>
                <c:pt idx="644">
                  <c:v>72.782310485839844</c:v>
                </c:pt>
                <c:pt idx="645">
                  <c:v>72.205696105957031</c:v>
                </c:pt>
                <c:pt idx="646">
                  <c:v>76.639640808105469</c:v>
                </c:pt>
                <c:pt idx="647">
                  <c:v>82.395820617675781</c:v>
                </c:pt>
                <c:pt idx="648">
                  <c:v>85.070098876953125</c:v>
                </c:pt>
                <c:pt idx="649">
                  <c:v>82.863075256347656</c:v>
                </c:pt>
                <c:pt idx="650">
                  <c:v>83.67828369140625</c:v>
                </c:pt>
                <c:pt idx="651">
                  <c:v>81.292304992675781</c:v>
                </c:pt>
                <c:pt idx="652">
                  <c:v>82.972427368164062</c:v>
                </c:pt>
                <c:pt idx="653">
                  <c:v>84.274772644042969</c:v>
                </c:pt>
                <c:pt idx="654">
                  <c:v>84.87127685546875</c:v>
                </c:pt>
                <c:pt idx="655">
                  <c:v>85.348472595214844</c:v>
                </c:pt>
                <c:pt idx="656">
                  <c:v>89.603462219238281</c:v>
                </c:pt>
                <c:pt idx="657">
                  <c:v>87.41632080078125</c:v>
                </c:pt>
                <c:pt idx="658">
                  <c:v>88.559600830078125</c:v>
                </c:pt>
                <c:pt idx="659">
                  <c:v>88.370712280273438</c:v>
                </c:pt>
                <c:pt idx="660">
                  <c:v>87.137954711914062</c:v>
                </c:pt>
                <c:pt idx="661">
                  <c:v>86.123908996582031</c:v>
                </c:pt>
                <c:pt idx="662">
                  <c:v>87.157829284667969</c:v>
                </c:pt>
                <c:pt idx="663">
                  <c:v>84.324485778808594</c:v>
                </c:pt>
                <c:pt idx="664">
                  <c:v>82.843193054199219</c:v>
                </c:pt>
                <c:pt idx="665">
                  <c:v>83.429740905761719</c:v>
                </c:pt>
                <c:pt idx="666">
                  <c:v>85.149642944335938</c:v>
                </c:pt>
                <c:pt idx="667">
                  <c:v>86.9788818359375</c:v>
                </c:pt>
                <c:pt idx="668">
                  <c:v>85.219230651855469</c:v>
                </c:pt>
                <c:pt idx="669">
                  <c:v>84.215126037597656</c:v>
                </c:pt>
                <c:pt idx="670">
                  <c:v>83.141433715820312</c:v>
                </c:pt>
                <c:pt idx="671">
                  <c:v>83.837348937988281</c:v>
                </c:pt>
                <c:pt idx="672">
                  <c:v>82.306350708007812</c:v>
                </c:pt>
                <c:pt idx="673">
                  <c:v>80.367729187011719</c:v>
                </c:pt>
                <c:pt idx="674">
                  <c:v>81.868919372558594</c:v>
                </c:pt>
                <c:pt idx="675">
                  <c:v>86.909294128417969</c:v>
                </c:pt>
                <c:pt idx="676">
                  <c:v>87.237373352050781</c:v>
                </c:pt>
                <c:pt idx="677">
                  <c:v>87.277137756347656</c:v>
                </c:pt>
                <c:pt idx="678">
                  <c:v>87.684738159179688</c:v>
                </c:pt>
                <c:pt idx="679">
                  <c:v>86.15374755859375</c:v>
                </c:pt>
                <c:pt idx="680">
                  <c:v>87.8338623046875</c:v>
                </c:pt>
                <c:pt idx="681">
                  <c:v>84.513374328613281</c:v>
                </c:pt>
                <c:pt idx="682">
                  <c:v>84.483558654785156</c:v>
                </c:pt>
                <c:pt idx="683">
                  <c:v>83.797584533691406</c:v>
                </c:pt>
                <c:pt idx="684">
                  <c:v>81.182952880859375</c:v>
                </c:pt>
                <c:pt idx="685">
                  <c:v>80.755462646484375</c:v>
                </c:pt>
                <c:pt idx="686">
                  <c:v>78.011589050292969</c:v>
                </c:pt>
                <c:pt idx="687">
                  <c:v>75.257766723632812</c:v>
                </c:pt>
                <c:pt idx="688">
                  <c:v>73.9156494140625</c:v>
                </c:pt>
                <c:pt idx="689">
                  <c:v>75.476478576660156</c:v>
                </c:pt>
                <c:pt idx="690">
                  <c:v>76.878250122070312</c:v>
                </c:pt>
                <c:pt idx="691">
                  <c:v>72.841957092285156</c:v>
                </c:pt>
                <c:pt idx="692">
                  <c:v>73.179969787597656</c:v>
                </c:pt>
                <c:pt idx="693">
                  <c:v>74.929695129394531</c:v>
                </c:pt>
                <c:pt idx="694">
                  <c:v>77.9022216796875</c:v>
                </c:pt>
                <c:pt idx="695">
                  <c:v>74.820335388183594</c:v>
                </c:pt>
                <c:pt idx="696">
                  <c:v>72.712715148925781</c:v>
                </c:pt>
                <c:pt idx="697">
                  <c:v>70.634933471679688</c:v>
                </c:pt>
                <c:pt idx="698">
                  <c:v>69.680534362792969</c:v>
                </c:pt>
                <c:pt idx="699">
                  <c:v>68.716209411621094</c:v>
                </c:pt>
                <c:pt idx="700">
                  <c:v>66.499229431152344</c:v>
                </c:pt>
                <c:pt idx="701">
                  <c:v>67.175262451171875</c:v>
                </c:pt>
                <c:pt idx="702">
                  <c:v>65.614425659179688</c:v>
                </c:pt>
                <c:pt idx="703">
                  <c:v>66.220870971679688</c:v>
                </c:pt>
                <c:pt idx="704">
                  <c:v>68.06005859375</c:v>
                </c:pt>
                <c:pt idx="705">
                  <c:v>65.713844299316406</c:v>
                </c:pt>
                <c:pt idx="706">
                  <c:v>64.988121032714844</c:v>
                </c:pt>
                <c:pt idx="707">
                  <c:v>66.161224365234375</c:v>
                </c:pt>
                <c:pt idx="708">
                  <c:v>64.481086730957031</c:v>
                </c:pt>
                <c:pt idx="709">
                  <c:v>67.592803955078125</c:v>
                </c:pt>
                <c:pt idx="710">
                  <c:v>70.416213989257812</c:v>
                </c:pt>
                <c:pt idx="711">
                  <c:v>71.171775817871094</c:v>
                </c:pt>
                <c:pt idx="712">
                  <c:v>70.465919494628906</c:v>
                </c:pt>
                <c:pt idx="713">
                  <c:v>70.86358642578125</c:v>
                </c:pt>
                <c:pt idx="714">
                  <c:v>71.330841064453125</c:v>
                </c:pt>
                <c:pt idx="715">
                  <c:v>69.521469116210938</c:v>
                </c:pt>
                <c:pt idx="716">
                  <c:v>72.096336364746094</c:v>
                </c:pt>
                <c:pt idx="717">
                  <c:v>71.937278747558594</c:v>
                </c:pt>
                <c:pt idx="718">
                  <c:v>70.992828369140625</c:v>
                </c:pt>
                <c:pt idx="719">
                  <c:v>73.458343505859375</c:v>
                </c:pt>
                <c:pt idx="720">
                  <c:v>74.154243469238281</c:v>
                </c:pt>
                <c:pt idx="721">
                  <c:v>81.004005432128906</c:v>
                </c:pt>
                <c:pt idx="722">
                  <c:v>79.01568603515625</c:v>
                </c:pt>
                <c:pt idx="723">
                  <c:v>78.787025451660156</c:v>
                </c:pt>
                <c:pt idx="724">
                  <c:v>81.342010498046875</c:v>
                </c:pt>
                <c:pt idx="725">
                  <c:v>81.063652038574219</c:v>
                </c:pt>
                <c:pt idx="726">
                  <c:v>82.137344360351562</c:v>
                </c:pt>
                <c:pt idx="727">
                  <c:v>81.033821105957031</c:v>
                </c:pt>
                <c:pt idx="728">
                  <c:v>80.337913513183594</c:v>
                </c:pt>
                <c:pt idx="729">
                  <c:v>81.013938903808594</c:v>
                </c:pt>
                <c:pt idx="730">
                  <c:v>81.868919372558594</c:v>
                </c:pt>
                <c:pt idx="731">
                  <c:v>82.008094787597656</c:v>
                </c:pt>
                <c:pt idx="732">
                  <c:v>79.989952087402344</c:v>
                </c:pt>
                <c:pt idx="733">
                  <c:v>79.025619506835938</c:v>
                </c:pt>
                <c:pt idx="734">
                  <c:v>83.489402770996094</c:v>
                </c:pt>
                <c:pt idx="735">
                  <c:v>81.023880004882812</c:v>
                </c:pt>
                <c:pt idx="736">
                  <c:v>83.270683288574219</c:v>
                </c:pt>
                <c:pt idx="737">
                  <c:v>81.421546936035156</c:v>
                </c:pt>
                <c:pt idx="738">
                  <c:v>78.627960205078125</c:v>
                </c:pt>
                <c:pt idx="739">
                  <c:v>78.001640319824219</c:v>
                </c:pt>
                <c:pt idx="740">
                  <c:v>78.627960205078125</c:v>
                </c:pt>
                <c:pt idx="741">
                  <c:v>78.160713195800781</c:v>
                </c:pt>
                <c:pt idx="742">
                  <c:v>78.995796203613281</c:v>
                </c:pt>
                <c:pt idx="743">
                  <c:v>80.675926208496094</c:v>
                </c:pt>
                <c:pt idx="744">
                  <c:v>82.2467041015625</c:v>
                </c:pt>
                <c:pt idx="745">
                  <c:v>79.771240234375</c:v>
                </c:pt>
                <c:pt idx="746">
                  <c:v>77.971817016601562</c:v>
                </c:pt>
                <c:pt idx="747">
                  <c:v>76.947837829589844</c:v>
                </c:pt>
                <c:pt idx="748">
                  <c:v>76.361274719238281</c:v>
                </c:pt>
                <c:pt idx="749">
                  <c:v>77.961875915527344</c:v>
                </c:pt>
                <c:pt idx="750">
                  <c:v>75.416831970214844</c:v>
                </c:pt>
                <c:pt idx="751">
                  <c:v>74.42266845703125</c:v>
                </c:pt>
                <c:pt idx="752">
                  <c:v>72.653068542480469</c:v>
                </c:pt>
                <c:pt idx="753">
                  <c:v>71.410377502441406</c:v>
                </c:pt>
                <c:pt idx="754">
                  <c:v>72.653068542480469</c:v>
                </c:pt>
                <c:pt idx="755">
                  <c:v>72.513885498046875</c:v>
                </c:pt>
                <c:pt idx="756">
                  <c:v>71.748382568359375</c:v>
                </c:pt>
                <c:pt idx="757">
                  <c:v>72.871788024902344</c:v>
                </c:pt>
                <c:pt idx="758">
                  <c:v>70.495750427246094</c:v>
                </c:pt>
                <c:pt idx="759">
                  <c:v>73.438461303710938</c:v>
                </c:pt>
                <c:pt idx="760">
                  <c:v>74.273544311523438</c:v>
                </c:pt>
                <c:pt idx="761">
                  <c:v>76.589942932128906</c:v>
                </c:pt>
                <c:pt idx="762">
                  <c:v>79.741416931152344</c:v>
                </c:pt>
                <c:pt idx="763">
                  <c:v>81.202835083007812</c:v>
                </c:pt>
                <c:pt idx="764">
                  <c:v>81.262474060058594</c:v>
                </c:pt>
                <c:pt idx="765">
                  <c:v>81.80926513671875</c:v>
                </c:pt>
                <c:pt idx="766">
                  <c:v>81.312187194824219</c:v>
                </c:pt>
                <c:pt idx="767">
                  <c:v>77.504554748535156</c:v>
                </c:pt>
                <c:pt idx="768">
                  <c:v>79.005744934082031</c:v>
                </c:pt>
                <c:pt idx="769">
                  <c:v>81.13323974609375</c:v>
                </c:pt>
                <c:pt idx="770">
                  <c:v>80.20867919921875</c:v>
                </c:pt>
                <c:pt idx="771">
                  <c:v>78.737319946289062</c:v>
                </c:pt>
                <c:pt idx="772">
                  <c:v>79.01568603515625</c:v>
                </c:pt>
                <c:pt idx="773">
                  <c:v>79.681770324707031</c:v>
                </c:pt>
                <c:pt idx="774">
                  <c:v>77.763046264648438</c:v>
                </c:pt>
                <c:pt idx="775">
                  <c:v>80.327972412109375</c:v>
                </c:pt>
                <c:pt idx="776">
                  <c:v>82.14727783203125</c:v>
                </c:pt>
                <c:pt idx="777">
                  <c:v>81.222709655761719</c:v>
                </c:pt>
                <c:pt idx="778">
                  <c:v>79.26422119140625</c:v>
                </c:pt>
                <c:pt idx="779">
                  <c:v>78.697555541992188</c:v>
                </c:pt>
                <c:pt idx="780">
                  <c:v>78.458946228027344</c:v>
                </c:pt>
                <c:pt idx="781">
                  <c:v>77.564208984375</c:v>
                </c:pt>
                <c:pt idx="782">
                  <c:v>75.95367431640625</c:v>
                </c:pt>
                <c:pt idx="783">
                  <c:v>75.436714172363281</c:v>
                </c:pt>
                <c:pt idx="784">
                  <c:v>76.629707336425781</c:v>
                </c:pt>
                <c:pt idx="785">
                  <c:v>76.082916259765625</c:v>
                </c:pt>
                <c:pt idx="786">
                  <c:v>78.578254699707031</c:v>
                </c:pt>
                <c:pt idx="787">
                  <c:v>75.784675598144531</c:v>
                </c:pt>
                <c:pt idx="788">
                  <c:v>75.257766723632812</c:v>
                </c:pt>
                <c:pt idx="789">
                  <c:v>73.65716552734375</c:v>
                </c:pt>
                <c:pt idx="790">
                  <c:v>73.65716552734375</c:v>
                </c:pt>
                <c:pt idx="791">
                  <c:v>74.213905334472656</c:v>
                </c:pt>
                <c:pt idx="792">
                  <c:v>72.165931701660156</c:v>
                </c:pt>
                <c:pt idx="793">
                  <c:v>73.786415100097656</c:v>
                </c:pt>
                <c:pt idx="794">
                  <c:v>73.856002807617188</c:v>
                </c:pt>
                <c:pt idx="795">
                  <c:v>76.102806091308594</c:v>
                </c:pt>
                <c:pt idx="796">
                  <c:v>75.804550170898438</c:v>
                </c:pt>
                <c:pt idx="797">
                  <c:v>77.743156433105469</c:v>
                </c:pt>
                <c:pt idx="798">
                  <c:v>79.254287719726562</c:v>
                </c:pt>
                <c:pt idx="799">
                  <c:v>78.319770812988281</c:v>
                </c:pt>
                <c:pt idx="800">
                  <c:v>77.892280578613281</c:v>
                </c:pt>
                <c:pt idx="801">
                  <c:v>76.570053100585938</c:v>
                </c:pt>
                <c:pt idx="802">
                  <c:v>74.621498107910156</c:v>
                </c:pt>
                <c:pt idx="803">
                  <c:v>74.691093444824219</c:v>
                </c:pt>
                <c:pt idx="804">
                  <c:v>75.178230285644531</c:v>
                </c:pt>
                <c:pt idx="805">
                  <c:v>72.802192687988281</c:v>
                </c:pt>
                <c:pt idx="806">
                  <c:v>71.827919006347656</c:v>
                </c:pt>
                <c:pt idx="807">
                  <c:v>69.0045166015625</c:v>
                </c:pt>
                <c:pt idx="808">
                  <c:v>70.09808349609375</c:v>
                </c:pt>
                <c:pt idx="809">
                  <c:v>73.647232055664062</c:v>
                </c:pt>
                <c:pt idx="810">
                  <c:v>72.066520690917969</c:v>
                </c:pt>
                <c:pt idx="811">
                  <c:v>73.150154113769531</c:v>
                </c:pt>
                <c:pt idx="812">
                  <c:v>72.553665161132812</c:v>
                </c:pt>
                <c:pt idx="813">
                  <c:v>72.494003295898438</c:v>
                </c:pt>
                <c:pt idx="814">
                  <c:v>72.136100769042969</c:v>
                </c:pt>
                <c:pt idx="815">
                  <c:v>73.766525268554688</c:v>
                </c:pt>
                <c:pt idx="816">
                  <c:v>75.307472229003906</c:v>
                </c:pt>
                <c:pt idx="817">
                  <c:v>77.176483154296875</c:v>
                </c:pt>
                <c:pt idx="818">
                  <c:v>75.913909912109375</c:v>
                </c:pt>
                <c:pt idx="819">
                  <c:v>75.387008666992188</c:v>
                </c:pt>
                <c:pt idx="820">
                  <c:v>73.259513854980469</c:v>
                </c:pt>
                <c:pt idx="821">
                  <c:v>73.249565124511719</c:v>
                </c:pt>
                <c:pt idx="822">
                  <c:v>74.750747680664062</c:v>
                </c:pt>
                <c:pt idx="823">
                  <c:v>75.27764892578125</c:v>
                </c:pt>
                <c:pt idx="824">
                  <c:v>74.203956604003906</c:v>
                </c:pt>
                <c:pt idx="825">
                  <c:v>76.540229797363281</c:v>
                </c:pt>
                <c:pt idx="826">
                  <c:v>75.884086608886719</c:v>
                </c:pt>
                <c:pt idx="827">
                  <c:v>77.9022216796875</c:v>
                </c:pt>
                <c:pt idx="828">
                  <c:v>77.941993713378906</c:v>
                </c:pt>
                <c:pt idx="829">
                  <c:v>77.325607299804688</c:v>
                </c:pt>
                <c:pt idx="830">
                  <c:v>77.176483154296875</c:v>
                </c:pt>
                <c:pt idx="831">
                  <c:v>77.265960693359375</c:v>
                </c:pt>
                <c:pt idx="832">
                  <c:v>77.2261962890625</c:v>
                </c:pt>
                <c:pt idx="833">
                  <c:v>75.178230285644531</c:v>
                </c:pt>
                <c:pt idx="834">
                  <c:v>71.0325927734375</c:v>
                </c:pt>
                <c:pt idx="835">
                  <c:v>72.324996948242188</c:v>
                </c:pt>
                <c:pt idx="836">
                  <c:v>71.569435119628906</c:v>
                </c:pt>
                <c:pt idx="837">
                  <c:v>70.714454650878906</c:v>
                </c:pt>
                <c:pt idx="838">
                  <c:v>68.408012390136719</c:v>
                </c:pt>
                <c:pt idx="839">
                  <c:v>68.308601379394531</c:v>
                </c:pt>
                <c:pt idx="840">
                  <c:v>67.871170043945312</c:v>
                </c:pt>
                <c:pt idx="841">
                  <c:v>69.799835205078125</c:v>
                </c:pt>
                <c:pt idx="842">
                  <c:v>69.541351318359375</c:v>
                </c:pt>
                <c:pt idx="843">
                  <c:v>68.845451354980469</c:v>
                </c:pt>
                <c:pt idx="844">
                  <c:v>69.481704711914062</c:v>
                </c:pt>
                <c:pt idx="845">
                  <c:v>69.402175903320312</c:v>
                </c:pt>
                <c:pt idx="846">
                  <c:v>71.519729614257812</c:v>
                </c:pt>
                <c:pt idx="847">
                  <c:v>72.265357971191406</c:v>
                </c:pt>
                <c:pt idx="848">
                  <c:v>70.575279235839844</c:v>
                </c:pt>
                <c:pt idx="849">
                  <c:v>71.241371154785156</c:v>
                </c:pt>
                <c:pt idx="850">
                  <c:v>70.3565673828125</c:v>
                </c:pt>
                <c:pt idx="851">
                  <c:v>69.700424194335938</c:v>
                </c:pt>
                <c:pt idx="852">
                  <c:v>70.923233032226562</c:v>
                </c:pt>
                <c:pt idx="853">
                  <c:v>70.724403381347656</c:v>
                </c:pt>
                <c:pt idx="854">
                  <c:v>70.406272888183594</c:v>
                </c:pt>
                <c:pt idx="855">
                  <c:v>70.207443237304688</c:v>
                </c:pt>
                <c:pt idx="856">
                  <c:v>70.3565673828125</c:v>
                </c:pt>
                <c:pt idx="857">
                  <c:v>70.396331787109375</c:v>
                </c:pt>
                <c:pt idx="858">
                  <c:v>69.571182250976562</c:v>
                </c:pt>
                <c:pt idx="859">
                  <c:v>71.062423706054688</c:v>
                </c:pt>
                <c:pt idx="860">
                  <c:v>71.648971557617188</c:v>
                </c:pt>
                <c:pt idx="861">
                  <c:v>71.390487670898438</c:v>
                </c:pt>
                <c:pt idx="862">
                  <c:v>70.823822021484375</c:v>
                </c:pt>
                <c:pt idx="863">
                  <c:v>70.6051025390625</c:v>
                </c:pt>
                <c:pt idx="864">
                  <c:v>70.406272888183594</c:v>
                </c:pt>
                <c:pt idx="865">
                  <c:v>69.978790283203125</c:v>
                </c:pt>
                <c:pt idx="866">
                  <c:v>71.1220703125</c:v>
                </c:pt>
                <c:pt idx="867">
                  <c:v>71.8875732421875</c:v>
                </c:pt>
                <c:pt idx="868">
                  <c:v>71.201606750488281</c:v>
                </c:pt>
                <c:pt idx="869">
                  <c:v>72.772369384765625</c:v>
                </c:pt>
                <c:pt idx="870">
                  <c:v>72.364768981933594</c:v>
                </c:pt>
                <c:pt idx="871">
                  <c:v>70.088142395019531</c:v>
                </c:pt>
                <c:pt idx="872">
                  <c:v>69.233161926269531</c:v>
                </c:pt>
                <c:pt idx="873">
                  <c:v>68.527313232421875</c:v>
                </c:pt>
                <c:pt idx="874">
                  <c:v>67.64251708984375</c:v>
                </c:pt>
                <c:pt idx="875">
                  <c:v>68.010353088378906</c:v>
                </c:pt>
                <c:pt idx="876">
                  <c:v>68.795738220214844</c:v>
                </c:pt>
                <c:pt idx="877">
                  <c:v>69.223228454589844</c:v>
                </c:pt>
                <c:pt idx="878">
                  <c:v>68.517372131347656</c:v>
                </c:pt>
                <c:pt idx="879">
                  <c:v>71.002761840820312</c:v>
                </c:pt>
                <c:pt idx="880">
                  <c:v>71.002761840820312</c:v>
                </c:pt>
                <c:pt idx="881">
                  <c:v>69.382293701171875</c:v>
                </c:pt>
                <c:pt idx="882">
                  <c:v>66.966484069824219</c:v>
                </c:pt>
                <c:pt idx="883">
                  <c:v>67.6524658203125</c:v>
                </c:pt>
                <c:pt idx="884">
                  <c:v>68.964744567871094</c:v>
                </c:pt>
                <c:pt idx="885">
                  <c:v>68.954803466796875</c:v>
                </c:pt>
                <c:pt idx="886">
                  <c:v>70.903350830078125</c:v>
                </c:pt>
                <c:pt idx="887">
                  <c:v>71.698684692382812</c:v>
                </c:pt>
                <c:pt idx="888">
                  <c:v>70.306861877441406</c:v>
                </c:pt>
                <c:pt idx="889">
                  <c:v>73.120330810546875</c:v>
                </c:pt>
                <c:pt idx="890">
                  <c:v>72.464179992675781</c:v>
                </c:pt>
                <c:pt idx="891">
                  <c:v>72.583480834960938</c:v>
                </c:pt>
                <c:pt idx="892">
                  <c:v>71.022659301757812</c:v>
                </c:pt>
                <c:pt idx="893">
                  <c:v>70.734352111816406</c:v>
                </c:pt>
                <c:pt idx="894">
                  <c:v>70.505691528320312</c:v>
                </c:pt>
                <c:pt idx="895">
                  <c:v>70.624992370605469</c:v>
                </c:pt>
                <c:pt idx="896">
                  <c:v>69.610939025878906</c:v>
                </c:pt>
                <c:pt idx="897">
                  <c:v>67.731986999511719</c:v>
                </c:pt>
                <c:pt idx="898">
                  <c:v>67.861228942871094</c:v>
                </c:pt>
                <c:pt idx="899">
                  <c:v>68.139595031738281</c:v>
                </c:pt>
                <c:pt idx="900">
                  <c:v>66.668235778808594</c:v>
                </c:pt>
                <c:pt idx="901">
                  <c:v>63.009738922119141</c:v>
                </c:pt>
                <c:pt idx="902">
                  <c:v>63.258277893066413</c:v>
                </c:pt>
                <c:pt idx="903">
                  <c:v>62.353595733642578</c:v>
                </c:pt>
                <c:pt idx="904">
                  <c:v>61.846569061279297</c:v>
                </c:pt>
                <c:pt idx="905">
                  <c:v>61.677566528320312</c:v>
                </c:pt>
                <c:pt idx="906">
                  <c:v>63.029624938964837</c:v>
                </c:pt>
                <c:pt idx="907">
                  <c:v>62.413242340087891</c:v>
                </c:pt>
                <c:pt idx="908">
                  <c:v>61.458850860595703</c:v>
                </c:pt>
                <c:pt idx="909">
                  <c:v>61.657680511474609</c:v>
                </c:pt>
                <c:pt idx="910">
                  <c:v>59.231937408447273</c:v>
                </c:pt>
                <c:pt idx="911">
                  <c:v>57.850055694580078</c:v>
                </c:pt>
                <c:pt idx="912">
                  <c:v>56.935432434082031</c:v>
                </c:pt>
                <c:pt idx="913">
                  <c:v>56.676948547363281</c:v>
                </c:pt>
                <c:pt idx="914">
                  <c:v>56.050632476806641</c:v>
                </c:pt>
                <c:pt idx="915">
                  <c:v>55.464080810546882</c:v>
                </c:pt>
                <c:pt idx="916">
                  <c:v>56.428409576416023</c:v>
                </c:pt>
                <c:pt idx="917">
                  <c:v>55.175773620605469</c:v>
                </c:pt>
                <c:pt idx="918">
                  <c:v>55.84185791015625</c:v>
                </c:pt>
                <c:pt idx="919">
                  <c:v>56.150047302246087</c:v>
                </c:pt>
                <c:pt idx="920">
                  <c:v>58.376960754394531</c:v>
                </c:pt>
                <c:pt idx="921">
                  <c:v>57.939533233642578</c:v>
                </c:pt>
                <c:pt idx="922">
                  <c:v>57.889823913574219</c:v>
                </c:pt>
                <c:pt idx="923">
                  <c:v>58.068771362304688</c:v>
                </c:pt>
                <c:pt idx="924">
                  <c:v>57.681049346923828</c:v>
                </c:pt>
                <c:pt idx="925">
                  <c:v>56.478118896484382</c:v>
                </c:pt>
                <c:pt idx="926">
                  <c:v>55.235420227050781</c:v>
                </c:pt>
                <c:pt idx="927">
                  <c:v>55.245365142822273</c:v>
                </c:pt>
                <c:pt idx="928">
                  <c:v>55.404426574707031</c:v>
                </c:pt>
                <c:pt idx="929">
                  <c:v>56.458236694335938</c:v>
                </c:pt>
                <c:pt idx="930">
                  <c:v>55.295070648193359</c:v>
                </c:pt>
                <c:pt idx="931">
                  <c:v>56.766422271728523</c:v>
                </c:pt>
                <c:pt idx="932">
                  <c:v>55.593315124511719</c:v>
                </c:pt>
                <c:pt idx="933">
                  <c:v>53.923137664794922</c:v>
                </c:pt>
                <c:pt idx="934">
                  <c:v>54.281024932861328</c:v>
                </c:pt>
                <c:pt idx="935">
                  <c:v>54.221382141113281</c:v>
                </c:pt>
                <c:pt idx="936">
                  <c:v>53.276931762695312</c:v>
                </c:pt>
                <c:pt idx="937">
                  <c:v>52.511428833007812</c:v>
                </c:pt>
                <c:pt idx="938">
                  <c:v>52.262886047363281</c:v>
                </c:pt>
                <c:pt idx="939">
                  <c:v>51.437740325927727</c:v>
                </c:pt>
                <c:pt idx="940">
                  <c:v>51.378089904785163</c:v>
                </c:pt>
                <c:pt idx="941">
                  <c:v>51.547092437744141</c:v>
                </c:pt>
                <c:pt idx="942">
                  <c:v>51.487445831298828</c:v>
                </c:pt>
                <c:pt idx="943">
                  <c:v>49.1412353515625</c:v>
                </c:pt>
                <c:pt idx="944">
                  <c:v>47.311985015869141</c:v>
                </c:pt>
                <c:pt idx="945">
                  <c:v>47.620174407958977</c:v>
                </c:pt>
                <c:pt idx="946">
                  <c:v>46.387413024902337</c:v>
                </c:pt>
                <c:pt idx="947">
                  <c:v>47.451164245605469</c:v>
                </c:pt>
                <c:pt idx="948">
                  <c:v>46.814903259277337</c:v>
                </c:pt>
                <c:pt idx="949">
                  <c:v>49.469303131103523</c:v>
                </c:pt>
                <c:pt idx="950">
                  <c:v>50.105567932128913</c:v>
                </c:pt>
                <c:pt idx="951">
                  <c:v>48.7137451171875</c:v>
                </c:pt>
                <c:pt idx="952">
                  <c:v>48.047660827636719</c:v>
                </c:pt>
                <c:pt idx="953">
                  <c:v>48.683921813964837</c:v>
                </c:pt>
                <c:pt idx="954">
                  <c:v>49.3897705078125</c:v>
                </c:pt>
                <c:pt idx="955">
                  <c:v>47.9482421875</c:v>
                </c:pt>
                <c:pt idx="956">
                  <c:v>46.476890563964837</c:v>
                </c:pt>
                <c:pt idx="957">
                  <c:v>43.663421630859382</c:v>
                </c:pt>
                <c:pt idx="958">
                  <c:v>43.424823760986328</c:v>
                </c:pt>
                <c:pt idx="959">
                  <c:v>44.001434326171882</c:v>
                </c:pt>
                <c:pt idx="960">
                  <c:v>42.390895843505859</c:v>
                </c:pt>
                <c:pt idx="961">
                  <c:v>42.798503875732422</c:v>
                </c:pt>
                <c:pt idx="962">
                  <c:v>40.710773468017578</c:v>
                </c:pt>
                <c:pt idx="963">
                  <c:v>41.108432769775391</c:v>
                </c:pt>
                <c:pt idx="964">
                  <c:v>41.734756469726562</c:v>
                </c:pt>
                <c:pt idx="965">
                  <c:v>41.277442932128913</c:v>
                </c:pt>
                <c:pt idx="966">
                  <c:v>42.788566589355469</c:v>
                </c:pt>
                <c:pt idx="967">
                  <c:v>44.438865661621087</c:v>
                </c:pt>
                <c:pt idx="968">
                  <c:v>43.6236572265625</c:v>
                </c:pt>
                <c:pt idx="969">
                  <c:v>43.653480529785163</c:v>
                </c:pt>
                <c:pt idx="970">
                  <c:v>42.291484832763672</c:v>
                </c:pt>
                <c:pt idx="971">
                  <c:v>41.317211151123047</c:v>
                </c:pt>
                <c:pt idx="972">
                  <c:v>41.158145904541023</c:v>
                </c:pt>
                <c:pt idx="973">
                  <c:v>41.466331481933587</c:v>
                </c:pt>
                <c:pt idx="974">
                  <c:v>45.761096954345703</c:v>
                </c:pt>
                <c:pt idx="975">
                  <c:v>46.377475738525391</c:v>
                </c:pt>
                <c:pt idx="976">
                  <c:v>45.214309692382812</c:v>
                </c:pt>
                <c:pt idx="977">
                  <c:v>45.363430023193359</c:v>
                </c:pt>
                <c:pt idx="978">
                  <c:v>46.755252838134773</c:v>
                </c:pt>
                <c:pt idx="979">
                  <c:v>45.771038055419922</c:v>
                </c:pt>
                <c:pt idx="980">
                  <c:v>45.790920257568359</c:v>
                </c:pt>
                <c:pt idx="981">
                  <c:v>45.214309692382812</c:v>
                </c:pt>
                <c:pt idx="982">
                  <c:v>44.369274139404297</c:v>
                </c:pt>
                <c:pt idx="983">
                  <c:v>45.025421142578118</c:v>
                </c:pt>
                <c:pt idx="984">
                  <c:v>45.572208404541023</c:v>
                </c:pt>
                <c:pt idx="985">
                  <c:v>45.572208404541023</c:v>
                </c:pt>
                <c:pt idx="986">
                  <c:v>47.590347290039062</c:v>
                </c:pt>
                <c:pt idx="987">
                  <c:v>47.461105346679688</c:v>
                </c:pt>
                <c:pt idx="988">
                  <c:v>46.954086303710938</c:v>
                </c:pt>
                <c:pt idx="989">
                  <c:v>46.307884216308587</c:v>
                </c:pt>
                <c:pt idx="990">
                  <c:v>46.377475738525391</c:v>
                </c:pt>
                <c:pt idx="991">
                  <c:v>45.552322387695312</c:v>
                </c:pt>
                <c:pt idx="992">
                  <c:v>45.542381286621087</c:v>
                </c:pt>
                <c:pt idx="993">
                  <c:v>44.200263977050781</c:v>
                </c:pt>
                <c:pt idx="994">
                  <c:v>46.665779113769531</c:v>
                </c:pt>
                <c:pt idx="995">
                  <c:v>50.463462829589837</c:v>
                </c:pt>
                <c:pt idx="996">
                  <c:v>51.477500915527337</c:v>
                </c:pt>
                <c:pt idx="997">
                  <c:v>50.351070404052727</c:v>
                </c:pt>
                <c:pt idx="998">
                  <c:v>52.689510345458977</c:v>
                </c:pt>
                <c:pt idx="999">
                  <c:v>50.390872955322273</c:v>
                </c:pt>
                <c:pt idx="1000">
                  <c:v>52.798969268798828</c:v>
                </c:pt>
                <c:pt idx="1001">
                  <c:v>52.331283569335938</c:v>
                </c:pt>
                <c:pt idx="1002">
                  <c:v>53.396018981933587</c:v>
                </c:pt>
                <c:pt idx="1003">
                  <c:v>53.415920257568359</c:v>
                </c:pt>
                <c:pt idx="1004">
                  <c:v>53.953266143798828</c:v>
                </c:pt>
                <c:pt idx="1005">
                  <c:v>53.087543487548828</c:v>
                </c:pt>
                <c:pt idx="1006">
                  <c:v>51.813838958740227</c:v>
                </c:pt>
                <c:pt idx="1007">
                  <c:v>49.833633422851562</c:v>
                </c:pt>
                <c:pt idx="1008">
                  <c:v>48.530075073242188</c:v>
                </c:pt>
                <c:pt idx="1009">
                  <c:v>48.052436828613281</c:v>
                </c:pt>
                <c:pt idx="1010">
                  <c:v>48.052436828613281</c:v>
                </c:pt>
                <c:pt idx="1011">
                  <c:v>47.674304962158203</c:v>
                </c:pt>
                <c:pt idx="1012">
                  <c:v>48.0225830078125</c:v>
                </c:pt>
                <c:pt idx="1013">
                  <c:v>46.778732299804688</c:v>
                </c:pt>
                <c:pt idx="1014">
                  <c:v>46.221488952636719</c:v>
                </c:pt>
                <c:pt idx="1015">
                  <c:v>44.052211761474609</c:v>
                </c:pt>
                <c:pt idx="1016">
                  <c:v>42.679000854492188</c:v>
                </c:pt>
                <c:pt idx="1017">
                  <c:v>43.057132720947273</c:v>
                </c:pt>
                <c:pt idx="1018">
                  <c:v>42.688953399658203</c:v>
                </c:pt>
                <c:pt idx="1019">
                  <c:v>43.345706939697273</c:v>
                </c:pt>
                <c:pt idx="1020">
                  <c:v>44.669162750244141</c:v>
                </c:pt>
                <c:pt idx="1021">
                  <c:v>43.813392639160163</c:v>
                </c:pt>
                <c:pt idx="1022">
                  <c:v>43.664131164550781</c:v>
                </c:pt>
                <c:pt idx="1023">
                  <c:v>42.977523803710938</c:v>
                </c:pt>
                <c:pt idx="1024">
                  <c:v>43.833293914794922</c:v>
                </c:pt>
                <c:pt idx="1025">
                  <c:v>43.007377624511719</c:v>
                </c:pt>
                <c:pt idx="1026">
                  <c:v>42.16156005859375</c:v>
                </c:pt>
                <c:pt idx="1027">
                  <c:v>43.206390380859382</c:v>
                </c:pt>
                <c:pt idx="1028">
                  <c:v>42.072002410888672</c:v>
                </c:pt>
                <c:pt idx="1029">
                  <c:v>40.897804260253913</c:v>
                </c:pt>
                <c:pt idx="1030">
                  <c:v>42.072002410888672</c:v>
                </c:pt>
                <c:pt idx="1031">
                  <c:v>43.942752838134773</c:v>
                </c:pt>
                <c:pt idx="1032">
                  <c:v>43.883049011230469</c:v>
                </c:pt>
                <c:pt idx="1033">
                  <c:v>45.266212463378913</c:v>
                </c:pt>
                <c:pt idx="1034">
                  <c:v>47.067306518554688</c:v>
                </c:pt>
                <c:pt idx="1035">
                  <c:v>44.271133422851562</c:v>
                </c:pt>
                <c:pt idx="1036">
                  <c:v>46.400604248046882</c:v>
                </c:pt>
                <c:pt idx="1037">
                  <c:v>47.166816711425781</c:v>
                </c:pt>
                <c:pt idx="1038">
                  <c:v>46.629470825195312</c:v>
                </c:pt>
                <c:pt idx="1039">
                  <c:v>45.584636688232422</c:v>
                </c:pt>
                <c:pt idx="1040">
                  <c:v>44.539798736572273</c:v>
                </c:pt>
                <c:pt idx="1041">
                  <c:v>42.440181732177727</c:v>
                </c:pt>
                <c:pt idx="1042">
                  <c:v>41.783432006835938</c:v>
                </c:pt>
                <c:pt idx="1043">
                  <c:v>41.773479461669922</c:v>
                </c:pt>
                <c:pt idx="1044">
                  <c:v>42.350627899169922</c:v>
                </c:pt>
                <c:pt idx="1045">
                  <c:v>41.803329467773438</c:v>
                </c:pt>
                <c:pt idx="1046">
                  <c:v>42.937725067138672</c:v>
                </c:pt>
                <c:pt idx="1047">
                  <c:v>43.962654113769531</c:v>
                </c:pt>
                <c:pt idx="1048">
                  <c:v>43.176540374755859</c:v>
                </c:pt>
                <c:pt idx="1049">
                  <c:v>42.788459777832031</c:v>
                </c:pt>
                <c:pt idx="1050">
                  <c:v>43.723834991455078</c:v>
                </c:pt>
                <c:pt idx="1051">
                  <c:v>44.748771667480469</c:v>
                </c:pt>
                <c:pt idx="1052">
                  <c:v>45.544834136962891</c:v>
                </c:pt>
                <c:pt idx="1053">
                  <c:v>46.151832580566413</c:v>
                </c:pt>
                <c:pt idx="1054">
                  <c:v>44.400489807128913</c:v>
                </c:pt>
                <c:pt idx="1055">
                  <c:v>43.654178619384773</c:v>
                </c:pt>
                <c:pt idx="1056">
                  <c:v>42.479984283447273</c:v>
                </c:pt>
                <c:pt idx="1057">
                  <c:v>42.340671539306641</c:v>
                </c:pt>
                <c:pt idx="1058">
                  <c:v>42.589443206787109</c:v>
                </c:pt>
                <c:pt idx="1059">
                  <c:v>42.838214874267578</c:v>
                </c:pt>
                <c:pt idx="1060">
                  <c:v>43.873096466064453</c:v>
                </c:pt>
                <c:pt idx="1061">
                  <c:v>44.171623229980469</c:v>
                </c:pt>
                <c:pt idx="1062">
                  <c:v>43.813392639160163</c:v>
                </c:pt>
                <c:pt idx="1063">
                  <c:v>43.236248016357422</c:v>
                </c:pt>
                <c:pt idx="1064">
                  <c:v>42.808361053466797</c:v>
                </c:pt>
                <c:pt idx="1065">
                  <c:v>45.166702270507812</c:v>
                </c:pt>
                <c:pt idx="1066">
                  <c:v>45.146800994873047</c:v>
                </c:pt>
                <c:pt idx="1067">
                  <c:v>44.848278045654297</c:v>
                </c:pt>
                <c:pt idx="1068">
                  <c:v>43.176540374755859</c:v>
                </c:pt>
                <c:pt idx="1069">
                  <c:v>43.664131164550781</c:v>
                </c:pt>
                <c:pt idx="1070">
                  <c:v>43.504920959472663</c:v>
                </c:pt>
                <c:pt idx="1071">
                  <c:v>42.917819976806641</c:v>
                </c:pt>
                <c:pt idx="1072">
                  <c:v>43.524822235107422</c:v>
                </c:pt>
                <c:pt idx="1073">
                  <c:v>45.296062469482422</c:v>
                </c:pt>
                <c:pt idx="1074">
                  <c:v>43.753688812255859</c:v>
                </c:pt>
                <c:pt idx="1075">
                  <c:v>43.465114593505859</c:v>
                </c:pt>
                <c:pt idx="1076">
                  <c:v>41.783432006835938</c:v>
                </c:pt>
                <c:pt idx="1077">
                  <c:v>40.400264739990227</c:v>
                </c:pt>
                <c:pt idx="1078">
                  <c:v>39.544498443603523</c:v>
                </c:pt>
                <c:pt idx="1079">
                  <c:v>39.902725219726562</c:v>
                </c:pt>
                <c:pt idx="1080">
                  <c:v>39.504695892333977</c:v>
                </c:pt>
                <c:pt idx="1081">
                  <c:v>39.395236968994141</c:v>
                </c:pt>
                <c:pt idx="1082">
                  <c:v>39.753463745117188</c:v>
                </c:pt>
                <c:pt idx="1083">
                  <c:v>40.300758361816413</c:v>
                </c:pt>
                <c:pt idx="1084">
                  <c:v>40.1116943359375</c:v>
                </c:pt>
                <c:pt idx="1085">
                  <c:v>39.594253540039062</c:v>
                </c:pt>
                <c:pt idx="1086">
                  <c:v>40.569431304931641</c:v>
                </c:pt>
                <c:pt idx="1087">
                  <c:v>41.415248870849609</c:v>
                </c:pt>
                <c:pt idx="1088">
                  <c:v>40.131595611572273</c:v>
                </c:pt>
                <c:pt idx="1089">
                  <c:v>40.101741790771477</c:v>
                </c:pt>
                <c:pt idx="1090">
                  <c:v>41.285888671875</c:v>
                </c:pt>
                <c:pt idx="1091">
                  <c:v>42.698902130126953</c:v>
                </c:pt>
                <c:pt idx="1092">
                  <c:v>43.0372314453125</c:v>
                </c:pt>
                <c:pt idx="1093">
                  <c:v>42.848167419433587</c:v>
                </c:pt>
                <c:pt idx="1094">
                  <c:v>42.271018981933587</c:v>
                </c:pt>
                <c:pt idx="1095">
                  <c:v>42.987476348876953</c:v>
                </c:pt>
                <c:pt idx="1096">
                  <c:v>41.853084564208977</c:v>
                </c:pt>
                <c:pt idx="1097">
                  <c:v>42.559593200683587</c:v>
                </c:pt>
                <c:pt idx="1098">
                  <c:v>43.554672241210938</c:v>
                </c:pt>
                <c:pt idx="1099">
                  <c:v>43.514869689941413</c:v>
                </c:pt>
                <c:pt idx="1100">
                  <c:v>43.116840362548828</c:v>
                </c:pt>
                <c:pt idx="1101">
                  <c:v>42.400379180908203</c:v>
                </c:pt>
                <c:pt idx="1102">
                  <c:v>42.062053680419922</c:v>
                </c:pt>
                <c:pt idx="1103">
                  <c:v>42.698902130126953</c:v>
                </c:pt>
                <c:pt idx="1104">
                  <c:v>46.529960632324219</c:v>
                </c:pt>
                <c:pt idx="1105">
                  <c:v>44.917930603027337</c:v>
                </c:pt>
                <c:pt idx="1106">
                  <c:v>47.266323089599609</c:v>
                </c:pt>
                <c:pt idx="1107">
                  <c:v>47.385730743408203</c:v>
                </c:pt>
                <c:pt idx="1108">
                  <c:v>47.365829467773438</c:v>
                </c:pt>
                <c:pt idx="1109">
                  <c:v>48.758941650390618</c:v>
                </c:pt>
                <c:pt idx="1110">
                  <c:v>48.042484283447273</c:v>
                </c:pt>
                <c:pt idx="1111">
                  <c:v>47.893222808837891</c:v>
                </c:pt>
                <c:pt idx="1112">
                  <c:v>47.176765441894531</c:v>
                </c:pt>
                <c:pt idx="1113">
                  <c:v>48.291255950927727</c:v>
                </c:pt>
                <c:pt idx="1114">
                  <c:v>47.276271820068359</c:v>
                </c:pt>
                <c:pt idx="1115">
                  <c:v>45.713996887207031</c:v>
                </c:pt>
                <c:pt idx="1116">
                  <c:v>47.027500152587891</c:v>
                </c:pt>
                <c:pt idx="1117">
                  <c:v>47.594699859619141</c:v>
                </c:pt>
                <c:pt idx="1118">
                  <c:v>48.052436828613281</c:v>
                </c:pt>
                <c:pt idx="1119">
                  <c:v>46.888191223144531</c:v>
                </c:pt>
                <c:pt idx="1120">
                  <c:v>45.574684143066413</c:v>
                </c:pt>
                <c:pt idx="1121">
                  <c:v>44.708965301513672</c:v>
                </c:pt>
                <c:pt idx="1122">
                  <c:v>44.888080596923828</c:v>
                </c:pt>
                <c:pt idx="1123">
                  <c:v>43.554672241210938</c:v>
                </c:pt>
                <c:pt idx="1124">
                  <c:v>43.017330169677727</c:v>
                </c:pt>
                <c:pt idx="1125">
                  <c:v>42.7486572265625</c:v>
                </c:pt>
                <c:pt idx="1126">
                  <c:v>41.445102691650391</c:v>
                </c:pt>
                <c:pt idx="1127">
                  <c:v>41.047069549560547</c:v>
                </c:pt>
                <c:pt idx="1128">
                  <c:v>41.853084564208977</c:v>
                </c:pt>
                <c:pt idx="1129">
                  <c:v>40.012184143066413</c:v>
                </c:pt>
                <c:pt idx="1130">
                  <c:v>39.046958923339837</c:v>
                </c:pt>
                <c:pt idx="1131">
                  <c:v>38.788234710693359</c:v>
                </c:pt>
                <c:pt idx="1132">
                  <c:v>40.340564727783203</c:v>
                </c:pt>
                <c:pt idx="1133">
                  <c:v>39.813167572021477</c:v>
                </c:pt>
                <c:pt idx="1134">
                  <c:v>40.251007080078118</c:v>
                </c:pt>
                <c:pt idx="1135">
                  <c:v>40.529628753662109</c:v>
                </c:pt>
                <c:pt idx="1136">
                  <c:v>41.186378479003913</c:v>
                </c:pt>
                <c:pt idx="1137">
                  <c:v>43.057132720947273</c:v>
                </c:pt>
                <c:pt idx="1138">
                  <c:v>44.281082153320312</c:v>
                </c:pt>
                <c:pt idx="1139">
                  <c:v>41.683921813964837</c:v>
                </c:pt>
                <c:pt idx="1140">
                  <c:v>43.256149291992188</c:v>
                </c:pt>
                <c:pt idx="1141">
                  <c:v>42.032199859619141</c:v>
                </c:pt>
                <c:pt idx="1142">
                  <c:v>41.524707794189453</c:v>
                </c:pt>
                <c:pt idx="1143">
                  <c:v>41.196334838867188</c:v>
                </c:pt>
                <c:pt idx="1144">
                  <c:v>41.415248870849609</c:v>
                </c:pt>
                <c:pt idx="1145">
                  <c:v>41.236133575439453</c:v>
                </c:pt>
                <c:pt idx="1146">
                  <c:v>41.594364166259773</c:v>
                </c:pt>
                <c:pt idx="1147">
                  <c:v>41.872989654541023</c:v>
                </c:pt>
                <c:pt idx="1148">
                  <c:v>42.479984283447273</c:v>
                </c:pt>
                <c:pt idx="1149">
                  <c:v>41.455051422119141</c:v>
                </c:pt>
                <c:pt idx="1150">
                  <c:v>40.778396606445312</c:v>
                </c:pt>
                <c:pt idx="1151">
                  <c:v>41.922740936279297</c:v>
                </c:pt>
                <c:pt idx="1152">
                  <c:v>41.206283569335938</c:v>
                </c:pt>
                <c:pt idx="1153">
                  <c:v>39.992282867431641</c:v>
                </c:pt>
                <c:pt idx="1154">
                  <c:v>38.927547454833977</c:v>
                </c:pt>
                <c:pt idx="1155">
                  <c:v>38.987251281738281</c:v>
                </c:pt>
                <c:pt idx="1156">
                  <c:v>39.265872955322273</c:v>
                </c:pt>
                <c:pt idx="1157">
                  <c:v>40.002235412597663</c:v>
                </c:pt>
                <c:pt idx="1158">
                  <c:v>39.196220397949219</c:v>
                </c:pt>
                <c:pt idx="1159">
                  <c:v>39.066856384277337</c:v>
                </c:pt>
                <c:pt idx="1160">
                  <c:v>40.459972381591797</c:v>
                </c:pt>
                <c:pt idx="1161">
                  <c:v>39.872875213623047</c:v>
                </c:pt>
                <c:pt idx="1162">
                  <c:v>40.907760620117188</c:v>
                </c:pt>
                <c:pt idx="1163">
                  <c:v>40.499774932861328</c:v>
                </c:pt>
                <c:pt idx="1164">
                  <c:v>41.395347595214837</c:v>
                </c:pt>
                <c:pt idx="1165">
                  <c:v>40.539581298828118</c:v>
                </c:pt>
                <c:pt idx="1166">
                  <c:v>40.927661895751953</c:v>
                </c:pt>
                <c:pt idx="1167">
                  <c:v>39.882827758789062</c:v>
                </c:pt>
                <c:pt idx="1168">
                  <c:v>41.962543487548828</c:v>
                </c:pt>
                <c:pt idx="1169">
                  <c:v>41.474952697753913</c:v>
                </c:pt>
                <c:pt idx="1170">
                  <c:v>41.325691223144531</c:v>
                </c:pt>
                <c:pt idx="1171">
                  <c:v>40.718692779541023</c:v>
                </c:pt>
                <c:pt idx="1172">
                  <c:v>40.579380035400391</c:v>
                </c:pt>
                <c:pt idx="1173">
                  <c:v>41.076919555664062</c:v>
                </c:pt>
                <c:pt idx="1174">
                  <c:v>39.624103546142578</c:v>
                </c:pt>
                <c:pt idx="1175">
                  <c:v>40.081840515136719</c:v>
                </c:pt>
                <c:pt idx="1176">
                  <c:v>39.793270111083977</c:v>
                </c:pt>
                <c:pt idx="1177">
                  <c:v>38.778285980224609</c:v>
                </c:pt>
                <c:pt idx="1178">
                  <c:v>37.982219696044922</c:v>
                </c:pt>
                <c:pt idx="1179">
                  <c:v>37.912563323974609</c:v>
                </c:pt>
                <c:pt idx="1180">
                  <c:v>40.290809631347663</c:v>
                </c:pt>
                <c:pt idx="1181">
                  <c:v>39.843021392822273</c:v>
                </c:pt>
                <c:pt idx="1182">
                  <c:v>40.380367279052727</c:v>
                </c:pt>
                <c:pt idx="1183">
                  <c:v>40.370414733886719</c:v>
                </c:pt>
                <c:pt idx="1184">
                  <c:v>41.256034851074219</c:v>
                </c:pt>
                <c:pt idx="1185">
                  <c:v>41.246086120605469</c:v>
                </c:pt>
                <c:pt idx="1186">
                  <c:v>40.937610626220703</c:v>
                </c:pt>
                <c:pt idx="1187">
                  <c:v>40.459972381591797</c:v>
                </c:pt>
                <c:pt idx="1188">
                  <c:v>40.738594055175781</c:v>
                </c:pt>
                <c:pt idx="1189">
                  <c:v>41.305789947509773</c:v>
                </c:pt>
                <c:pt idx="1190">
                  <c:v>40.380367279052727</c:v>
                </c:pt>
                <c:pt idx="1191">
                  <c:v>41.733673095703118</c:v>
                </c:pt>
                <c:pt idx="1192">
                  <c:v>42.788459777832031</c:v>
                </c:pt>
                <c:pt idx="1193">
                  <c:v>42.897918701171882</c:v>
                </c:pt>
                <c:pt idx="1194">
                  <c:v>42.4600830078125</c:v>
                </c:pt>
                <c:pt idx="1195">
                  <c:v>42.241165161132812</c:v>
                </c:pt>
                <c:pt idx="1196">
                  <c:v>41.435150146484382</c:v>
                </c:pt>
                <c:pt idx="1197">
                  <c:v>41.922740936279297</c:v>
                </c:pt>
                <c:pt idx="1198">
                  <c:v>42.679000854492188</c:v>
                </c:pt>
                <c:pt idx="1199">
                  <c:v>40.340564727783203</c:v>
                </c:pt>
                <c:pt idx="1200">
                  <c:v>39.852973937988281</c:v>
                </c:pt>
                <c:pt idx="1201">
                  <c:v>38.380252838134773</c:v>
                </c:pt>
                <c:pt idx="1202">
                  <c:v>39.126564025878913</c:v>
                </c:pt>
                <c:pt idx="1203">
                  <c:v>38.688728332519531</c:v>
                </c:pt>
                <c:pt idx="1204">
                  <c:v>37.325466156005859</c:v>
                </c:pt>
                <c:pt idx="1205">
                  <c:v>37.564289093017578</c:v>
                </c:pt>
                <c:pt idx="1206">
                  <c:v>36.837879180908203</c:v>
                </c:pt>
                <c:pt idx="1207">
                  <c:v>37.156303405761719</c:v>
                </c:pt>
                <c:pt idx="1208">
                  <c:v>36.718471527099609</c:v>
                </c:pt>
                <c:pt idx="1209">
                  <c:v>37.096599578857422</c:v>
                </c:pt>
                <c:pt idx="1210">
                  <c:v>36.857780456542969</c:v>
                </c:pt>
                <c:pt idx="1211">
                  <c:v>37.026943206787109</c:v>
                </c:pt>
                <c:pt idx="1212">
                  <c:v>38.758384704589837</c:v>
                </c:pt>
                <c:pt idx="1213">
                  <c:v>39.683811187744141</c:v>
                </c:pt>
                <c:pt idx="1214">
                  <c:v>38.260845184326172</c:v>
                </c:pt>
                <c:pt idx="1215">
                  <c:v>38.688728332519531</c:v>
                </c:pt>
                <c:pt idx="1216">
                  <c:v>39.634056091308587</c:v>
                </c:pt>
                <c:pt idx="1217">
                  <c:v>39.594253540039062</c:v>
                </c:pt>
                <c:pt idx="1218">
                  <c:v>40.877906799316413</c:v>
                </c:pt>
                <c:pt idx="1219">
                  <c:v>41.584415435791023</c:v>
                </c:pt>
                <c:pt idx="1220">
                  <c:v>37.066745758056641</c:v>
                </c:pt>
                <c:pt idx="1221">
                  <c:v>37.395126342773438</c:v>
                </c:pt>
                <c:pt idx="1222">
                  <c:v>35.862701416015618</c:v>
                </c:pt>
                <c:pt idx="1223">
                  <c:v>35.962207794189453</c:v>
                </c:pt>
                <c:pt idx="1224">
                  <c:v>34.5491943359375</c:v>
                </c:pt>
                <c:pt idx="1225">
                  <c:v>34.668601989746087</c:v>
                </c:pt>
                <c:pt idx="1226">
                  <c:v>35.395011901855469</c:v>
                </c:pt>
                <c:pt idx="1227">
                  <c:v>34.141212463378913</c:v>
                </c:pt>
                <c:pt idx="1228">
                  <c:v>34.350177764892578</c:v>
                </c:pt>
                <c:pt idx="1229">
                  <c:v>33.842685699462891</c:v>
                </c:pt>
                <c:pt idx="1230">
                  <c:v>34.479537963867188</c:v>
                </c:pt>
                <c:pt idx="1231">
                  <c:v>34.161113739013672</c:v>
                </c:pt>
                <c:pt idx="1232">
                  <c:v>34.469585418701172</c:v>
                </c:pt>
                <c:pt idx="1233">
                  <c:v>35.872650146484382</c:v>
                </c:pt>
                <c:pt idx="1234">
                  <c:v>35.793045043945312</c:v>
                </c:pt>
                <c:pt idx="1235">
                  <c:v>36.360240936279297</c:v>
                </c:pt>
                <c:pt idx="1236">
                  <c:v>36.648815155029297</c:v>
                </c:pt>
                <c:pt idx="1237">
                  <c:v>37.285667419433587</c:v>
                </c:pt>
                <c:pt idx="1238">
                  <c:v>36.688617706298828</c:v>
                </c:pt>
                <c:pt idx="1239">
                  <c:v>35.842800140380859</c:v>
                </c:pt>
                <c:pt idx="1240">
                  <c:v>35.255702972412109</c:v>
                </c:pt>
                <c:pt idx="1241">
                  <c:v>35.146240234375</c:v>
                </c:pt>
                <c:pt idx="1242">
                  <c:v>36.609012603759773</c:v>
                </c:pt>
                <c:pt idx="1243">
                  <c:v>35.613929748535163</c:v>
                </c:pt>
                <c:pt idx="1244">
                  <c:v>35.375110626220703</c:v>
                </c:pt>
                <c:pt idx="1245">
                  <c:v>34.708408355712891</c:v>
                </c:pt>
                <c:pt idx="1246">
                  <c:v>34.897472381591797</c:v>
                </c:pt>
                <c:pt idx="1247">
                  <c:v>33.991947174072273</c:v>
                </c:pt>
                <c:pt idx="1248">
                  <c:v>34.459636688232422</c:v>
                </c:pt>
                <c:pt idx="1249">
                  <c:v>33.365047454833977</c:v>
                </c:pt>
                <c:pt idx="1250">
                  <c:v>32.399822235107422</c:v>
                </c:pt>
                <c:pt idx="1251">
                  <c:v>33.375</c:v>
                </c:pt>
                <c:pt idx="1252">
                  <c:v>34.060001373291023</c:v>
                </c:pt>
                <c:pt idx="1253">
                  <c:v>34.430000305175781</c:v>
                </c:pt>
                <c:pt idx="1254">
                  <c:v>34.389999389648438</c:v>
                </c:pt>
                <c:pt idx="1255">
                  <c:v>33.950000762939453</c:v>
                </c:pt>
                <c:pt idx="1256">
                  <c:v>33.619998931884773</c:v>
                </c:pt>
                <c:pt idx="1257">
                  <c:v>33.119998931884773</c:v>
                </c:pt>
                <c:pt idx="1258">
                  <c:v>34.729999542236328</c:v>
                </c:pt>
                <c:pt idx="1259">
                  <c:v>35.150001525878913</c:v>
                </c:pt>
                <c:pt idx="1260">
                  <c:v>35.549999237060547</c:v>
                </c:pt>
                <c:pt idx="1261">
                  <c:v>36.599998474121087</c:v>
                </c:pt>
                <c:pt idx="1262">
                  <c:v>35.299999237060547</c:v>
                </c:pt>
                <c:pt idx="1263">
                  <c:v>34.139999389648438</c:v>
                </c:pt>
                <c:pt idx="1264">
                  <c:v>33.720001220703118</c:v>
                </c:pt>
                <c:pt idx="1265">
                  <c:v>33.939998626708977</c:v>
                </c:pt>
                <c:pt idx="1266">
                  <c:v>34.349998474121087</c:v>
                </c:pt>
                <c:pt idx="1267">
                  <c:v>34.680000305175781</c:v>
                </c:pt>
                <c:pt idx="1268">
                  <c:v>34.389999389648438</c:v>
                </c:pt>
                <c:pt idx="1269">
                  <c:v>33.669998168945312</c:v>
                </c:pt>
                <c:pt idx="1270">
                  <c:v>32.569999694824219</c:v>
                </c:pt>
                <c:pt idx="1271">
                  <c:v>33.529998779296882</c:v>
                </c:pt>
                <c:pt idx="1272">
                  <c:v>33.650001525878913</c:v>
                </c:pt>
                <c:pt idx="1273">
                  <c:v>33.319999694824219</c:v>
                </c:pt>
                <c:pt idx="1274">
                  <c:v>32.650001525878913</c:v>
                </c:pt>
                <c:pt idx="1275">
                  <c:v>33.610000610351562</c:v>
                </c:pt>
                <c:pt idx="1276">
                  <c:v>34.180000305175781</c:v>
                </c:pt>
                <c:pt idx="1277">
                  <c:v>33.799999237060547</c:v>
                </c:pt>
                <c:pt idx="1278">
                  <c:v>33.220001220703118</c:v>
                </c:pt>
                <c:pt idx="1279">
                  <c:v>33.959999084472663</c:v>
                </c:pt>
                <c:pt idx="1280">
                  <c:v>33.569999694824219</c:v>
                </c:pt>
                <c:pt idx="1281">
                  <c:v>34.270000457763672</c:v>
                </c:pt>
                <c:pt idx="1282">
                  <c:v>34.360000610351562</c:v>
                </c:pt>
                <c:pt idx="1283">
                  <c:v>34.259998321533203</c:v>
                </c:pt>
                <c:pt idx="1284">
                  <c:v>33.290000915527337</c:v>
                </c:pt>
                <c:pt idx="1285">
                  <c:v>33.189998626708977</c:v>
                </c:pt>
                <c:pt idx="1286">
                  <c:v>33.759998321533203</c:v>
                </c:pt>
                <c:pt idx="1287">
                  <c:v>34.310001373291023</c:v>
                </c:pt>
                <c:pt idx="1288">
                  <c:v>34.900001525878913</c:v>
                </c:pt>
                <c:pt idx="1289">
                  <c:v>35.5</c:v>
                </c:pt>
                <c:pt idx="1290">
                  <c:v>35.380001068115227</c:v>
                </c:pt>
                <c:pt idx="1291">
                  <c:v>34.439998626708977</c:v>
                </c:pt>
                <c:pt idx="1292">
                  <c:v>34.279998779296882</c:v>
                </c:pt>
                <c:pt idx="1293">
                  <c:v>34.259998321533203</c:v>
                </c:pt>
                <c:pt idx="1294">
                  <c:v>34.959999084472663</c:v>
                </c:pt>
                <c:pt idx="1295">
                  <c:v>33.680000305175781</c:v>
                </c:pt>
                <c:pt idx="1296">
                  <c:v>32.349998474121087</c:v>
                </c:pt>
                <c:pt idx="1297">
                  <c:v>31.309999465942379</c:v>
                </c:pt>
                <c:pt idx="1298">
                  <c:v>32.080001831054688</c:v>
                </c:pt>
                <c:pt idx="1299">
                  <c:v>32.389999389648438</c:v>
                </c:pt>
                <c:pt idx="1300">
                  <c:v>32.150001525878913</c:v>
                </c:pt>
                <c:pt idx="1301">
                  <c:v>32.830001831054688</c:v>
                </c:pt>
                <c:pt idx="1302">
                  <c:v>32.549999237060547</c:v>
                </c:pt>
                <c:pt idx="1303">
                  <c:v>32.630001068115227</c:v>
                </c:pt>
                <c:pt idx="1304">
                  <c:v>32.279998779296882</c:v>
                </c:pt>
                <c:pt idx="1305">
                  <c:v>32.090000152587891</c:v>
                </c:pt>
                <c:pt idx="1306">
                  <c:v>32.389999389648438</c:v>
                </c:pt>
                <c:pt idx="1307">
                  <c:v>33.540000915527337</c:v>
                </c:pt>
                <c:pt idx="1308">
                  <c:v>32.869998931884773</c:v>
                </c:pt>
                <c:pt idx="1309">
                  <c:v>33.090000152587891</c:v>
                </c:pt>
                <c:pt idx="1310">
                  <c:v>32.590000152587891</c:v>
                </c:pt>
                <c:pt idx="1311">
                  <c:v>32.159999847412109</c:v>
                </c:pt>
                <c:pt idx="1312">
                  <c:v>31.829999923706051</c:v>
                </c:pt>
                <c:pt idx="1313">
                  <c:v>32.130001068115227</c:v>
                </c:pt>
                <c:pt idx="1314">
                  <c:v>31.360000610351559</c:v>
                </c:pt>
                <c:pt idx="1315">
                  <c:v>31.270000457763668</c:v>
                </c:pt>
                <c:pt idx="1316">
                  <c:v>31.010000228881839</c:v>
                </c:pt>
                <c:pt idx="1317">
                  <c:v>30.45999908447266</c:v>
                </c:pt>
                <c:pt idx="1318">
                  <c:v>30.79999923706055</c:v>
                </c:pt>
                <c:pt idx="1319">
                  <c:v>31.079999923706051</c:v>
                </c:pt>
                <c:pt idx="1320">
                  <c:v>30.35000038146973</c:v>
                </c:pt>
                <c:pt idx="1321">
                  <c:v>28.879999160766602</c:v>
                </c:pt>
                <c:pt idx="1322">
                  <c:v>27.670000076293949</c:v>
                </c:pt>
                <c:pt idx="1323">
                  <c:v>26.030000686645511</c:v>
                </c:pt>
                <c:pt idx="1324">
                  <c:v>27.969999313354489</c:v>
                </c:pt>
                <c:pt idx="1325">
                  <c:v>26.70000076293945</c:v>
                </c:pt>
                <c:pt idx="1326">
                  <c:v>27.719999313354489</c:v>
                </c:pt>
                <c:pt idx="1327">
                  <c:v>28.64999961853027</c:v>
                </c:pt>
                <c:pt idx="1328">
                  <c:v>28.29000091552734</c:v>
                </c:pt>
                <c:pt idx="1329">
                  <c:v>27.829999923706051</c:v>
                </c:pt>
                <c:pt idx="1330">
                  <c:v>28.159999847412109</c:v>
                </c:pt>
                <c:pt idx="1331">
                  <c:v>27.610000610351559</c:v>
                </c:pt>
                <c:pt idx="1332">
                  <c:v>28.85000038146973</c:v>
                </c:pt>
                <c:pt idx="1333">
                  <c:v>28.29000091552734</c:v>
                </c:pt>
                <c:pt idx="1334">
                  <c:v>29</c:v>
                </c:pt>
                <c:pt idx="1335">
                  <c:v>29.879999160766602</c:v>
                </c:pt>
                <c:pt idx="1336">
                  <c:v>29.79000091552734</c:v>
                </c:pt>
                <c:pt idx="1337">
                  <c:v>29.610000610351559</c:v>
                </c:pt>
                <c:pt idx="1338">
                  <c:v>28.379999160766602</c:v>
                </c:pt>
                <c:pt idx="1339">
                  <c:v>28.79999923706055</c:v>
                </c:pt>
                <c:pt idx="1340">
                  <c:v>29.35000038146973</c:v>
                </c:pt>
                <c:pt idx="1341">
                  <c:v>28.85000038146973</c:v>
                </c:pt>
                <c:pt idx="1342">
                  <c:v>29.29999923706055</c:v>
                </c:pt>
                <c:pt idx="1343">
                  <c:v>29.60000038146973</c:v>
                </c:pt>
                <c:pt idx="1344">
                  <c:v>30.729999542236332</c:v>
                </c:pt>
                <c:pt idx="1345">
                  <c:v>31.70999908447266</c:v>
                </c:pt>
                <c:pt idx="1346">
                  <c:v>33.029998779296882</c:v>
                </c:pt>
                <c:pt idx="1347">
                  <c:v>34.720001220703118</c:v>
                </c:pt>
                <c:pt idx="1348">
                  <c:v>35.259998321533203</c:v>
                </c:pt>
                <c:pt idx="1349">
                  <c:v>35.659999847412109</c:v>
                </c:pt>
                <c:pt idx="1350">
                  <c:v>35.139999389648438</c:v>
                </c:pt>
                <c:pt idx="1351">
                  <c:v>34.270000457763672</c:v>
                </c:pt>
                <c:pt idx="1352">
                  <c:v>34.479999542236328</c:v>
                </c:pt>
                <c:pt idx="1353">
                  <c:v>33.970001220703118</c:v>
                </c:pt>
                <c:pt idx="1354">
                  <c:v>31.440000534057621</c:v>
                </c:pt>
                <c:pt idx="1355">
                  <c:v>31.729999542236332</c:v>
                </c:pt>
                <c:pt idx="1356">
                  <c:v>31.930000305175781</c:v>
                </c:pt>
                <c:pt idx="1357">
                  <c:v>31.680000305175781</c:v>
                </c:pt>
                <c:pt idx="1358">
                  <c:v>31.930000305175781</c:v>
                </c:pt>
                <c:pt idx="1359">
                  <c:v>32.349998474121087</c:v>
                </c:pt>
                <c:pt idx="1360">
                  <c:v>31.819999694824219</c:v>
                </c:pt>
                <c:pt idx="1361">
                  <c:v>33.090000152587891</c:v>
                </c:pt>
                <c:pt idx="1362">
                  <c:v>33.119998931884773</c:v>
                </c:pt>
                <c:pt idx="1363">
                  <c:v>33.330001831054688</c:v>
                </c:pt>
                <c:pt idx="1364">
                  <c:v>33.590000152587891</c:v>
                </c:pt>
                <c:pt idx="1365">
                  <c:v>33.779998779296882</c:v>
                </c:pt>
                <c:pt idx="1366">
                  <c:v>34.319999694824219</c:v>
                </c:pt>
                <c:pt idx="1367">
                  <c:v>34.540000915527337</c:v>
                </c:pt>
                <c:pt idx="1368">
                  <c:v>34.229999542236328</c:v>
                </c:pt>
                <c:pt idx="1369">
                  <c:v>34.970001220703118</c:v>
                </c:pt>
                <c:pt idx="1370">
                  <c:v>35.380001068115227</c:v>
                </c:pt>
                <c:pt idx="1371">
                  <c:v>32.139999389648438</c:v>
                </c:pt>
                <c:pt idx="1372">
                  <c:v>32.490001678466797</c:v>
                </c:pt>
                <c:pt idx="1373">
                  <c:v>32.049999237060547</c:v>
                </c:pt>
                <c:pt idx="1374">
                  <c:v>32.060001373291023</c:v>
                </c:pt>
                <c:pt idx="1375">
                  <c:v>33.409999847412109</c:v>
                </c:pt>
                <c:pt idx="1376">
                  <c:v>33.470001220703118</c:v>
                </c:pt>
                <c:pt idx="1377">
                  <c:v>34.310001373291023</c:v>
                </c:pt>
                <c:pt idx="1378">
                  <c:v>34.139999389648438</c:v>
                </c:pt>
                <c:pt idx="1379">
                  <c:v>34.259998321533203</c:v>
                </c:pt>
                <c:pt idx="1380">
                  <c:v>35.240001678466797</c:v>
                </c:pt>
                <c:pt idx="1381">
                  <c:v>37.040000915527337</c:v>
                </c:pt>
                <c:pt idx="1382">
                  <c:v>38.729999542236328</c:v>
                </c:pt>
                <c:pt idx="1383">
                  <c:v>38.549999237060547</c:v>
                </c:pt>
                <c:pt idx="1384">
                  <c:v>38.080001831054688</c:v>
                </c:pt>
                <c:pt idx="1385">
                  <c:v>38.580001831054688</c:v>
                </c:pt>
                <c:pt idx="1386">
                  <c:v>38.919998168945312</c:v>
                </c:pt>
                <c:pt idx="1387">
                  <c:v>38.099998474121087</c:v>
                </c:pt>
                <c:pt idx="1388">
                  <c:v>38.299999237060547</c:v>
                </c:pt>
                <c:pt idx="1389">
                  <c:v>38.319999694824219</c:v>
                </c:pt>
                <c:pt idx="1390">
                  <c:v>37.869998931884773</c:v>
                </c:pt>
                <c:pt idx="1391">
                  <c:v>37.970001220703118</c:v>
                </c:pt>
                <c:pt idx="1392">
                  <c:v>37.990001678466797</c:v>
                </c:pt>
                <c:pt idx="1393">
                  <c:v>38.360000610351562</c:v>
                </c:pt>
                <c:pt idx="1394">
                  <c:v>40.119998931884773</c:v>
                </c:pt>
                <c:pt idx="1395">
                  <c:v>39.270000457763672</c:v>
                </c:pt>
                <c:pt idx="1396">
                  <c:v>39.130001068115227</c:v>
                </c:pt>
                <c:pt idx="1397">
                  <c:v>39.110000610351562</c:v>
                </c:pt>
                <c:pt idx="1398">
                  <c:v>38.680000305175781</c:v>
                </c:pt>
                <c:pt idx="1399">
                  <c:v>38.419998168945312</c:v>
                </c:pt>
                <c:pt idx="1400">
                  <c:v>37.560001373291023</c:v>
                </c:pt>
                <c:pt idx="1401">
                  <c:v>36.799999237060547</c:v>
                </c:pt>
                <c:pt idx="1402">
                  <c:v>36.459999084472663</c:v>
                </c:pt>
                <c:pt idx="1403">
                  <c:v>36.689998626708977</c:v>
                </c:pt>
                <c:pt idx="1404">
                  <c:v>36.459999084472663</c:v>
                </c:pt>
                <c:pt idx="1405">
                  <c:v>36.069999694824219</c:v>
                </c:pt>
                <c:pt idx="1406">
                  <c:v>36.479999542236328</c:v>
                </c:pt>
                <c:pt idx="1407">
                  <c:v>36.75</c:v>
                </c:pt>
                <c:pt idx="1408">
                  <c:v>36.599998474121087</c:v>
                </c:pt>
                <c:pt idx="1409">
                  <c:v>36.880001068115227</c:v>
                </c:pt>
                <c:pt idx="1410">
                  <c:v>37.25</c:v>
                </c:pt>
                <c:pt idx="1411">
                  <c:v>36.619998931884773</c:v>
                </c:pt>
                <c:pt idx="1412">
                  <c:v>39.840000152587891</c:v>
                </c:pt>
                <c:pt idx="1413">
                  <c:v>41.689998626708977</c:v>
                </c:pt>
                <c:pt idx="1414">
                  <c:v>41</c:v>
                </c:pt>
                <c:pt idx="1415">
                  <c:v>41.029998779296882</c:v>
                </c:pt>
                <c:pt idx="1416">
                  <c:v>39.619998931884773</c:v>
                </c:pt>
                <c:pt idx="1417">
                  <c:v>41.889999389648438</c:v>
                </c:pt>
                <c:pt idx="1418">
                  <c:v>41.669998168945312</c:v>
                </c:pt>
                <c:pt idx="1419">
                  <c:v>41.810001373291023</c:v>
                </c:pt>
                <c:pt idx="1420">
                  <c:v>40.959999084472663</c:v>
                </c:pt>
                <c:pt idx="1421">
                  <c:v>41.459999084472663</c:v>
                </c:pt>
                <c:pt idx="1422">
                  <c:v>41.549999237060547</c:v>
                </c:pt>
                <c:pt idx="1423">
                  <c:v>40.979999542236328</c:v>
                </c:pt>
                <c:pt idx="1424">
                  <c:v>41.569999694824219</c:v>
                </c:pt>
                <c:pt idx="1425">
                  <c:v>42.020000457763672</c:v>
                </c:pt>
                <c:pt idx="1426">
                  <c:v>44.040000915527337</c:v>
                </c:pt>
                <c:pt idx="1427">
                  <c:v>43.330001831054688</c:v>
                </c:pt>
                <c:pt idx="1428">
                  <c:v>41.970001220703118</c:v>
                </c:pt>
                <c:pt idx="1429">
                  <c:v>41.909999847412109</c:v>
                </c:pt>
                <c:pt idx="1430">
                  <c:v>41.860000610351562</c:v>
                </c:pt>
                <c:pt idx="1431">
                  <c:v>41.779998779296882</c:v>
                </c:pt>
                <c:pt idx="1432">
                  <c:v>42.349998474121087</c:v>
                </c:pt>
                <c:pt idx="1433">
                  <c:v>42.669998168945312</c:v>
                </c:pt>
                <c:pt idx="1434">
                  <c:v>42.860000610351562</c:v>
                </c:pt>
                <c:pt idx="1435">
                  <c:v>42.810001373291023</c:v>
                </c:pt>
                <c:pt idx="1436">
                  <c:v>43.169998168945312</c:v>
                </c:pt>
                <c:pt idx="1437">
                  <c:v>43.889999389648438</c:v>
                </c:pt>
                <c:pt idx="1438">
                  <c:v>42.369998931884773</c:v>
                </c:pt>
                <c:pt idx="1439">
                  <c:v>43.349998474121087</c:v>
                </c:pt>
                <c:pt idx="1440">
                  <c:v>43.709999084472663</c:v>
                </c:pt>
                <c:pt idx="1441">
                  <c:v>43.419998168945312</c:v>
                </c:pt>
                <c:pt idx="1442">
                  <c:v>43.819999694824219</c:v>
                </c:pt>
                <c:pt idx="1443">
                  <c:v>43.630001068115227</c:v>
                </c:pt>
                <c:pt idx="1444">
                  <c:v>45.080001831054688</c:v>
                </c:pt>
                <c:pt idx="1445">
                  <c:v>46.180000305175781</c:v>
                </c:pt>
                <c:pt idx="1446">
                  <c:v>45.979999542236328</c:v>
                </c:pt>
                <c:pt idx="1447">
                  <c:v>46.240001678466797</c:v>
                </c:pt>
                <c:pt idx="1448">
                  <c:v>45.680000305175781</c:v>
                </c:pt>
                <c:pt idx="1449">
                  <c:v>46.139999389648438</c:v>
                </c:pt>
                <c:pt idx="1450">
                  <c:v>47.540000915527337</c:v>
                </c:pt>
                <c:pt idx="1451">
                  <c:v>44.950000762939453</c:v>
                </c:pt>
                <c:pt idx="1452">
                  <c:v>46.319999694824219</c:v>
                </c:pt>
                <c:pt idx="1453">
                  <c:v>46.889999389648438</c:v>
                </c:pt>
                <c:pt idx="1454">
                  <c:v>48.930000305175781</c:v>
                </c:pt>
                <c:pt idx="1455">
                  <c:v>48.029998779296882</c:v>
                </c:pt>
                <c:pt idx="1456">
                  <c:v>46.560001373291023</c:v>
                </c:pt>
                <c:pt idx="1457">
                  <c:v>47.240001678466797</c:v>
                </c:pt>
                <c:pt idx="1458">
                  <c:v>46.810001373291023</c:v>
                </c:pt>
                <c:pt idx="1459">
                  <c:v>45.950000762939453</c:v>
                </c:pt>
                <c:pt idx="1460">
                  <c:v>46.529998779296882</c:v>
                </c:pt>
                <c:pt idx="1461">
                  <c:v>48.099998474121087</c:v>
                </c:pt>
                <c:pt idx="1462">
                  <c:v>48.909999847412109</c:v>
                </c:pt>
                <c:pt idx="1463">
                  <c:v>48.450000762939453</c:v>
                </c:pt>
                <c:pt idx="1464">
                  <c:v>48.599998474121087</c:v>
                </c:pt>
                <c:pt idx="1465">
                  <c:v>47.729999542236328</c:v>
                </c:pt>
                <c:pt idx="1466">
                  <c:v>49.119998931884773</c:v>
                </c:pt>
                <c:pt idx="1467">
                  <c:v>49.139999389648438</c:v>
                </c:pt>
                <c:pt idx="1468">
                  <c:v>47.930000305175781</c:v>
                </c:pt>
                <c:pt idx="1469">
                  <c:v>51.279998779296882</c:v>
                </c:pt>
                <c:pt idx="1470">
                  <c:v>50.240001678466797</c:v>
                </c:pt>
                <c:pt idx="1471">
                  <c:v>50.389999389648438</c:v>
                </c:pt>
                <c:pt idx="1472">
                  <c:v>52.860000610351562</c:v>
                </c:pt>
                <c:pt idx="1473">
                  <c:v>51.849998474121087</c:v>
                </c:pt>
                <c:pt idx="1474">
                  <c:v>50.569999694824219</c:v>
                </c:pt>
                <c:pt idx="1475">
                  <c:v>48.479999542236328</c:v>
                </c:pt>
                <c:pt idx="1476">
                  <c:v>49.509998321533203</c:v>
                </c:pt>
                <c:pt idx="1477">
                  <c:v>48.759998321533203</c:v>
                </c:pt>
                <c:pt idx="1478">
                  <c:v>48.220001220703118</c:v>
                </c:pt>
                <c:pt idx="1479">
                  <c:v>47.619998931884773</c:v>
                </c:pt>
                <c:pt idx="1480">
                  <c:v>45.659999847412109</c:v>
                </c:pt>
                <c:pt idx="1481">
                  <c:v>45.939998626708977</c:v>
                </c:pt>
                <c:pt idx="1482">
                  <c:v>46.459999084472663</c:v>
                </c:pt>
                <c:pt idx="1483">
                  <c:v>47.080001831054688</c:v>
                </c:pt>
                <c:pt idx="1484">
                  <c:v>47.900001525878913</c:v>
                </c:pt>
                <c:pt idx="1485">
                  <c:v>48.909999847412109</c:v>
                </c:pt>
                <c:pt idx="1486">
                  <c:v>47.639999389648438</c:v>
                </c:pt>
                <c:pt idx="1487">
                  <c:v>47.630001068115227</c:v>
                </c:pt>
                <c:pt idx="1488">
                  <c:v>47.380001068115227</c:v>
                </c:pt>
                <c:pt idx="1489">
                  <c:v>48.040000915527337</c:v>
                </c:pt>
                <c:pt idx="1490">
                  <c:v>47.689998626708977</c:v>
                </c:pt>
                <c:pt idx="1491">
                  <c:v>47.590000152587891</c:v>
                </c:pt>
                <c:pt idx="1492">
                  <c:v>47.470001220703118</c:v>
                </c:pt>
                <c:pt idx="1493">
                  <c:v>48.779998779296882</c:v>
                </c:pt>
                <c:pt idx="1494">
                  <c:v>49.409198760986328</c:v>
                </c:pt>
              </c:numCache>
            </c:numRef>
          </c:val>
          <c:smooth val="0"/>
          <c:extLst>
            <c:ext xmlns:c16="http://schemas.microsoft.com/office/drawing/2014/chart" uri="{C3380CC4-5D6E-409C-BE32-E72D297353CC}">
              <c16:uniqueId val="{00000000-3797-E24B-B225-892FE2D32760}"/>
            </c:ext>
          </c:extLst>
        </c:ser>
        <c:dLbls>
          <c:showLegendKey val="0"/>
          <c:showVal val="0"/>
          <c:showCatName val="0"/>
          <c:showSerName val="0"/>
          <c:showPercent val="0"/>
          <c:showBubbleSize val="0"/>
        </c:dLbls>
        <c:smooth val="0"/>
        <c:axId val="1875952511"/>
        <c:axId val="2017143295"/>
      </c:lineChart>
      <c:dateAx>
        <c:axId val="1875952511"/>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43295"/>
        <c:crosses val="autoZero"/>
        <c:auto val="1"/>
        <c:lblOffset val="100"/>
        <c:baseTimeUnit val="days"/>
      </c:dateAx>
      <c:valAx>
        <c:axId val="201714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95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pjm!$T$7</c:f>
              <c:strCache>
                <c:ptCount val="1"/>
                <c:pt idx="0">
                  <c:v>PJM Western Hub Peak Calendar-Month Real-Time LMP</c:v>
                </c:pt>
              </c:strCache>
            </c:strRef>
          </c:tx>
          <c:spPr>
            <a:ln w="28575" cap="rnd">
              <a:solidFill>
                <a:schemeClr val="accent1"/>
              </a:solidFill>
              <a:round/>
            </a:ln>
            <a:effectLst/>
          </c:spPr>
          <c:marker>
            <c:symbol val="none"/>
          </c:marker>
          <c:cat>
            <c:numRef>
              <c:f>pjm!$S$8:$S$50</c:f>
              <c:numCache>
                <c:formatCode>mm/yyyy</c:formatCode>
                <c:ptCount val="43"/>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numCache>
            </c:numRef>
          </c:cat>
          <c:val>
            <c:numRef>
              <c:f>pjm!$T$8:$T$50</c:f>
              <c:numCache>
                <c:formatCode>0.00</c:formatCode>
                <c:ptCount val="43"/>
                <c:pt idx="0">
                  <c:v>91.38</c:v>
                </c:pt>
                <c:pt idx="1">
                  <c:v>76.08</c:v>
                </c:pt>
                <c:pt idx="2">
                  <c:v>58</c:v>
                </c:pt>
                <c:pt idx="3">
                  <c:v>57.8</c:v>
                </c:pt>
                <c:pt idx="4">
                  <c:v>58.47</c:v>
                </c:pt>
                <c:pt idx="5">
                  <c:v>65.38</c:v>
                </c:pt>
                <c:pt idx="6">
                  <c:v>94.05</c:v>
                </c:pt>
                <c:pt idx="7">
                  <c:v>80.3</c:v>
                </c:pt>
                <c:pt idx="8">
                  <c:v>63.23</c:v>
                </c:pt>
                <c:pt idx="9">
                  <c:v>61.52</c:v>
                </c:pt>
                <c:pt idx="10">
                  <c:v>60.47</c:v>
                </c:pt>
                <c:pt idx="11">
                  <c:v>70.5</c:v>
                </c:pt>
                <c:pt idx="12">
                  <c:v>98</c:v>
                </c:pt>
                <c:pt idx="13">
                  <c:v>83.4</c:v>
                </c:pt>
                <c:pt idx="14">
                  <c:v>59</c:v>
                </c:pt>
                <c:pt idx="15">
                  <c:v>57.5</c:v>
                </c:pt>
                <c:pt idx="16">
                  <c:v>58.75</c:v>
                </c:pt>
                <c:pt idx="17">
                  <c:v>65.25</c:v>
                </c:pt>
                <c:pt idx="18">
                  <c:v>93.13</c:v>
                </c:pt>
                <c:pt idx="19">
                  <c:v>85.57</c:v>
                </c:pt>
                <c:pt idx="20">
                  <c:v>62.75</c:v>
                </c:pt>
                <c:pt idx="21">
                  <c:v>60.75</c:v>
                </c:pt>
                <c:pt idx="22">
                  <c:v>61.75</c:v>
                </c:pt>
                <c:pt idx="23">
                  <c:v>69.3</c:v>
                </c:pt>
                <c:pt idx="24">
                  <c:v>89.61</c:v>
                </c:pt>
                <c:pt idx="25">
                  <c:v>84.07</c:v>
                </c:pt>
                <c:pt idx="26">
                  <c:v>64.34</c:v>
                </c:pt>
                <c:pt idx="27">
                  <c:v>57.13</c:v>
                </c:pt>
                <c:pt idx="28">
                  <c:v>59.73</c:v>
                </c:pt>
                <c:pt idx="29">
                  <c:v>63.4</c:v>
                </c:pt>
                <c:pt idx="30">
                  <c:v>91.92</c:v>
                </c:pt>
                <c:pt idx="31">
                  <c:v>84.32</c:v>
                </c:pt>
                <c:pt idx="32">
                  <c:v>62.42</c:v>
                </c:pt>
                <c:pt idx="33">
                  <c:v>56.88</c:v>
                </c:pt>
                <c:pt idx="34">
                  <c:v>61.25</c:v>
                </c:pt>
                <c:pt idx="35">
                  <c:v>75.430000000000007</c:v>
                </c:pt>
                <c:pt idx="36">
                  <c:v>93.6</c:v>
                </c:pt>
                <c:pt idx="37">
                  <c:v>85.77</c:v>
                </c:pt>
                <c:pt idx="38">
                  <c:v>64.989999999999995</c:v>
                </c:pt>
                <c:pt idx="39">
                  <c:v>58.07</c:v>
                </c:pt>
                <c:pt idx="40">
                  <c:v>60.37</c:v>
                </c:pt>
                <c:pt idx="41">
                  <c:v>64.25</c:v>
                </c:pt>
                <c:pt idx="42">
                  <c:v>85.88</c:v>
                </c:pt>
              </c:numCache>
            </c:numRef>
          </c:val>
          <c:smooth val="0"/>
          <c:extLst>
            <c:ext xmlns:c16="http://schemas.microsoft.com/office/drawing/2014/chart" uri="{C3380CC4-5D6E-409C-BE32-E72D297353CC}">
              <c16:uniqueId val="{00000000-65FC-8A48-BCEB-DADC194FF4F3}"/>
            </c:ext>
          </c:extLst>
        </c:ser>
        <c:dLbls>
          <c:showLegendKey val="0"/>
          <c:showVal val="0"/>
          <c:showCatName val="0"/>
          <c:showSerName val="0"/>
          <c:showPercent val="0"/>
          <c:showBubbleSize val="0"/>
        </c:dLbls>
        <c:smooth val="0"/>
        <c:axId val="1411737663"/>
        <c:axId val="1411739455"/>
      </c:lineChart>
      <c:dateAx>
        <c:axId val="1411737663"/>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39455"/>
        <c:crosses val="autoZero"/>
        <c:auto val="1"/>
        <c:lblOffset val="100"/>
        <c:baseTimeUnit val="months"/>
      </c:dateAx>
      <c:valAx>
        <c:axId val="141173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3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ABD PJM</a:t>
            </a:r>
            <a:r>
              <a:rPr lang="en-GB" baseline="0"/>
              <a:t>, ERCOT Elektrik Fiyat Gelecekleri ve Henry Hub Gaz Gelecek Fiyatları</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200538557314611E-2"/>
          <c:y val="0.11179541005715415"/>
          <c:w val="0.84902696252386856"/>
          <c:h val="0.67757135363501975"/>
        </c:manualLayout>
      </c:layout>
      <c:lineChart>
        <c:grouping val="standard"/>
        <c:varyColors val="0"/>
        <c:ser>
          <c:idx val="0"/>
          <c:order val="0"/>
          <c:tx>
            <c:strRef>
              <c:f>toplu!$D$5</c:f>
              <c:strCache>
                <c:ptCount val="1"/>
                <c:pt idx="0">
                  <c:v>PJM Western Hub Peak Calendar-Month Real-Time LMP</c:v>
                </c:pt>
              </c:strCache>
            </c:strRef>
          </c:tx>
          <c:spPr>
            <a:ln w="28575" cap="rnd">
              <a:solidFill>
                <a:schemeClr val="accent1"/>
              </a:solidFill>
              <a:round/>
            </a:ln>
            <a:effectLst/>
          </c:spPr>
          <c:marker>
            <c:symbol val="none"/>
          </c:marker>
          <c:cat>
            <c:numRef>
              <c:f>toplu!$C$6:$C$53</c:f>
              <c:numCache>
                <c:formatCode>mm/yyyy</c:formatCode>
                <c:ptCount val="48"/>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numCache>
            </c:numRef>
          </c:cat>
          <c:val>
            <c:numRef>
              <c:f>toplu!$D$6:$D$53</c:f>
              <c:numCache>
                <c:formatCode>0.00</c:formatCode>
                <c:ptCount val="48"/>
                <c:pt idx="0">
                  <c:v>91.38</c:v>
                </c:pt>
                <c:pt idx="1">
                  <c:v>76.08</c:v>
                </c:pt>
                <c:pt idx="2">
                  <c:v>58</c:v>
                </c:pt>
                <c:pt idx="3">
                  <c:v>57.8</c:v>
                </c:pt>
                <c:pt idx="4">
                  <c:v>58.47</c:v>
                </c:pt>
                <c:pt idx="5">
                  <c:v>65.38</c:v>
                </c:pt>
                <c:pt idx="6">
                  <c:v>94.05</c:v>
                </c:pt>
                <c:pt idx="7">
                  <c:v>80.3</c:v>
                </c:pt>
                <c:pt idx="8">
                  <c:v>63.23</c:v>
                </c:pt>
                <c:pt idx="9">
                  <c:v>61.52</c:v>
                </c:pt>
                <c:pt idx="10">
                  <c:v>60.47</c:v>
                </c:pt>
                <c:pt idx="11">
                  <c:v>70.5</c:v>
                </c:pt>
                <c:pt idx="12">
                  <c:v>98</c:v>
                </c:pt>
                <c:pt idx="13">
                  <c:v>83.4</c:v>
                </c:pt>
                <c:pt idx="14">
                  <c:v>59</c:v>
                </c:pt>
                <c:pt idx="15">
                  <c:v>57.5</c:v>
                </c:pt>
                <c:pt idx="16">
                  <c:v>58.75</c:v>
                </c:pt>
                <c:pt idx="17">
                  <c:v>65.25</c:v>
                </c:pt>
                <c:pt idx="18">
                  <c:v>93.13</c:v>
                </c:pt>
                <c:pt idx="19">
                  <c:v>85.57</c:v>
                </c:pt>
                <c:pt idx="20">
                  <c:v>62.75</c:v>
                </c:pt>
                <c:pt idx="21">
                  <c:v>60.75</c:v>
                </c:pt>
                <c:pt idx="22">
                  <c:v>61.75</c:v>
                </c:pt>
                <c:pt idx="23">
                  <c:v>69.3</c:v>
                </c:pt>
                <c:pt idx="24">
                  <c:v>89.61</c:v>
                </c:pt>
                <c:pt idx="25">
                  <c:v>84.07</c:v>
                </c:pt>
                <c:pt idx="26">
                  <c:v>64.34</c:v>
                </c:pt>
                <c:pt idx="27">
                  <c:v>57.13</c:v>
                </c:pt>
                <c:pt idx="28">
                  <c:v>59.73</c:v>
                </c:pt>
                <c:pt idx="29">
                  <c:v>63.4</c:v>
                </c:pt>
                <c:pt idx="30">
                  <c:v>91.92</c:v>
                </c:pt>
                <c:pt idx="31">
                  <c:v>84.32</c:v>
                </c:pt>
                <c:pt idx="32">
                  <c:v>62.42</c:v>
                </c:pt>
                <c:pt idx="33">
                  <c:v>56.88</c:v>
                </c:pt>
                <c:pt idx="34">
                  <c:v>61.25</c:v>
                </c:pt>
                <c:pt idx="35">
                  <c:v>75.430000000000007</c:v>
                </c:pt>
                <c:pt idx="36">
                  <c:v>93.6</c:v>
                </c:pt>
                <c:pt idx="37">
                  <c:v>85.77</c:v>
                </c:pt>
                <c:pt idx="38">
                  <c:v>64.989999999999995</c:v>
                </c:pt>
                <c:pt idx="39">
                  <c:v>58.07</c:v>
                </c:pt>
                <c:pt idx="40">
                  <c:v>60.37</c:v>
                </c:pt>
                <c:pt idx="41">
                  <c:v>64.25</c:v>
                </c:pt>
                <c:pt idx="42">
                  <c:v>85.88</c:v>
                </c:pt>
                <c:pt idx="43">
                  <c:v>79.069999999999993</c:v>
                </c:pt>
                <c:pt idx="44">
                  <c:v>63.55</c:v>
                </c:pt>
                <c:pt idx="45">
                  <c:v>58.07</c:v>
                </c:pt>
                <c:pt idx="46">
                  <c:v>62.51</c:v>
                </c:pt>
                <c:pt idx="47">
                  <c:v>76.87</c:v>
                </c:pt>
              </c:numCache>
            </c:numRef>
          </c:val>
          <c:smooth val="0"/>
          <c:extLst>
            <c:ext xmlns:c16="http://schemas.microsoft.com/office/drawing/2014/chart" uri="{C3380CC4-5D6E-409C-BE32-E72D297353CC}">
              <c16:uniqueId val="{00000000-00CB-534C-A4E6-184027D3C1F7}"/>
            </c:ext>
          </c:extLst>
        </c:ser>
        <c:ser>
          <c:idx val="1"/>
          <c:order val="1"/>
          <c:tx>
            <c:strRef>
              <c:f>toplu!$E$5</c:f>
              <c:strCache>
                <c:ptCount val="1"/>
                <c:pt idx="0">
                  <c:v>Ercot North 345 kV 5MW Peak Futures</c:v>
                </c:pt>
              </c:strCache>
            </c:strRef>
          </c:tx>
          <c:spPr>
            <a:ln w="28575" cap="rnd">
              <a:solidFill>
                <a:schemeClr val="accent2"/>
              </a:solidFill>
              <a:round/>
            </a:ln>
            <a:effectLst/>
          </c:spPr>
          <c:marker>
            <c:symbol val="none"/>
          </c:marker>
          <c:cat>
            <c:numRef>
              <c:f>toplu!$C$6:$C$53</c:f>
              <c:numCache>
                <c:formatCode>mm/yyyy</c:formatCode>
                <c:ptCount val="48"/>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numCache>
            </c:numRef>
          </c:cat>
          <c:val>
            <c:numRef>
              <c:f>toplu!$E$6:$E$53</c:f>
              <c:numCache>
                <c:formatCode>0.00</c:formatCode>
                <c:ptCount val="48"/>
                <c:pt idx="0">
                  <c:v>80.66</c:v>
                </c:pt>
                <c:pt idx="1">
                  <c:v>78.38</c:v>
                </c:pt>
                <c:pt idx="2">
                  <c:v>40.85</c:v>
                </c:pt>
                <c:pt idx="3">
                  <c:v>32.35</c:v>
                </c:pt>
                <c:pt idx="4">
                  <c:v>34.15</c:v>
                </c:pt>
                <c:pt idx="5">
                  <c:v>44.56</c:v>
                </c:pt>
                <c:pt idx="6">
                  <c:v>74.78</c:v>
                </c:pt>
                <c:pt idx="7">
                  <c:v>94.89</c:v>
                </c:pt>
                <c:pt idx="8">
                  <c:v>47.31</c:v>
                </c:pt>
                <c:pt idx="9">
                  <c:v>39.369999999999997</c:v>
                </c:pt>
                <c:pt idx="10">
                  <c:v>36.520000000000003</c:v>
                </c:pt>
                <c:pt idx="11">
                  <c:v>42.62</c:v>
                </c:pt>
                <c:pt idx="12">
                  <c:v>76.95</c:v>
                </c:pt>
                <c:pt idx="13">
                  <c:v>76.8</c:v>
                </c:pt>
                <c:pt idx="14">
                  <c:v>38.36</c:v>
                </c:pt>
                <c:pt idx="15">
                  <c:v>32.43</c:v>
                </c:pt>
                <c:pt idx="16">
                  <c:v>34.200000000000003</c:v>
                </c:pt>
                <c:pt idx="17">
                  <c:v>42.41</c:v>
                </c:pt>
                <c:pt idx="18">
                  <c:v>70.400000000000006</c:v>
                </c:pt>
                <c:pt idx="19">
                  <c:v>95.5</c:v>
                </c:pt>
                <c:pt idx="20">
                  <c:v>43.29</c:v>
                </c:pt>
                <c:pt idx="21">
                  <c:v>38.49</c:v>
                </c:pt>
                <c:pt idx="22">
                  <c:v>36.82</c:v>
                </c:pt>
                <c:pt idx="23">
                  <c:v>41.04</c:v>
                </c:pt>
                <c:pt idx="24">
                  <c:v>77.03</c:v>
                </c:pt>
                <c:pt idx="25">
                  <c:v>73.349999999999994</c:v>
                </c:pt>
                <c:pt idx="26">
                  <c:v>36.270000000000003</c:v>
                </c:pt>
                <c:pt idx="27">
                  <c:v>32.96</c:v>
                </c:pt>
                <c:pt idx="28">
                  <c:v>33.81</c:v>
                </c:pt>
                <c:pt idx="29">
                  <c:v>43.23</c:v>
                </c:pt>
                <c:pt idx="30">
                  <c:v>69.989999999999995</c:v>
                </c:pt>
                <c:pt idx="31">
                  <c:v>93.53</c:v>
                </c:pt>
                <c:pt idx="32">
                  <c:v>46.37</c:v>
                </c:pt>
                <c:pt idx="33">
                  <c:v>37.28</c:v>
                </c:pt>
                <c:pt idx="34">
                  <c:v>35.270000000000003</c:v>
                </c:pt>
                <c:pt idx="35">
                  <c:v>40.83</c:v>
                </c:pt>
                <c:pt idx="36">
                  <c:v>78.06</c:v>
                </c:pt>
                <c:pt idx="37">
                  <c:v>74.09</c:v>
                </c:pt>
                <c:pt idx="38">
                  <c:v>37.07</c:v>
                </c:pt>
                <c:pt idx="39">
                  <c:v>33.76</c:v>
                </c:pt>
                <c:pt idx="40">
                  <c:v>34.53</c:v>
                </c:pt>
                <c:pt idx="41">
                  <c:v>43.77</c:v>
                </c:pt>
                <c:pt idx="42">
                  <c:v>70.53</c:v>
                </c:pt>
                <c:pt idx="43">
                  <c:v>94.3</c:v>
                </c:pt>
                <c:pt idx="44">
                  <c:v>46.58</c:v>
                </c:pt>
                <c:pt idx="45">
                  <c:v>37.33</c:v>
                </c:pt>
                <c:pt idx="46">
                  <c:v>34.94</c:v>
                </c:pt>
                <c:pt idx="47">
                  <c:v>40.799999999999997</c:v>
                </c:pt>
              </c:numCache>
            </c:numRef>
          </c:val>
          <c:smooth val="0"/>
          <c:extLst>
            <c:ext xmlns:c16="http://schemas.microsoft.com/office/drawing/2014/chart" uri="{C3380CC4-5D6E-409C-BE32-E72D297353CC}">
              <c16:uniqueId val="{00000001-00CB-534C-A4E6-184027D3C1F7}"/>
            </c:ext>
          </c:extLst>
        </c:ser>
        <c:dLbls>
          <c:showLegendKey val="0"/>
          <c:showVal val="0"/>
          <c:showCatName val="0"/>
          <c:showSerName val="0"/>
          <c:showPercent val="0"/>
          <c:showBubbleSize val="0"/>
        </c:dLbls>
        <c:marker val="1"/>
        <c:smooth val="0"/>
        <c:axId val="2015807679"/>
        <c:axId val="1772605375"/>
      </c:lineChart>
      <c:lineChart>
        <c:grouping val="standard"/>
        <c:varyColors val="0"/>
        <c:ser>
          <c:idx val="2"/>
          <c:order val="2"/>
          <c:tx>
            <c:strRef>
              <c:f>toplu!$F$5</c:f>
              <c:strCache>
                <c:ptCount val="1"/>
                <c:pt idx="0">
                  <c:v>Henry Hub</c:v>
                </c:pt>
              </c:strCache>
            </c:strRef>
          </c:tx>
          <c:spPr>
            <a:ln w="28575" cap="rnd">
              <a:solidFill>
                <a:srgbClr val="C00000"/>
              </a:solidFill>
              <a:round/>
            </a:ln>
            <a:effectLst/>
          </c:spPr>
          <c:marker>
            <c:symbol val="none"/>
          </c:marker>
          <c:cat>
            <c:numRef>
              <c:f>toplu!$C$6:$C$53</c:f>
              <c:numCache>
                <c:formatCode>mm/yyyy</c:formatCode>
                <c:ptCount val="48"/>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numCache>
            </c:numRef>
          </c:cat>
          <c:val>
            <c:numRef>
              <c:f>toplu!$F$6:$F$53</c:f>
              <c:numCache>
                <c:formatCode>0.00</c:formatCode>
                <c:ptCount val="48"/>
                <c:pt idx="0">
                  <c:v>4.2039999999999997</c:v>
                </c:pt>
                <c:pt idx="1">
                  <c:v>3.9470000000000001</c:v>
                </c:pt>
                <c:pt idx="2">
                  <c:v>3.5489999999999999</c:v>
                </c:pt>
                <c:pt idx="3">
                  <c:v>3.52</c:v>
                </c:pt>
                <c:pt idx="4">
                  <c:v>3.5569999999999999</c:v>
                </c:pt>
                <c:pt idx="5">
                  <c:v>3.7250000000000001</c:v>
                </c:pt>
                <c:pt idx="6">
                  <c:v>3.9180000000000001</c:v>
                </c:pt>
                <c:pt idx="7">
                  <c:v>3.9670000000000001</c:v>
                </c:pt>
                <c:pt idx="8">
                  <c:v>3.9369999999999998</c:v>
                </c:pt>
                <c:pt idx="9">
                  <c:v>3.9820000000000002</c:v>
                </c:pt>
                <c:pt idx="10">
                  <c:v>4.194</c:v>
                </c:pt>
                <c:pt idx="11">
                  <c:v>4.6120000000000001</c:v>
                </c:pt>
                <c:pt idx="12">
                  <c:v>4.835</c:v>
                </c:pt>
                <c:pt idx="13">
                  <c:v>4.4130000000000003</c:v>
                </c:pt>
                <c:pt idx="14">
                  <c:v>3.823</c:v>
                </c:pt>
                <c:pt idx="15">
                  <c:v>3.4550000000000001</c:v>
                </c:pt>
                <c:pt idx="16">
                  <c:v>3.431</c:v>
                </c:pt>
                <c:pt idx="17">
                  <c:v>3.5489999999999999</c:v>
                </c:pt>
                <c:pt idx="18">
                  <c:v>3.698</c:v>
                </c:pt>
                <c:pt idx="19">
                  <c:v>3.742</c:v>
                </c:pt>
                <c:pt idx="20">
                  <c:v>3.726</c:v>
                </c:pt>
                <c:pt idx="21">
                  <c:v>3.79</c:v>
                </c:pt>
                <c:pt idx="22">
                  <c:v>3.9620000000000002</c:v>
                </c:pt>
                <c:pt idx="23">
                  <c:v>4.3949999999999996</c:v>
                </c:pt>
                <c:pt idx="24">
                  <c:v>4.7</c:v>
                </c:pt>
                <c:pt idx="25">
                  <c:v>4.32</c:v>
                </c:pt>
                <c:pt idx="26">
                  <c:v>3.718</c:v>
                </c:pt>
                <c:pt idx="27">
                  <c:v>3.266</c:v>
                </c:pt>
                <c:pt idx="30">
                  <c:v>3.5150000000000001</c:v>
                </c:pt>
                <c:pt idx="33">
                  <c:v>3.63</c:v>
                </c:pt>
                <c:pt idx="35">
                  <c:v>4.2290000000000001</c:v>
                </c:pt>
                <c:pt idx="38">
                  <c:v>3.585</c:v>
                </c:pt>
                <c:pt idx="39">
                  <c:v>3.165</c:v>
                </c:pt>
              </c:numCache>
            </c:numRef>
          </c:val>
          <c:smooth val="0"/>
          <c:extLst>
            <c:ext xmlns:c16="http://schemas.microsoft.com/office/drawing/2014/chart" uri="{C3380CC4-5D6E-409C-BE32-E72D297353CC}">
              <c16:uniqueId val="{00000002-00CB-534C-A4E6-184027D3C1F7}"/>
            </c:ext>
          </c:extLst>
        </c:ser>
        <c:dLbls>
          <c:showLegendKey val="0"/>
          <c:showVal val="0"/>
          <c:showCatName val="0"/>
          <c:showSerName val="0"/>
          <c:showPercent val="0"/>
          <c:showBubbleSize val="0"/>
        </c:dLbls>
        <c:marker val="1"/>
        <c:smooth val="0"/>
        <c:axId val="2015606783"/>
        <c:axId val="2016461247"/>
      </c:lineChart>
      <c:dateAx>
        <c:axId val="2015807679"/>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605375"/>
        <c:crosses val="autoZero"/>
        <c:auto val="1"/>
        <c:lblOffset val="100"/>
        <c:baseTimeUnit val="months"/>
      </c:dateAx>
      <c:valAx>
        <c:axId val="1772605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07679"/>
        <c:crosses val="autoZero"/>
        <c:crossBetween val="between"/>
      </c:valAx>
      <c:valAx>
        <c:axId val="20164612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$/mmbtu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606783"/>
        <c:crosses val="max"/>
        <c:crossBetween val="between"/>
      </c:valAx>
      <c:dateAx>
        <c:axId val="2015606783"/>
        <c:scaling>
          <c:orientation val="minMax"/>
        </c:scaling>
        <c:delete val="1"/>
        <c:axPos val="b"/>
        <c:numFmt formatCode="mm/yyyy" sourceLinked="1"/>
        <c:majorTickMark val="out"/>
        <c:minorTickMark val="none"/>
        <c:tickLblPos val="nextTo"/>
        <c:crossAx val="2016461247"/>
        <c:auto val="1"/>
        <c:lblOffset val="100"/>
        <c:baseTimeUnit val="months"/>
      </c:dateAx>
      <c:spPr>
        <a:noFill/>
        <a:ln>
          <a:noFill/>
        </a:ln>
        <a:effectLst/>
      </c:spPr>
    </c:plotArea>
    <c:legend>
      <c:legendPos val="b"/>
      <c:layout>
        <c:manualLayout>
          <c:xMode val="edge"/>
          <c:yMode val="edge"/>
          <c:x val="5.6959073123600927E-2"/>
          <c:y val="0.12107232961813358"/>
          <c:w val="0.89999997272862886"/>
          <c:h val="5.4769755882891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ABD Emisyonları - Gt CO2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emisyon!$F$7</c:f>
              <c:strCache>
                <c:ptCount val="1"/>
                <c:pt idx="0">
                  <c:v>Gt CO2</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emisyon!$E$8:$E$23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emisyon!$F$8:$F$23</c:f>
              <c:numCache>
                <c:formatCode>0.0</c:formatCode>
                <c:ptCount val="16"/>
                <c:pt idx="0">
                  <c:v>5.4861040000000001</c:v>
                </c:pt>
                <c:pt idx="1">
                  <c:v>5.6692499999999999</c:v>
                </c:pt>
                <c:pt idx="2">
                  <c:v>5.5389730000000004</c:v>
                </c:pt>
                <c:pt idx="3">
                  <c:v>5.3314672999999999</c:v>
                </c:pt>
                <c:pt idx="4">
                  <c:v>5.4734360000000004</c:v>
                </c:pt>
                <c:pt idx="5">
                  <c:v>5.5313853000000002</c:v>
                </c:pt>
                <c:pt idx="6">
                  <c:v>5.3684966000000003</c:v>
                </c:pt>
                <c:pt idx="7">
                  <c:v>5.2453617000000001</c:v>
                </c:pt>
                <c:pt idx="8">
                  <c:v>5.1954175999999999</c:v>
                </c:pt>
                <c:pt idx="9">
                  <c:v>5.3612365000000004</c:v>
                </c:pt>
                <c:pt idx="10">
                  <c:v>5.2359119999999999</c:v>
                </c:pt>
                <c:pt idx="11">
                  <c:v>4.6899540000000002</c:v>
                </c:pt>
                <c:pt idx="12">
                  <c:v>5.020111</c:v>
                </c:pt>
                <c:pt idx="13">
                  <c:v>5.0554030000000001</c:v>
                </c:pt>
                <c:pt idx="14">
                  <c:v>4.9184067000000002</c:v>
                </c:pt>
                <c:pt idx="15">
                  <c:v>4.9041199999999998</c:v>
                </c:pt>
              </c:numCache>
            </c:numRef>
          </c:val>
          <c:smooth val="0"/>
          <c:extLst>
            <c:ext xmlns:c16="http://schemas.microsoft.com/office/drawing/2014/chart" uri="{C3380CC4-5D6E-409C-BE32-E72D297353CC}">
              <c16:uniqueId val="{00000000-4ACA-FC45-945F-CF8EDD7714BD}"/>
            </c:ext>
          </c:extLst>
        </c:ser>
        <c:dLbls>
          <c:showLegendKey val="0"/>
          <c:showVal val="0"/>
          <c:showCatName val="0"/>
          <c:showSerName val="0"/>
          <c:showPercent val="0"/>
          <c:showBubbleSize val="0"/>
        </c:dLbls>
        <c:smooth val="0"/>
        <c:axId val="2224832"/>
        <c:axId val="2015164863"/>
      </c:lineChart>
      <c:catAx>
        <c:axId val="222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164863"/>
        <c:crosses val="autoZero"/>
        <c:auto val="1"/>
        <c:lblAlgn val="ctr"/>
        <c:lblOffset val="100"/>
        <c:noMultiLvlLbl val="0"/>
      </c:catAx>
      <c:valAx>
        <c:axId val="2015164863"/>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http://www.facebook.com/CMEGroup" TargetMode="External"/><Relationship Id="rId2" Type="http://schemas.openxmlformats.org/officeDocument/2006/relationships/hyperlink" Target="http://twitter.com/CMEGroup" TargetMode="External"/><Relationship Id="rId1" Type="http://schemas.openxmlformats.org/officeDocument/2006/relationships/hyperlink" Target="https://www.youtube.com/user/cmegroup" TargetMode="External"/><Relationship Id="rId6" Type="http://schemas.openxmlformats.org/officeDocument/2006/relationships/hyperlink" Target="http://www.cmegroup.com/rss/" TargetMode="External"/><Relationship Id="rId5" Type="http://schemas.openxmlformats.org/officeDocument/2006/relationships/hyperlink" Target="http://instagram.com/cmegroup" TargetMode="External"/><Relationship Id="rId4" Type="http://schemas.openxmlformats.org/officeDocument/2006/relationships/hyperlink" Target="http://www.linkedin.com/company/cme-group" TargetMode="Externa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520700</xdr:colOff>
      <xdr:row>1</xdr:row>
      <xdr:rowOff>63500</xdr:rowOff>
    </xdr:from>
    <xdr:to>
      <xdr:col>18</xdr:col>
      <xdr:colOff>330200</xdr:colOff>
      <xdr:row>23</xdr:row>
      <xdr:rowOff>50800</xdr:rowOff>
    </xdr:to>
    <xdr:graphicFrame macro="">
      <xdr:nvGraphicFramePr>
        <xdr:cNvPr id="3" name="Chart 2">
          <a:extLst>
            <a:ext uri="{FF2B5EF4-FFF2-40B4-BE49-F238E27FC236}">
              <a16:creationId xmlns:a16="http://schemas.microsoft.com/office/drawing/2014/main" id="{706ACF89-463B-684D-9294-2F132E034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0.83496</cdr:x>
      <cdr:y>0.11442</cdr:y>
    </cdr:from>
    <cdr:to>
      <cdr:x>0.83597</cdr:x>
      <cdr:y>0.83516</cdr:y>
    </cdr:to>
    <cdr:cxnSp macro="">
      <cdr:nvCxnSpPr>
        <cdr:cNvPr id="3" name="Straight Connector 2">
          <a:extLst xmlns:a="http://schemas.openxmlformats.org/drawingml/2006/main">
            <a:ext uri="{FF2B5EF4-FFF2-40B4-BE49-F238E27FC236}">
              <a16:creationId xmlns:a16="http://schemas.microsoft.com/office/drawing/2014/main" id="{60AFA1EC-488E-673C-ECD9-EC3D3F6A30A2}"/>
            </a:ext>
          </a:extLst>
        </cdr:cNvPr>
        <cdr:cNvCxnSpPr/>
      </cdr:nvCxnSpPr>
      <cdr:spPr>
        <a:xfrm xmlns:a="http://schemas.openxmlformats.org/drawingml/2006/main" flipH="1" flipV="1">
          <a:off x="6039757" y="473528"/>
          <a:ext cx="7257" cy="2982686"/>
        </a:xfrm>
        <a:prstGeom xmlns:a="http://schemas.openxmlformats.org/drawingml/2006/main" prst="line">
          <a:avLst/>
        </a:prstGeom>
        <a:ln xmlns:a="http://schemas.openxmlformats.org/drawingml/2006/main">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0.20868</cdr:x>
      <cdr:y>0.11749</cdr:y>
    </cdr:from>
    <cdr:to>
      <cdr:x>0.20968</cdr:x>
      <cdr:y>0.83823</cdr:y>
    </cdr:to>
    <cdr:cxnSp macro="">
      <cdr:nvCxnSpPr>
        <cdr:cNvPr id="4" name="Straight Connector 3">
          <a:extLst xmlns:a="http://schemas.openxmlformats.org/drawingml/2006/main">
            <a:ext uri="{FF2B5EF4-FFF2-40B4-BE49-F238E27FC236}">
              <a16:creationId xmlns:a16="http://schemas.microsoft.com/office/drawing/2014/main" id="{8E6E6DEC-67FC-1C3B-DB29-F9831CF90FAE}"/>
            </a:ext>
          </a:extLst>
        </cdr:cNvPr>
        <cdr:cNvCxnSpPr/>
      </cdr:nvCxnSpPr>
      <cdr:spPr>
        <a:xfrm xmlns:a="http://schemas.openxmlformats.org/drawingml/2006/main" flipH="1" flipV="1">
          <a:off x="1509485" y="486229"/>
          <a:ext cx="7257" cy="2982686"/>
        </a:xfrm>
        <a:prstGeom xmlns:a="http://schemas.openxmlformats.org/drawingml/2006/main" prst="line">
          <a:avLst/>
        </a:prstGeom>
        <a:ln xmlns:a="http://schemas.openxmlformats.org/drawingml/2006/main">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0.06647</cdr:x>
      <cdr:y>0.21964</cdr:y>
    </cdr:from>
    <cdr:to>
      <cdr:x>0.19288</cdr:x>
      <cdr:y>0.4406</cdr:y>
    </cdr:to>
    <cdr:sp macro="" textlink="">
      <cdr:nvSpPr>
        <cdr:cNvPr id="5" name="TextBox 4">
          <a:extLst xmlns:a="http://schemas.openxmlformats.org/drawingml/2006/main">
            <a:ext uri="{FF2B5EF4-FFF2-40B4-BE49-F238E27FC236}">
              <a16:creationId xmlns:a16="http://schemas.microsoft.com/office/drawing/2014/main" id="{F868A1D6-B993-4D43-31D3-C6BAF3FDD4F4}"/>
            </a:ext>
          </a:extLst>
        </cdr:cNvPr>
        <cdr:cNvSpPr txBox="1"/>
      </cdr:nvSpPr>
      <cdr:spPr>
        <a:xfrm xmlns:a="http://schemas.openxmlformats.org/drawingml/2006/main">
          <a:off x="480786" y="90895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kern="1200"/>
            <a:t>Trump</a:t>
          </a:r>
          <a:r>
            <a:rPr lang="en-GB" sz="1100" kern="1200" baseline="0"/>
            <a:t> </a:t>
          </a:r>
        </a:p>
        <a:p xmlns:a="http://schemas.openxmlformats.org/drawingml/2006/main">
          <a:r>
            <a:rPr lang="en-GB" sz="1100" kern="1200" baseline="0"/>
            <a:t>Dönemi</a:t>
          </a:r>
          <a:endParaRPr lang="en-GB" sz="1100" kern="1200"/>
        </a:p>
      </cdr:txBody>
    </cdr:sp>
  </cdr:relSizeAnchor>
  <cdr:relSizeAnchor xmlns:cdr="http://schemas.openxmlformats.org/drawingml/2006/chartDrawing">
    <cdr:from>
      <cdr:x>0.84274</cdr:x>
      <cdr:y>0.20868</cdr:y>
    </cdr:from>
    <cdr:to>
      <cdr:x>0.96915</cdr:x>
      <cdr:y>0.42964</cdr:y>
    </cdr:to>
    <cdr:sp macro="" textlink="">
      <cdr:nvSpPr>
        <cdr:cNvPr id="6" name="TextBox 1">
          <a:extLst xmlns:a="http://schemas.openxmlformats.org/drawingml/2006/main">
            <a:ext uri="{FF2B5EF4-FFF2-40B4-BE49-F238E27FC236}">
              <a16:creationId xmlns:a16="http://schemas.microsoft.com/office/drawing/2014/main" id="{C8F082DE-B19B-CBFE-2F57-C4A6B328EFBC}"/>
            </a:ext>
          </a:extLst>
        </cdr:cNvPr>
        <cdr:cNvSpPr txBox="1"/>
      </cdr:nvSpPr>
      <cdr:spPr>
        <a:xfrm xmlns:a="http://schemas.openxmlformats.org/drawingml/2006/main">
          <a:off x="6096000" y="863600"/>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Trump</a:t>
          </a:r>
          <a:r>
            <a:rPr lang="en-GB" sz="1100" kern="1200" baseline="0"/>
            <a:t> </a:t>
          </a:r>
        </a:p>
        <a:p xmlns:a="http://schemas.openxmlformats.org/drawingml/2006/main">
          <a:r>
            <a:rPr lang="en-GB" sz="1100" kern="1200" baseline="0"/>
            <a:t>Dönemi</a:t>
          </a:r>
          <a:endParaRPr lang="en-GB" sz="1100" kern="1200"/>
        </a:p>
      </cdr:txBody>
    </cdr:sp>
  </cdr:relSizeAnchor>
  <cdr:relSizeAnchor xmlns:cdr="http://schemas.openxmlformats.org/drawingml/2006/chartDrawing">
    <cdr:from>
      <cdr:x>0.45648</cdr:x>
      <cdr:y>0.21219</cdr:y>
    </cdr:from>
    <cdr:to>
      <cdr:x>0.58289</cdr:x>
      <cdr:y>0.43314</cdr:y>
    </cdr:to>
    <cdr:sp macro="" textlink="">
      <cdr:nvSpPr>
        <cdr:cNvPr id="7" name="TextBox 1">
          <a:extLst xmlns:a="http://schemas.openxmlformats.org/drawingml/2006/main">
            <a:ext uri="{FF2B5EF4-FFF2-40B4-BE49-F238E27FC236}">
              <a16:creationId xmlns:a16="http://schemas.microsoft.com/office/drawing/2014/main" id="{F74BBAFF-B596-742F-203E-8E12103F876F}"/>
            </a:ext>
          </a:extLst>
        </cdr:cNvPr>
        <cdr:cNvSpPr txBox="1"/>
      </cdr:nvSpPr>
      <cdr:spPr>
        <a:xfrm xmlns:a="http://schemas.openxmlformats.org/drawingml/2006/main">
          <a:off x="3302000" y="878114"/>
          <a:ext cx="914400" cy="9144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Biden</a:t>
          </a:r>
          <a:r>
            <a:rPr lang="en-GB" sz="1100" kern="1200" baseline="0"/>
            <a:t> </a:t>
          </a:r>
        </a:p>
        <a:p xmlns:a="http://schemas.openxmlformats.org/drawingml/2006/main">
          <a:r>
            <a:rPr lang="en-GB" sz="1100" kern="1200" baseline="0"/>
            <a:t>Dönemi</a:t>
          </a:r>
          <a:endParaRPr lang="en-GB" sz="1100" kern="1200"/>
        </a:p>
      </cdr:txBody>
    </cdr:sp>
  </cdr:relSizeAnchor>
  <cdr:relSizeAnchor xmlns:cdr="http://schemas.openxmlformats.org/drawingml/2006/chartDrawing">
    <cdr:from>
      <cdr:x>0.22699</cdr:x>
      <cdr:y>0.26173</cdr:y>
    </cdr:from>
    <cdr:to>
      <cdr:x>0.81991</cdr:x>
      <cdr:y>0.66506</cdr:y>
    </cdr:to>
    <cdr:cxnSp macro="">
      <cdr:nvCxnSpPr>
        <cdr:cNvPr id="9" name="Straight Connector 8">
          <a:extLst xmlns:a="http://schemas.openxmlformats.org/drawingml/2006/main">
            <a:ext uri="{FF2B5EF4-FFF2-40B4-BE49-F238E27FC236}">
              <a16:creationId xmlns:a16="http://schemas.microsoft.com/office/drawing/2014/main" id="{275AC05A-F3BE-AE91-DA8E-F1D4F7FE9065}"/>
            </a:ext>
          </a:extLst>
        </cdr:cNvPr>
        <cdr:cNvCxnSpPr/>
      </cdr:nvCxnSpPr>
      <cdr:spPr>
        <a:xfrm xmlns:a="http://schemas.openxmlformats.org/drawingml/2006/main">
          <a:off x="1641928" y="1083128"/>
          <a:ext cx="4288972" cy="1669143"/>
        </a:xfrm>
        <a:prstGeom xmlns:a="http://schemas.openxmlformats.org/drawingml/2006/main" prst="line">
          <a:avLst/>
        </a:prstGeom>
        <a:ln xmlns:a="http://schemas.openxmlformats.org/drawingml/2006/main">
          <a:solidFill>
            <a:schemeClr val="accent5">
              <a:lumMod val="60000"/>
              <a:lumOff val="40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0.04941</cdr:x>
      <cdr:y>0.23542</cdr:y>
    </cdr:from>
    <cdr:to>
      <cdr:x>0.21395</cdr:x>
      <cdr:y>0.67207</cdr:y>
    </cdr:to>
    <cdr:cxnSp macro="">
      <cdr:nvCxnSpPr>
        <cdr:cNvPr id="10" name="Straight Connector 9">
          <a:extLst xmlns:a="http://schemas.openxmlformats.org/drawingml/2006/main">
            <a:ext uri="{FF2B5EF4-FFF2-40B4-BE49-F238E27FC236}">
              <a16:creationId xmlns:a16="http://schemas.microsoft.com/office/drawing/2014/main" id="{5A6B7B75-C2DC-C793-ABE7-84E1C57F86CB}"/>
            </a:ext>
          </a:extLst>
        </cdr:cNvPr>
        <cdr:cNvCxnSpPr/>
      </cdr:nvCxnSpPr>
      <cdr:spPr>
        <a:xfrm xmlns:a="http://schemas.openxmlformats.org/drawingml/2006/main" flipV="1">
          <a:off x="357414" y="974271"/>
          <a:ext cx="1190171" cy="1807029"/>
        </a:xfrm>
        <a:prstGeom xmlns:a="http://schemas.openxmlformats.org/drawingml/2006/main" prst="line">
          <a:avLst/>
        </a:prstGeom>
        <a:ln xmlns:a="http://schemas.openxmlformats.org/drawingml/2006/main">
          <a:solidFill>
            <a:schemeClr val="accent5">
              <a:lumMod val="60000"/>
              <a:lumOff val="40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0.83697</cdr:x>
      <cdr:y>0.55809</cdr:y>
    </cdr:from>
    <cdr:to>
      <cdr:x>0.98947</cdr:x>
      <cdr:y>0.6861</cdr:y>
    </cdr:to>
    <cdr:cxnSp macro="">
      <cdr:nvCxnSpPr>
        <cdr:cNvPr id="13" name="Straight Connector 12">
          <a:extLst xmlns:a="http://schemas.openxmlformats.org/drawingml/2006/main">
            <a:ext uri="{FF2B5EF4-FFF2-40B4-BE49-F238E27FC236}">
              <a16:creationId xmlns:a16="http://schemas.microsoft.com/office/drawing/2014/main" id="{5E796D67-133A-D3EB-7FD0-FED8D834E36F}"/>
            </a:ext>
          </a:extLst>
        </cdr:cNvPr>
        <cdr:cNvCxnSpPr/>
      </cdr:nvCxnSpPr>
      <cdr:spPr>
        <a:xfrm xmlns:a="http://schemas.openxmlformats.org/drawingml/2006/main" flipV="1">
          <a:off x="6054270" y="2309585"/>
          <a:ext cx="1103086" cy="529772"/>
        </a:xfrm>
        <a:prstGeom xmlns:a="http://schemas.openxmlformats.org/drawingml/2006/main" prst="line">
          <a:avLst/>
        </a:prstGeom>
        <a:ln xmlns:a="http://schemas.openxmlformats.org/drawingml/2006/main">
          <a:solidFill>
            <a:schemeClr val="accent5">
              <a:lumMod val="60000"/>
              <a:lumOff val="40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1</xdr:col>
      <xdr:colOff>508000</xdr:colOff>
      <xdr:row>194</xdr:row>
      <xdr:rowOff>101600</xdr:rowOff>
    </xdr:to>
    <xdr:sp macro="" textlink="">
      <xdr:nvSpPr>
        <xdr:cNvPr id="1025" name="AutoShape 1" descr="YouTube">
          <a:hlinkClick xmlns:r="http://schemas.openxmlformats.org/officeDocument/2006/relationships" r:id="rId1" tgtFrame="_blank"/>
          <a:extLst>
            <a:ext uri="{FF2B5EF4-FFF2-40B4-BE49-F238E27FC236}">
              <a16:creationId xmlns:a16="http://schemas.microsoft.com/office/drawing/2014/main" id="{3203E3B4-216A-9B34-DFEA-D71B0BD84555}"/>
            </a:ext>
          </a:extLst>
        </xdr:cNvPr>
        <xdr:cNvSpPr>
          <a:spLocks noChangeAspect="1" noChangeArrowheads="1"/>
        </xdr:cNvSpPr>
      </xdr:nvSpPr>
      <xdr:spPr bwMode="auto">
        <a:xfrm>
          <a:off x="825500" y="390398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xdr:row>
      <xdr:rowOff>0</xdr:rowOff>
    </xdr:from>
    <xdr:to>
      <xdr:col>1</xdr:col>
      <xdr:colOff>508000</xdr:colOff>
      <xdr:row>196</xdr:row>
      <xdr:rowOff>101600</xdr:rowOff>
    </xdr:to>
    <xdr:sp macro="" textlink="">
      <xdr:nvSpPr>
        <xdr:cNvPr id="1026" name="AutoShape 2" descr="Twitter">
          <a:hlinkClick xmlns:r="http://schemas.openxmlformats.org/officeDocument/2006/relationships" r:id="rId2" tgtFrame="_blank"/>
          <a:extLst>
            <a:ext uri="{FF2B5EF4-FFF2-40B4-BE49-F238E27FC236}">
              <a16:creationId xmlns:a16="http://schemas.microsoft.com/office/drawing/2014/main" id="{C61FF7DD-982D-3271-4332-F692D0B6C3D9}"/>
            </a:ext>
          </a:extLst>
        </xdr:cNvPr>
        <xdr:cNvSpPr>
          <a:spLocks noChangeAspect="1" noChangeArrowheads="1"/>
        </xdr:cNvSpPr>
      </xdr:nvSpPr>
      <xdr:spPr bwMode="auto">
        <a:xfrm>
          <a:off x="825500" y="394462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xdr:row>
      <xdr:rowOff>0</xdr:rowOff>
    </xdr:from>
    <xdr:to>
      <xdr:col>1</xdr:col>
      <xdr:colOff>508000</xdr:colOff>
      <xdr:row>198</xdr:row>
      <xdr:rowOff>101600</xdr:rowOff>
    </xdr:to>
    <xdr:sp macro="" textlink="">
      <xdr:nvSpPr>
        <xdr:cNvPr id="1027" name="AutoShape 3" descr="Facebook">
          <a:hlinkClick xmlns:r="http://schemas.openxmlformats.org/officeDocument/2006/relationships" r:id="rId3" tgtFrame="_blank"/>
          <a:extLst>
            <a:ext uri="{FF2B5EF4-FFF2-40B4-BE49-F238E27FC236}">
              <a16:creationId xmlns:a16="http://schemas.microsoft.com/office/drawing/2014/main" id="{5337CAAB-D844-7B06-18AE-0FCB62E66C8E}"/>
            </a:ext>
          </a:extLst>
        </xdr:cNvPr>
        <xdr:cNvSpPr>
          <a:spLocks noChangeAspect="1" noChangeArrowheads="1"/>
        </xdr:cNvSpPr>
      </xdr:nvSpPr>
      <xdr:spPr bwMode="auto">
        <a:xfrm>
          <a:off x="825500" y="398526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xdr:row>
      <xdr:rowOff>0</xdr:rowOff>
    </xdr:from>
    <xdr:to>
      <xdr:col>1</xdr:col>
      <xdr:colOff>508000</xdr:colOff>
      <xdr:row>200</xdr:row>
      <xdr:rowOff>101600</xdr:rowOff>
    </xdr:to>
    <xdr:sp macro="" textlink="">
      <xdr:nvSpPr>
        <xdr:cNvPr id="1028" name="AutoShape 4" descr="LinkedIn">
          <a:hlinkClick xmlns:r="http://schemas.openxmlformats.org/officeDocument/2006/relationships" r:id="rId4" tgtFrame="_blank"/>
          <a:extLst>
            <a:ext uri="{FF2B5EF4-FFF2-40B4-BE49-F238E27FC236}">
              <a16:creationId xmlns:a16="http://schemas.microsoft.com/office/drawing/2014/main" id="{DB4DFD92-7C98-DFEA-1593-A5BEB191BEA0}"/>
            </a:ext>
          </a:extLst>
        </xdr:cNvPr>
        <xdr:cNvSpPr>
          <a:spLocks noChangeAspect="1" noChangeArrowheads="1"/>
        </xdr:cNvSpPr>
      </xdr:nvSpPr>
      <xdr:spPr bwMode="auto">
        <a:xfrm>
          <a:off x="825500" y="402590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xdr:row>
      <xdr:rowOff>0</xdr:rowOff>
    </xdr:from>
    <xdr:to>
      <xdr:col>1</xdr:col>
      <xdr:colOff>508000</xdr:colOff>
      <xdr:row>202</xdr:row>
      <xdr:rowOff>101600</xdr:rowOff>
    </xdr:to>
    <xdr:sp macro="" textlink="">
      <xdr:nvSpPr>
        <xdr:cNvPr id="1029" name="AutoShape 5" descr="Instagram">
          <a:hlinkClick xmlns:r="http://schemas.openxmlformats.org/officeDocument/2006/relationships" r:id="rId5" tgtFrame="_blank"/>
          <a:extLst>
            <a:ext uri="{FF2B5EF4-FFF2-40B4-BE49-F238E27FC236}">
              <a16:creationId xmlns:a16="http://schemas.microsoft.com/office/drawing/2014/main" id="{9F4754DD-5C02-7A12-8D0E-F13A33511EC9}"/>
            </a:ext>
          </a:extLst>
        </xdr:cNvPr>
        <xdr:cNvSpPr>
          <a:spLocks noChangeAspect="1" noChangeArrowheads="1"/>
        </xdr:cNvSpPr>
      </xdr:nvSpPr>
      <xdr:spPr bwMode="auto">
        <a:xfrm>
          <a:off x="825500" y="406654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0</xdr:rowOff>
    </xdr:from>
    <xdr:to>
      <xdr:col>1</xdr:col>
      <xdr:colOff>508000</xdr:colOff>
      <xdr:row>204</xdr:row>
      <xdr:rowOff>101600</xdr:rowOff>
    </xdr:to>
    <xdr:sp macro="" textlink="">
      <xdr:nvSpPr>
        <xdr:cNvPr id="1030" name="AutoShape 6" descr="Rss">
          <a:hlinkClick xmlns:r="http://schemas.openxmlformats.org/officeDocument/2006/relationships" r:id="rId6" tgtFrame="_blank"/>
          <a:extLst>
            <a:ext uri="{FF2B5EF4-FFF2-40B4-BE49-F238E27FC236}">
              <a16:creationId xmlns:a16="http://schemas.microsoft.com/office/drawing/2014/main" id="{DAD14A3B-69FF-9099-A3E7-101853929019}"/>
            </a:ext>
          </a:extLst>
        </xdr:cNvPr>
        <xdr:cNvSpPr>
          <a:spLocks noChangeAspect="1" noChangeArrowheads="1"/>
        </xdr:cNvSpPr>
      </xdr:nvSpPr>
      <xdr:spPr bwMode="auto">
        <a:xfrm>
          <a:off x="825500" y="4107180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0</xdr:rowOff>
    </xdr:from>
    <xdr:to>
      <xdr:col>1</xdr:col>
      <xdr:colOff>304800</xdr:colOff>
      <xdr:row>211</xdr:row>
      <xdr:rowOff>101600</xdr:rowOff>
    </xdr:to>
    <xdr:sp macro="" textlink="">
      <xdr:nvSpPr>
        <xdr:cNvPr id="1031" name="AutoShape 7" descr="whatsapp sharing button">
          <a:extLst>
            <a:ext uri="{FF2B5EF4-FFF2-40B4-BE49-F238E27FC236}">
              <a16:creationId xmlns:a16="http://schemas.microsoft.com/office/drawing/2014/main" id="{20DABE29-56FE-0BE1-A8B0-FD5FE58E558A}"/>
            </a:ext>
          </a:extLst>
        </xdr:cNvPr>
        <xdr:cNvSpPr>
          <a:spLocks noChangeAspect="1" noChangeArrowheads="1"/>
        </xdr:cNvSpPr>
      </xdr:nvSpPr>
      <xdr:spPr bwMode="auto">
        <a:xfrm>
          <a:off x="825500" y="4269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xdr:row>
      <xdr:rowOff>0</xdr:rowOff>
    </xdr:from>
    <xdr:to>
      <xdr:col>1</xdr:col>
      <xdr:colOff>304800</xdr:colOff>
      <xdr:row>212</xdr:row>
      <xdr:rowOff>101600</xdr:rowOff>
    </xdr:to>
    <xdr:sp macro="" textlink="">
      <xdr:nvSpPr>
        <xdr:cNvPr id="1032" name="AutoShape 8" descr="facebook sharing button">
          <a:extLst>
            <a:ext uri="{FF2B5EF4-FFF2-40B4-BE49-F238E27FC236}">
              <a16:creationId xmlns:a16="http://schemas.microsoft.com/office/drawing/2014/main" id="{3665D71E-ADF5-BD54-A4AC-EE3A20CF2D3E}"/>
            </a:ext>
          </a:extLst>
        </xdr:cNvPr>
        <xdr:cNvSpPr>
          <a:spLocks noChangeAspect="1" noChangeArrowheads="1"/>
        </xdr:cNvSpPr>
      </xdr:nvSpPr>
      <xdr:spPr bwMode="auto">
        <a:xfrm>
          <a:off x="825500" y="4290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0</xdr:rowOff>
    </xdr:from>
    <xdr:to>
      <xdr:col>1</xdr:col>
      <xdr:colOff>304800</xdr:colOff>
      <xdr:row>213</xdr:row>
      <xdr:rowOff>101600</xdr:rowOff>
    </xdr:to>
    <xdr:sp macro="" textlink="">
      <xdr:nvSpPr>
        <xdr:cNvPr id="1033" name="AutoShape 9" descr="twitter sharing button">
          <a:extLst>
            <a:ext uri="{FF2B5EF4-FFF2-40B4-BE49-F238E27FC236}">
              <a16:creationId xmlns:a16="http://schemas.microsoft.com/office/drawing/2014/main" id="{1556C744-B692-88E1-C6B5-26635D0EA1DE}"/>
            </a:ext>
          </a:extLst>
        </xdr:cNvPr>
        <xdr:cNvSpPr>
          <a:spLocks noChangeAspect="1" noChangeArrowheads="1"/>
        </xdr:cNvSpPr>
      </xdr:nvSpPr>
      <xdr:spPr bwMode="auto">
        <a:xfrm>
          <a:off x="825500" y="4310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xdr:row>
      <xdr:rowOff>0</xdr:rowOff>
    </xdr:from>
    <xdr:to>
      <xdr:col>1</xdr:col>
      <xdr:colOff>304800</xdr:colOff>
      <xdr:row>214</xdr:row>
      <xdr:rowOff>101600</xdr:rowOff>
    </xdr:to>
    <xdr:sp macro="" textlink="">
      <xdr:nvSpPr>
        <xdr:cNvPr id="1034" name="AutoShape 10" descr="email sharing button">
          <a:extLst>
            <a:ext uri="{FF2B5EF4-FFF2-40B4-BE49-F238E27FC236}">
              <a16:creationId xmlns:a16="http://schemas.microsoft.com/office/drawing/2014/main" id="{E92E7892-B653-1F92-31E1-44D8663C5761}"/>
            </a:ext>
          </a:extLst>
        </xdr:cNvPr>
        <xdr:cNvSpPr>
          <a:spLocks noChangeAspect="1" noChangeArrowheads="1"/>
        </xdr:cNvSpPr>
      </xdr:nvSpPr>
      <xdr:spPr bwMode="auto">
        <a:xfrm>
          <a:off x="825500" y="433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304800</xdr:colOff>
      <xdr:row>215</xdr:row>
      <xdr:rowOff>101600</xdr:rowOff>
    </xdr:to>
    <xdr:sp macro="" textlink="">
      <xdr:nvSpPr>
        <xdr:cNvPr id="1035" name="AutoShape 11" descr="messenger sharing button">
          <a:extLst>
            <a:ext uri="{FF2B5EF4-FFF2-40B4-BE49-F238E27FC236}">
              <a16:creationId xmlns:a16="http://schemas.microsoft.com/office/drawing/2014/main" id="{295774F0-8555-13D6-CC24-74942EEE0EA2}"/>
            </a:ext>
          </a:extLst>
        </xdr:cNvPr>
        <xdr:cNvSpPr>
          <a:spLocks noChangeAspect="1" noChangeArrowheads="1"/>
        </xdr:cNvSpPr>
      </xdr:nvSpPr>
      <xdr:spPr bwMode="auto">
        <a:xfrm>
          <a:off x="825500" y="435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0</xdr:rowOff>
    </xdr:from>
    <xdr:to>
      <xdr:col>1</xdr:col>
      <xdr:colOff>304800</xdr:colOff>
      <xdr:row>215</xdr:row>
      <xdr:rowOff>304800</xdr:rowOff>
    </xdr:to>
    <xdr:sp macro="" textlink="">
      <xdr:nvSpPr>
        <xdr:cNvPr id="1036" name="AutoShape 12" descr="arrow_right sharing button">
          <a:extLst>
            <a:ext uri="{FF2B5EF4-FFF2-40B4-BE49-F238E27FC236}">
              <a16:creationId xmlns:a16="http://schemas.microsoft.com/office/drawing/2014/main" id="{22DF3C22-9760-4CB9-E2B4-01E89EAA55D1}"/>
            </a:ext>
          </a:extLst>
        </xdr:cNvPr>
        <xdr:cNvSpPr>
          <a:spLocks noChangeAspect="1" noChangeArrowheads="1"/>
        </xdr:cNvSpPr>
      </xdr:nvSpPr>
      <xdr:spPr bwMode="auto">
        <a:xfrm>
          <a:off x="825500" y="4371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171450</xdr:colOff>
      <xdr:row>9</xdr:row>
      <xdr:rowOff>184150</xdr:rowOff>
    </xdr:from>
    <xdr:to>
      <xdr:col>15</xdr:col>
      <xdr:colOff>615950</xdr:colOff>
      <xdr:row>23</xdr:row>
      <xdr:rowOff>82550</xdr:rowOff>
    </xdr:to>
    <xdr:graphicFrame macro="">
      <xdr:nvGraphicFramePr>
        <xdr:cNvPr id="2" name="Chart 1">
          <a:extLst>
            <a:ext uri="{FF2B5EF4-FFF2-40B4-BE49-F238E27FC236}">
              <a16:creationId xmlns:a16="http://schemas.microsoft.com/office/drawing/2014/main" id="{F96119DD-93E2-AD76-2557-ECEF8D04A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404139</xdr:colOff>
      <xdr:row>6</xdr:row>
      <xdr:rowOff>175938</xdr:rowOff>
    </xdr:from>
    <xdr:to>
      <xdr:col>18</xdr:col>
      <xdr:colOff>283489</xdr:colOff>
      <xdr:row>26</xdr:row>
      <xdr:rowOff>39662</xdr:rowOff>
    </xdr:to>
    <xdr:graphicFrame macro="">
      <xdr:nvGraphicFramePr>
        <xdr:cNvPr id="2" name="Chart 1">
          <a:extLst>
            <a:ext uri="{FF2B5EF4-FFF2-40B4-BE49-F238E27FC236}">
              <a16:creationId xmlns:a16="http://schemas.microsoft.com/office/drawing/2014/main" id="{24168AE5-EE4A-1997-90AF-BA6BB7D04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431800</xdr:colOff>
      <xdr:row>15</xdr:row>
      <xdr:rowOff>114300</xdr:rowOff>
    </xdr:from>
    <xdr:to>
      <xdr:col>17</xdr:col>
      <xdr:colOff>768350</xdr:colOff>
      <xdr:row>30</xdr:row>
      <xdr:rowOff>190500</xdr:rowOff>
    </xdr:to>
    <xdr:graphicFrame macro="">
      <xdr:nvGraphicFramePr>
        <xdr:cNvPr id="2" name="Chart 1">
          <a:extLst>
            <a:ext uri="{FF2B5EF4-FFF2-40B4-BE49-F238E27FC236}">
              <a16:creationId xmlns:a16="http://schemas.microsoft.com/office/drawing/2014/main" id="{DE947000-70D0-494B-AA51-E8CB4C5F2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723900</xdr:colOff>
      <xdr:row>18</xdr:row>
      <xdr:rowOff>0</xdr:rowOff>
    </xdr:from>
    <xdr:to>
      <xdr:col>13</xdr:col>
      <xdr:colOff>723900</xdr:colOff>
      <xdr:row>29</xdr:row>
      <xdr:rowOff>139700</xdr:rowOff>
    </xdr:to>
    <xdr:cxnSp macro="">
      <xdr:nvCxnSpPr>
        <xdr:cNvPr id="4" name="Straight Connector 3">
          <a:extLst>
            <a:ext uri="{FF2B5EF4-FFF2-40B4-BE49-F238E27FC236}">
              <a16:creationId xmlns:a16="http://schemas.microsoft.com/office/drawing/2014/main" id="{1D2AB8FE-44C1-5ABE-20F0-2A3012C49208}"/>
            </a:ext>
          </a:extLst>
        </xdr:cNvPr>
        <xdr:cNvCxnSpPr/>
      </xdr:nvCxnSpPr>
      <xdr:spPr>
        <a:xfrm flipV="1">
          <a:off x="11455400" y="3657600"/>
          <a:ext cx="0" cy="2374900"/>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15</xdr:col>
      <xdr:colOff>698500</xdr:colOff>
      <xdr:row>17</xdr:row>
      <xdr:rowOff>177800</xdr:rowOff>
    </xdr:from>
    <xdr:to>
      <xdr:col>15</xdr:col>
      <xdr:colOff>698500</xdr:colOff>
      <xdr:row>29</xdr:row>
      <xdr:rowOff>114300</xdr:rowOff>
    </xdr:to>
    <xdr:cxnSp macro="">
      <xdr:nvCxnSpPr>
        <xdr:cNvPr id="7" name="Straight Connector 6">
          <a:extLst>
            <a:ext uri="{FF2B5EF4-FFF2-40B4-BE49-F238E27FC236}">
              <a16:creationId xmlns:a16="http://schemas.microsoft.com/office/drawing/2014/main" id="{28DD4C1B-3AFA-6F40-AC82-86F15015069B}"/>
            </a:ext>
          </a:extLst>
        </xdr:cNvPr>
        <xdr:cNvCxnSpPr/>
      </xdr:nvCxnSpPr>
      <xdr:spPr>
        <a:xfrm flipV="1">
          <a:off x="13081000" y="3632200"/>
          <a:ext cx="0" cy="2374900"/>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oneCellAnchor>
    <xdr:from>
      <xdr:col>11</xdr:col>
      <xdr:colOff>279400</xdr:colOff>
      <xdr:row>18</xdr:row>
      <xdr:rowOff>63500</xdr:rowOff>
    </xdr:from>
    <xdr:ext cx="599395" cy="264560"/>
    <xdr:sp macro="" textlink="">
      <xdr:nvSpPr>
        <xdr:cNvPr id="8" name="TextBox 7">
          <a:extLst>
            <a:ext uri="{FF2B5EF4-FFF2-40B4-BE49-F238E27FC236}">
              <a16:creationId xmlns:a16="http://schemas.microsoft.com/office/drawing/2014/main" id="{9244BA5B-FBC2-B06E-BA54-A0F1636EFDE9}"/>
            </a:ext>
          </a:extLst>
        </xdr:cNvPr>
        <xdr:cNvSpPr txBox="1"/>
      </xdr:nvSpPr>
      <xdr:spPr>
        <a:xfrm>
          <a:off x="9359900" y="3721100"/>
          <a:ext cx="5993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Obama</a:t>
          </a:r>
        </a:p>
      </xdr:txBody>
    </xdr:sp>
    <xdr:clientData/>
  </xdr:oneCellAnchor>
  <xdr:oneCellAnchor>
    <xdr:from>
      <xdr:col>14</xdr:col>
      <xdr:colOff>292100</xdr:colOff>
      <xdr:row>18</xdr:row>
      <xdr:rowOff>50800</xdr:rowOff>
    </xdr:from>
    <xdr:ext cx="544893" cy="264560"/>
    <xdr:sp macro="" textlink="">
      <xdr:nvSpPr>
        <xdr:cNvPr id="9" name="TextBox 8">
          <a:extLst>
            <a:ext uri="{FF2B5EF4-FFF2-40B4-BE49-F238E27FC236}">
              <a16:creationId xmlns:a16="http://schemas.microsoft.com/office/drawing/2014/main" id="{2AD9FEAC-CC64-434A-B9BB-4E98180C64D5}"/>
            </a:ext>
          </a:extLst>
        </xdr:cNvPr>
        <xdr:cNvSpPr txBox="1"/>
      </xdr:nvSpPr>
      <xdr:spPr>
        <a:xfrm>
          <a:off x="11849100" y="3708400"/>
          <a:ext cx="5448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Trump</a:t>
          </a:r>
        </a:p>
      </xdr:txBody>
    </xdr:sp>
    <xdr:clientData/>
  </xdr:oneCellAnchor>
  <xdr:oneCellAnchor>
    <xdr:from>
      <xdr:col>16</xdr:col>
      <xdr:colOff>342900</xdr:colOff>
      <xdr:row>18</xdr:row>
      <xdr:rowOff>38100</xdr:rowOff>
    </xdr:from>
    <xdr:ext cx="506742" cy="264560"/>
    <xdr:sp macro="" textlink="">
      <xdr:nvSpPr>
        <xdr:cNvPr id="10" name="TextBox 9">
          <a:extLst>
            <a:ext uri="{FF2B5EF4-FFF2-40B4-BE49-F238E27FC236}">
              <a16:creationId xmlns:a16="http://schemas.microsoft.com/office/drawing/2014/main" id="{54D53D69-E060-C140-A994-2E29B3713875}"/>
            </a:ext>
          </a:extLst>
        </xdr:cNvPr>
        <xdr:cNvSpPr txBox="1"/>
      </xdr:nvSpPr>
      <xdr:spPr>
        <a:xfrm>
          <a:off x="13550900" y="3695700"/>
          <a:ext cx="5067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Biden</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cmegroup.com/tools-information/quikstrike/options-open-interest-profile.html?pid=30" TargetMode="External"/><Relationship Id="rId13" Type="http://schemas.openxmlformats.org/officeDocument/2006/relationships/hyperlink" Target="https://www.cmegroup.com/careers.html" TargetMode="External"/><Relationship Id="rId18" Type="http://schemas.openxmlformats.org/officeDocument/2006/relationships/hyperlink" Target="https://www.cmegroup.com/international" TargetMode="External"/><Relationship Id="rId26" Type="http://schemas.openxmlformats.org/officeDocument/2006/relationships/hyperlink" Target="https://www.cmegroup.com/market-regulation/outreach.html" TargetMode="External"/><Relationship Id="rId3" Type="http://schemas.openxmlformats.org/officeDocument/2006/relationships/hyperlink" Target="https://www.cmegroup.com/tools-information/calendars/expiration-calendar.html" TargetMode="External"/><Relationship Id="rId21" Type="http://schemas.openxmlformats.org/officeDocument/2006/relationships/hyperlink" Target="https://www.cmegroup.com/international/asia-pacific.html" TargetMode="External"/><Relationship Id="rId7" Type="http://schemas.openxmlformats.org/officeDocument/2006/relationships/hyperlink" Target="https://www.cmegroup.com/tools-information/quikstrike/options-open-interest-profile.html?pid=30" TargetMode="External"/><Relationship Id="rId12" Type="http://schemas.openxmlformats.org/officeDocument/2006/relationships/hyperlink" Target="https://www.cmegroup.com/media-room.html" TargetMode="External"/><Relationship Id="rId17" Type="http://schemas.openxmlformats.org/officeDocument/2006/relationships/hyperlink" Target="https://www.cmegroup.com/company/history/global-offices.html" TargetMode="External"/><Relationship Id="rId25" Type="http://schemas.openxmlformats.org/officeDocument/2006/relationships/hyperlink" Target="https://www.cmegroup.com/market-regulation/rule-filings.html" TargetMode="External"/><Relationship Id="rId2" Type="http://schemas.openxmlformats.org/officeDocument/2006/relationships/hyperlink" Target="https://www.cmegroup.com/trading/energy/cme-opec-watch-tool.html" TargetMode="External"/><Relationship Id="rId16" Type="http://schemas.openxmlformats.org/officeDocument/2006/relationships/hyperlink" Target="https://www.cmegroup.com/tools-information/contacts-list.html" TargetMode="External"/><Relationship Id="rId20" Type="http://schemas.openxmlformats.org/officeDocument/2006/relationships/hyperlink" Target="https://www.cmegroup.com/international/emea.html" TargetMode="External"/><Relationship Id="rId29" Type="http://schemas.openxmlformats.org/officeDocument/2006/relationships/hyperlink" Target="https://www.cmegroup.com/company/nymex.html" TargetMode="External"/><Relationship Id="rId1" Type="http://schemas.openxmlformats.org/officeDocument/2006/relationships/hyperlink" Target="https://www.cmegroup.com/trading/energy/cme-opec-watch-tool.html" TargetMode="External"/><Relationship Id="rId6" Type="http://schemas.openxmlformats.org/officeDocument/2006/relationships/hyperlink" Target="https://www.cmegroup.com/tools-information/quikstrike/option-settlement.html?pid=30" TargetMode="External"/><Relationship Id="rId11" Type="http://schemas.openxmlformats.org/officeDocument/2006/relationships/hyperlink" Target="https://www.cmegroup.com/company/corporate-citizenship.html" TargetMode="External"/><Relationship Id="rId24" Type="http://schemas.openxmlformats.org/officeDocument/2006/relationships/hyperlink" Target="https://www.cmegroup.com/rulebook/rulebook-harmonization.html" TargetMode="External"/><Relationship Id="rId5" Type="http://schemas.openxmlformats.org/officeDocument/2006/relationships/hyperlink" Target="https://www.cmegroup.com/tools-information/quikstrike/option-settlement.html?pid=30" TargetMode="External"/><Relationship Id="rId15" Type="http://schemas.openxmlformats.org/officeDocument/2006/relationships/hyperlink" Target="https://www.cmegroup.com/subscription-center.html" TargetMode="External"/><Relationship Id="rId23" Type="http://schemas.openxmlformats.org/officeDocument/2006/relationships/hyperlink" Target="https://www.cmegroup.com/market-regulation/rulebook.html" TargetMode="External"/><Relationship Id="rId28" Type="http://schemas.openxmlformats.org/officeDocument/2006/relationships/hyperlink" Target="https://www.cmegroup.com/company/cbot.html" TargetMode="External"/><Relationship Id="rId10" Type="http://schemas.openxmlformats.org/officeDocument/2006/relationships/hyperlink" Target="https://www.cmegroup.com/company/about-us.html" TargetMode="External"/><Relationship Id="rId19" Type="http://schemas.openxmlformats.org/officeDocument/2006/relationships/hyperlink" Target="https://www.cmegroup.com/international/latin-america.html" TargetMode="External"/><Relationship Id="rId31" Type="http://schemas.openxmlformats.org/officeDocument/2006/relationships/drawing" Target="../drawings/drawing3.xml"/><Relationship Id="rId4" Type="http://schemas.openxmlformats.org/officeDocument/2006/relationships/hyperlink" Target="https://www.cmegroup.com/tools-information/calendars/expiration-calendar.html" TargetMode="External"/><Relationship Id="rId9" Type="http://schemas.openxmlformats.org/officeDocument/2006/relationships/hyperlink" Target="https://www.cmegroup.com/markets/energy/weekly-energy-options.html?itm_source=cmegroup&amp;itm_medium=energy_promo_banner&amp;itm_campaign=mon_weds_weekly_options" TargetMode="External"/><Relationship Id="rId14" Type="http://schemas.openxmlformats.org/officeDocument/2006/relationships/hyperlink" Target="http://investor.cmegroup.com/" TargetMode="External"/><Relationship Id="rId22" Type="http://schemas.openxmlformats.org/officeDocument/2006/relationships/hyperlink" Target="https://www.cmegroup.com/market-regulation.html" TargetMode="External"/><Relationship Id="rId27" Type="http://schemas.openxmlformats.org/officeDocument/2006/relationships/hyperlink" Target="https://www.cmegroup.com/company/cme.html" TargetMode="External"/><Relationship Id="rId30" Type="http://schemas.openxmlformats.org/officeDocument/2006/relationships/hyperlink" Target="https://www.cmegroup.com/company/comex.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megroup.com/markets/energy/electricity/ercot-north-zone-mcpe-5-mw-peak-swap-futures.quotes.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cmegroup.com/markets/energy/electricity/pjm-western-hub-peak-calendar-month-real-time-lmp.quotes.options.html" TargetMode="External"/><Relationship Id="rId21" Type="http://schemas.openxmlformats.org/officeDocument/2006/relationships/hyperlink" Target="https://www.cmegroup.com/markets/energy/electricity/pjm-western-hub-peak-calendar-month-real-time-lmp.quotes.options.html" TargetMode="External"/><Relationship Id="rId42" Type="http://schemas.openxmlformats.org/officeDocument/2006/relationships/hyperlink" Target="https://www.cmegroup.com/markets/energy/electricity/pjm-western-hub-peak-calendar-month-real-time-lmp.quotes.options.html" TargetMode="External"/><Relationship Id="rId47" Type="http://schemas.openxmlformats.org/officeDocument/2006/relationships/hyperlink" Target="https://www.cmegroup.com/markets/energy/electricity/pjm-western-hub-peak-calendar-month-real-time-lmp.quotes.options.html" TargetMode="External"/><Relationship Id="rId63" Type="http://schemas.openxmlformats.org/officeDocument/2006/relationships/hyperlink" Target="https://www.cmegroup.com/markets/energy/electricity/pjm-western-hub-peak-calendar-month-real-time-lmp.quotes.options.html" TargetMode="External"/><Relationship Id="rId68" Type="http://schemas.openxmlformats.org/officeDocument/2006/relationships/hyperlink" Target="https://www.cmegroup.com/markets/energy/electricity/pjm-western-hub-peak-calendar-month-real-time-lmp.quotes.options.html" TargetMode="External"/><Relationship Id="rId2" Type="http://schemas.openxmlformats.org/officeDocument/2006/relationships/hyperlink" Target="https://www.cmegroup.com/markets/energy/electricity/pjm-western-hub-peak-calendar-month-real-time-lmp.quotes.options.html" TargetMode="External"/><Relationship Id="rId16" Type="http://schemas.openxmlformats.org/officeDocument/2006/relationships/hyperlink" Target="https://www.cmegroup.com/markets/energy/electricity/pjm-western-hub-peak-calendar-month-real-time-lmp.quotes.options.html" TargetMode="External"/><Relationship Id="rId29" Type="http://schemas.openxmlformats.org/officeDocument/2006/relationships/hyperlink" Target="https://www.cmegroup.com/markets/energy/electricity/pjm-western-hub-peak-calendar-month-real-time-lmp.quotes.options.html" TargetMode="External"/><Relationship Id="rId11" Type="http://schemas.openxmlformats.org/officeDocument/2006/relationships/hyperlink" Target="https://www.cmegroup.com/markets/energy/electricity/pjm-western-hub-peak-calendar-month-real-time-lmp.quotes.options.html" TargetMode="External"/><Relationship Id="rId24" Type="http://schemas.openxmlformats.org/officeDocument/2006/relationships/hyperlink" Target="https://www.cmegroup.com/markets/energy/electricity/pjm-western-hub-peak-calendar-month-real-time-lmp.quotes.options.html" TargetMode="External"/><Relationship Id="rId32" Type="http://schemas.openxmlformats.org/officeDocument/2006/relationships/hyperlink" Target="https://www.cmegroup.com/markets/energy/electricity/pjm-western-hub-peak-calendar-month-real-time-lmp.quotes.options.html" TargetMode="External"/><Relationship Id="rId37" Type="http://schemas.openxmlformats.org/officeDocument/2006/relationships/hyperlink" Target="https://www.cmegroup.com/markets/energy/electricity/pjm-western-hub-peak-calendar-month-real-time-lmp.quotes.options.html" TargetMode="External"/><Relationship Id="rId40" Type="http://schemas.openxmlformats.org/officeDocument/2006/relationships/hyperlink" Target="https://www.cmegroup.com/markets/energy/electricity/pjm-western-hub-peak-calendar-month-real-time-lmp.quotes.options.html" TargetMode="External"/><Relationship Id="rId45" Type="http://schemas.openxmlformats.org/officeDocument/2006/relationships/hyperlink" Target="https://www.cmegroup.com/markets/energy/electricity/pjm-western-hub-peak-calendar-month-real-time-lmp.quotes.options.html" TargetMode="External"/><Relationship Id="rId53" Type="http://schemas.openxmlformats.org/officeDocument/2006/relationships/hyperlink" Target="https://www.cmegroup.com/markets/energy/electricity/pjm-western-hub-peak-calendar-month-real-time-lmp.quotes.options.html" TargetMode="External"/><Relationship Id="rId58" Type="http://schemas.openxmlformats.org/officeDocument/2006/relationships/hyperlink" Target="https://www.cmegroup.com/markets/energy/electricity/pjm-western-hub-peak-calendar-month-real-time-lmp.quotes.options.html" TargetMode="External"/><Relationship Id="rId66" Type="http://schemas.openxmlformats.org/officeDocument/2006/relationships/hyperlink" Target="https://www.cmegroup.com/markets/energy/electricity/pjm-western-hub-peak-calendar-month-real-time-lmp.quotes.options.html" TargetMode="External"/><Relationship Id="rId74" Type="http://schemas.openxmlformats.org/officeDocument/2006/relationships/drawing" Target="../drawings/drawing4.xml"/><Relationship Id="rId5" Type="http://schemas.openxmlformats.org/officeDocument/2006/relationships/hyperlink" Target="https://www.cmegroup.com/markets/energy/electricity/pjm-western-hub-peak-calendar-month-real-time-lmp.quotes.options.html" TargetMode="External"/><Relationship Id="rId61" Type="http://schemas.openxmlformats.org/officeDocument/2006/relationships/hyperlink" Target="https://www.cmegroup.com/markets/energy/electricity/pjm-western-hub-peak-calendar-month-real-time-lmp.quotes.options.html" TargetMode="External"/><Relationship Id="rId19" Type="http://schemas.openxmlformats.org/officeDocument/2006/relationships/hyperlink" Target="https://www.cmegroup.com/markets/energy/electricity/pjm-western-hub-peak-calendar-month-real-time-lmp.quotes.options.html" TargetMode="External"/><Relationship Id="rId14" Type="http://schemas.openxmlformats.org/officeDocument/2006/relationships/hyperlink" Target="https://www.cmegroup.com/markets/energy/electricity/pjm-western-hub-peak-calendar-month-real-time-lmp.quotes.options.html" TargetMode="External"/><Relationship Id="rId22" Type="http://schemas.openxmlformats.org/officeDocument/2006/relationships/hyperlink" Target="https://www.cmegroup.com/markets/energy/electricity/pjm-western-hub-peak-calendar-month-real-time-lmp.quotes.options.html" TargetMode="External"/><Relationship Id="rId27" Type="http://schemas.openxmlformats.org/officeDocument/2006/relationships/hyperlink" Target="https://www.cmegroup.com/markets/energy/electricity/pjm-western-hub-peak-calendar-month-real-time-lmp.quotes.options.html" TargetMode="External"/><Relationship Id="rId30" Type="http://schemas.openxmlformats.org/officeDocument/2006/relationships/hyperlink" Target="https://www.cmegroup.com/markets/energy/electricity/pjm-western-hub-peak-calendar-month-real-time-lmp.quotes.options.html" TargetMode="External"/><Relationship Id="rId35" Type="http://schemas.openxmlformats.org/officeDocument/2006/relationships/hyperlink" Target="https://www.cmegroup.com/markets/energy/electricity/pjm-western-hub-peak-calendar-month-real-time-lmp.quotes.options.html" TargetMode="External"/><Relationship Id="rId43" Type="http://schemas.openxmlformats.org/officeDocument/2006/relationships/hyperlink" Target="https://www.cmegroup.com/markets/energy/electricity/pjm-western-hub-peak-calendar-month-real-time-lmp.quotes.options.html" TargetMode="External"/><Relationship Id="rId48" Type="http://schemas.openxmlformats.org/officeDocument/2006/relationships/hyperlink" Target="https://www.cmegroup.com/markets/energy/electricity/pjm-western-hub-peak-calendar-month-real-time-lmp.quotes.options.html" TargetMode="External"/><Relationship Id="rId56" Type="http://schemas.openxmlformats.org/officeDocument/2006/relationships/hyperlink" Target="https://www.cmegroup.com/markets/energy/electricity/pjm-western-hub-peak-calendar-month-real-time-lmp.quotes.options.html" TargetMode="External"/><Relationship Id="rId64" Type="http://schemas.openxmlformats.org/officeDocument/2006/relationships/hyperlink" Target="https://www.cmegroup.com/markets/energy/electricity/pjm-western-hub-peak-calendar-month-real-time-lmp.quotes.options.html" TargetMode="External"/><Relationship Id="rId69" Type="http://schemas.openxmlformats.org/officeDocument/2006/relationships/hyperlink" Target="https://www.cmegroup.com/markets/energy/electricity/pjm-western-hub-peak-calendar-month-real-time-lmp.quotes.options.html" TargetMode="External"/><Relationship Id="rId8" Type="http://schemas.openxmlformats.org/officeDocument/2006/relationships/hyperlink" Target="https://www.cmegroup.com/markets/energy/electricity/pjm-western-hub-peak-calendar-month-real-time-lmp.quotes.options.html" TargetMode="External"/><Relationship Id="rId51" Type="http://schemas.openxmlformats.org/officeDocument/2006/relationships/hyperlink" Target="https://www.cmegroup.com/markets/energy/electricity/pjm-western-hub-peak-calendar-month-real-time-lmp.quotes.options.html" TargetMode="External"/><Relationship Id="rId72" Type="http://schemas.openxmlformats.org/officeDocument/2006/relationships/hyperlink" Target="https://www.cmegroup.com/markets/energy/electricity/pjm-western-hub-peak-calendar-month-real-time-lmp.quotes.options.html" TargetMode="External"/><Relationship Id="rId3" Type="http://schemas.openxmlformats.org/officeDocument/2006/relationships/hyperlink" Target="https://www.cmegroup.com/markets/energy/electricity/pjm-western-hub-peak-calendar-month-real-time-lmp.quotes.options.html" TargetMode="External"/><Relationship Id="rId12" Type="http://schemas.openxmlformats.org/officeDocument/2006/relationships/hyperlink" Target="https://www.cmegroup.com/markets/energy/electricity/pjm-western-hub-peak-calendar-month-real-time-lmp.quotes.options.html" TargetMode="External"/><Relationship Id="rId17" Type="http://schemas.openxmlformats.org/officeDocument/2006/relationships/hyperlink" Target="https://www.cmegroup.com/markets/energy/electricity/pjm-western-hub-peak-calendar-month-real-time-lmp.quotes.options.html" TargetMode="External"/><Relationship Id="rId25" Type="http://schemas.openxmlformats.org/officeDocument/2006/relationships/hyperlink" Target="https://www.cmegroup.com/markets/energy/electricity/pjm-western-hub-peak-calendar-month-real-time-lmp.quotes.options.html" TargetMode="External"/><Relationship Id="rId33" Type="http://schemas.openxmlformats.org/officeDocument/2006/relationships/hyperlink" Target="https://www.cmegroup.com/markets/energy/electricity/pjm-western-hub-peak-calendar-month-real-time-lmp.quotes.options.html" TargetMode="External"/><Relationship Id="rId38" Type="http://schemas.openxmlformats.org/officeDocument/2006/relationships/hyperlink" Target="https://www.cmegroup.com/markets/energy/electricity/pjm-western-hub-peak-calendar-month-real-time-lmp.quotes.options.html" TargetMode="External"/><Relationship Id="rId46" Type="http://schemas.openxmlformats.org/officeDocument/2006/relationships/hyperlink" Target="https://www.cmegroup.com/markets/energy/electricity/pjm-western-hub-peak-calendar-month-real-time-lmp.quotes.options.html" TargetMode="External"/><Relationship Id="rId59" Type="http://schemas.openxmlformats.org/officeDocument/2006/relationships/hyperlink" Target="https://www.cmegroup.com/markets/energy/electricity/pjm-western-hub-peak-calendar-month-real-time-lmp.quotes.options.html" TargetMode="External"/><Relationship Id="rId67" Type="http://schemas.openxmlformats.org/officeDocument/2006/relationships/hyperlink" Target="https://www.cmegroup.com/markets/energy/electricity/pjm-western-hub-peak-calendar-month-real-time-lmp.quotes.options.html" TargetMode="External"/><Relationship Id="rId20" Type="http://schemas.openxmlformats.org/officeDocument/2006/relationships/hyperlink" Target="https://www.cmegroup.com/markets/energy/electricity/pjm-western-hub-peak-calendar-month-real-time-lmp.quotes.options.html" TargetMode="External"/><Relationship Id="rId41" Type="http://schemas.openxmlformats.org/officeDocument/2006/relationships/hyperlink" Target="https://www.cmegroup.com/markets/energy/electricity/pjm-western-hub-peak-calendar-month-real-time-lmp.quotes.options.html" TargetMode="External"/><Relationship Id="rId54" Type="http://schemas.openxmlformats.org/officeDocument/2006/relationships/hyperlink" Target="https://www.cmegroup.com/markets/energy/electricity/pjm-western-hub-peak-calendar-month-real-time-lmp.quotes.options.html" TargetMode="External"/><Relationship Id="rId62" Type="http://schemas.openxmlformats.org/officeDocument/2006/relationships/hyperlink" Target="https://www.cmegroup.com/markets/energy/electricity/pjm-western-hub-peak-calendar-month-real-time-lmp.quotes.options.html" TargetMode="External"/><Relationship Id="rId70" Type="http://schemas.openxmlformats.org/officeDocument/2006/relationships/hyperlink" Target="https://www.cmegroup.com/markets/energy/electricity/pjm-western-hub-peak-calendar-month-real-time-lmp.quotes.options.html" TargetMode="External"/><Relationship Id="rId1" Type="http://schemas.openxmlformats.org/officeDocument/2006/relationships/hyperlink" Target="https://www.cmegroup.com/markets/energy/electricity/pjm-western-hub-peak-calendar-month-real-time-lmp.quotes.options.html" TargetMode="External"/><Relationship Id="rId6" Type="http://schemas.openxmlformats.org/officeDocument/2006/relationships/hyperlink" Target="https://www.cmegroup.com/markets/energy/electricity/pjm-western-hub-peak-calendar-month-real-time-lmp.quotes.options.html" TargetMode="External"/><Relationship Id="rId15" Type="http://schemas.openxmlformats.org/officeDocument/2006/relationships/hyperlink" Target="https://www.cmegroup.com/markets/energy/electricity/pjm-western-hub-peak-calendar-month-real-time-lmp.quotes.options.html" TargetMode="External"/><Relationship Id="rId23" Type="http://schemas.openxmlformats.org/officeDocument/2006/relationships/hyperlink" Target="https://www.cmegroup.com/markets/energy/electricity/pjm-western-hub-peak-calendar-month-real-time-lmp.quotes.options.html" TargetMode="External"/><Relationship Id="rId28" Type="http://schemas.openxmlformats.org/officeDocument/2006/relationships/hyperlink" Target="https://www.cmegroup.com/markets/energy/electricity/pjm-western-hub-peak-calendar-month-real-time-lmp.quotes.options.html" TargetMode="External"/><Relationship Id="rId36" Type="http://schemas.openxmlformats.org/officeDocument/2006/relationships/hyperlink" Target="https://www.cmegroup.com/markets/energy/electricity/pjm-western-hub-peak-calendar-month-real-time-lmp.quotes.options.html" TargetMode="External"/><Relationship Id="rId49" Type="http://schemas.openxmlformats.org/officeDocument/2006/relationships/hyperlink" Target="https://www.cmegroup.com/markets/energy/electricity/pjm-western-hub-peak-calendar-month-real-time-lmp.quotes.options.html" TargetMode="External"/><Relationship Id="rId57" Type="http://schemas.openxmlformats.org/officeDocument/2006/relationships/hyperlink" Target="https://www.cmegroup.com/markets/energy/electricity/pjm-western-hub-peak-calendar-month-real-time-lmp.quotes.options.html" TargetMode="External"/><Relationship Id="rId10" Type="http://schemas.openxmlformats.org/officeDocument/2006/relationships/hyperlink" Target="https://www.cmegroup.com/markets/energy/electricity/pjm-western-hub-peak-calendar-month-real-time-lmp.quotes.options.html" TargetMode="External"/><Relationship Id="rId31" Type="http://schemas.openxmlformats.org/officeDocument/2006/relationships/hyperlink" Target="https://www.cmegroup.com/markets/energy/electricity/pjm-western-hub-peak-calendar-month-real-time-lmp.quotes.options.html" TargetMode="External"/><Relationship Id="rId44" Type="http://schemas.openxmlformats.org/officeDocument/2006/relationships/hyperlink" Target="https://www.cmegroup.com/markets/energy/electricity/pjm-western-hub-peak-calendar-month-real-time-lmp.quotes.options.html" TargetMode="External"/><Relationship Id="rId52" Type="http://schemas.openxmlformats.org/officeDocument/2006/relationships/hyperlink" Target="https://www.cmegroup.com/markets/energy/electricity/pjm-western-hub-peak-calendar-month-real-time-lmp.quotes.options.html" TargetMode="External"/><Relationship Id="rId60" Type="http://schemas.openxmlformats.org/officeDocument/2006/relationships/hyperlink" Target="https://www.cmegroup.com/markets/energy/electricity/pjm-western-hub-peak-calendar-month-real-time-lmp.quotes.options.html" TargetMode="External"/><Relationship Id="rId65" Type="http://schemas.openxmlformats.org/officeDocument/2006/relationships/hyperlink" Target="https://www.cmegroup.com/markets/energy/electricity/pjm-western-hub-peak-calendar-month-real-time-lmp.quotes.options.html" TargetMode="External"/><Relationship Id="rId73" Type="http://schemas.openxmlformats.org/officeDocument/2006/relationships/hyperlink" Target="https://www.cmegroup.com/markets/energy/electricity/pjm-western-hub-peak-calendar-month-real-time-lmp.html" TargetMode="External"/><Relationship Id="rId4" Type="http://schemas.openxmlformats.org/officeDocument/2006/relationships/hyperlink" Target="https://www.cmegroup.com/markets/energy/electricity/pjm-western-hub-peak-calendar-month-real-time-lmp.quotes.options.html" TargetMode="External"/><Relationship Id="rId9" Type="http://schemas.openxmlformats.org/officeDocument/2006/relationships/hyperlink" Target="https://www.cmegroup.com/markets/energy/electricity/pjm-western-hub-peak-calendar-month-real-time-lmp.quotes.options.html" TargetMode="External"/><Relationship Id="rId13" Type="http://schemas.openxmlformats.org/officeDocument/2006/relationships/hyperlink" Target="https://www.cmegroup.com/markets/energy/electricity/pjm-western-hub-peak-calendar-month-real-time-lmp.quotes.options.html" TargetMode="External"/><Relationship Id="rId18" Type="http://schemas.openxmlformats.org/officeDocument/2006/relationships/hyperlink" Target="https://www.cmegroup.com/markets/energy/electricity/pjm-western-hub-peak-calendar-month-real-time-lmp.quotes.options.html" TargetMode="External"/><Relationship Id="rId39" Type="http://schemas.openxmlformats.org/officeDocument/2006/relationships/hyperlink" Target="https://www.cmegroup.com/markets/energy/electricity/pjm-western-hub-peak-calendar-month-real-time-lmp.quotes.options.html" TargetMode="External"/><Relationship Id="rId34" Type="http://schemas.openxmlformats.org/officeDocument/2006/relationships/hyperlink" Target="https://www.cmegroup.com/markets/energy/electricity/pjm-western-hub-peak-calendar-month-real-time-lmp.quotes.options.html" TargetMode="External"/><Relationship Id="rId50" Type="http://schemas.openxmlformats.org/officeDocument/2006/relationships/hyperlink" Target="https://www.cmegroup.com/markets/energy/electricity/pjm-western-hub-peak-calendar-month-real-time-lmp.quotes.options.html" TargetMode="External"/><Relationship Id="rId55" Type="http://schemas.openxmlformats.org/officeDocument/2006/relationships/hyperlink" Target="https://www.cmegroup.com/markets/energy/electricity/pjm-western-hub-peak-calendar-month-real-time-lmp.quotes.options.html" TargetMode="External"/><Relationship Id="rId7" Type="http://schemas.openxmlformats.org/officeDocument/2006/relationships/hyperlink" Target="https://www.cmegroup.com/markets/energy/electricity/pjm-western-hub-peak-calendar-month-real-time-lmp.quotes.options.html" TargetMode="External"/><Relationship Id="rId71" Type="http://schemas.openxmlformats.org/officeDocument/2006/relationships/hyperlink" Target="https://www.cmegroup.com/markets/energy/electricity/pjm-western-hub-peak-calendar-month-real-time-lmp.quotes.options.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cmegroup.com/markets/energy/natural-gas/natural-gas.quotes.options.html" TargetMode="External"/><Relationship Id="rId21" Type="http://schemas.openxmlformats.org/officeDocument/2006/relationships/hyperlink" Target="https://www.cmegroup.com/markets/energy/natural-gas/natural-gas.quotes.options.html" TargetMode="External"/><Relationship Id="rId42" Type="http://schemas.openxmlformats.org/officeDocument/2006/relationships/hyperlink" Target="https://www.cmegroup.com/markets/energy/natural-gas/natural-gas.quotes.options.html" TargetMode="External"/><Relationship Id="rId63" Type="http://schemas.openxmlformats.org/officeDocument/2006/relationships/hyperlink" Target="https://www.cmegroup.com/markets/energy/natural-gas/natural-gas.quotes.options.html" TargetMode="External"/><Relationship Id="rId84" Type="http://schemas.openxmlformats.org/officeDocument/2006/relationships/hyperlink" Target="https://www.cmegroup.com/markets/energy/natural-gas/natural-gas.quotes.options.html" TargetMode="External"/><Relationship Id="rId138" Type="http://schemas.openxmlformats.org/officeDocument/2006/relationships/hyperlink" Target="https://www.cmegroup.com/markets/energy/natural-gas/natural-gas.quotes.options.html" TargetMode="External"/><Relationship Id="rId107" Type="http://schemas.openxmlformats.org/officeDocument/2006/relationships/hyperlink" Target="https://www.cmegroup.com/markets/energy/natural-gas/natural-gas.quotes.options.html" TargetMode="External"/><Relationship Id="rId11" Type="http://schemas.openxmlformats.org/officeDocument/2006/relationships/hyperlink" Target="https://www.cmegroup.com/markets/energy/natural-gas/natural-gas.quotes.options.html" TargetMode="External"/><Relationship Id="rId32" Type="http://schemas.openxmlformats.org/officeDocument/2006/relationships/hyperlink" Target="https://www.cmegroup.com/markets/energy/natural-gas/natural-gas.quotes.options.html" TargetMode="External"/><Relationship Id="rId53" Type="http://schemas.openxmlformats.org/officeDocument/2006/relationships/hyperlink" Target="https://www.cmegroup.com/markets/energy/natural-gas/natural-gas.quotes.options.html" TargetMode="External"/><Relationship Id="rId74" Type="http://schemas.openxmlformats.org/officeDocument/2006/relationships/hyperlink" Target="https://www.cmegroup.com/markets/energy/natural-gas/natural-gas.quotes.options.html" TargetMode="External"/><Relationship Id="rId128" Type="http://schemas.openxmlformats.org/officeDocument/2006/relationships/hyperlink" Target="https://www.cmegroup.com/markets/energy/natural-gas/natural-gas.quotes.options.html" TargetMode="External"/><Relationship Id="rId149" Type="http://schemas.openxmlformats.org/officeDocument/2006/relationships/hyperlink" Target="https://www.cmegroup.com/markets/energy/natural-gas/natural-gas.quotes.options.html" TargetMode="External"/><Relationship Id="rId5" Type="http://schemas.openxmlformats.org/officeDocument/2006/relationships/hyperlink" Target="https://www.cmegroup.com/markets/energy/natural-gas/natural-gas.quotes.options.html" TargetMode="External"/><Relationship Id="rId95" Type="http://schemas.openxmlformats.org/officeDocument/2006/relationships/hyperlink" Target="https://www.cmegroup.com/markets/energy/natural-gas/natural-gas.quotes.options.html" TargetMode="External"/><Relationship Id="rId22" Type="http://schemas.openxmlformats.org/officeDocument/2006/relationships/hyperlink" Target="https://www.cmegroup.com/markets/energy/natural-gas/natural-gas.quotes.options.html" TargetMode="External"/><Relationship Id="rId27" Type="http://schemas.openxmlformats.org/officeDocument/2006/relationships/hyperlink" Target="https://www.cmegroup.com/markets/energy/natural-gas/natural-gas.quotes.options.html" TargetMode="External"/><Relationship Id="rId43" Type="http://schemas.openxmlformats.org/officeDocument/2006/relationships/hyperlink" Target="https://www.cmegroup.com/markets/energy/natural-gas/natural-gas.quotes.options.html" TargetMode="External"/><Relationship Id="rId48" Type="http://schemas.openxmlformats.org/officeDocument/2006/relationships/hyperlink" Target="https://www.cmegroup.com/markets/energy/natural-gas/natural-gas.quotes.options.html" TargetMode="External"/><Relationship Id="rId64" Type="http://schemas.openxmlformats.org/officeDocument/2006/relationships/hyperlink" Target="https://www.cmegroup.com/markets/energy/natural-gas/natural-gas.quotes.options.html" TargetMode="External"/><Relationship Id="rId69" Type="http://schemas.openxmlformats.org/officeDocument/2006/relationships/hyperlink" Target="https://www.cmegroup.com/markets/energy/natural-gas/natural-gas.quotes.options.html" TargetMode="External"/><Relationship Id="rId113" Type="http://schemas.openxmlformats.org/officeDocument/2006/relationships/hyperlink" Target="https://www.cmegroup.com/markets/energy/natural-gas/natural-gas.quotes.options.html" TargetMode="External"/><Relationship Id="rId118" Type="http://schemas.openxmlformats.org/officeDocument/2006/relationships/hyperlink" Target="https://www.cmegroup.com/markets/energy/natural-gas/natural-gas.quotes.options.html" TargetMode="External"/><Relationship Id="rId134" Type="http://schemas.openxmlformats.org/officeDocument/2006/relationships/hyperlink" Target="https://www.cmegroup.com/markets/energy/natural-gas/natural-gas.quotes.options.html" TargetMode="External"/><Relationship Id="rId139" Type="http://schemas.openxmlformats.org/officeDocument/2006/relationships/hyperlink" Target="https://www.cmegroup.com/markets/energy/natural-gas/natural-gas.quotes.options.html" TargetMode="External"/><Relationship Id="rId80" Type="http://schemas.openxmlformats.org/officeDocument/2006/relationships/hyperlink" Target="https://www.cmegroup.com/markets/energy/natural-gas/natural-gas.quotes.options.html" TargetMode="External"/><Relationship Id="rId85" Type="http://schemas.openxmlformats.org/officeDocument/2006/relationships/hyperlink" Target="https://www.cmegroup.com/markets/energy/natural-gas/natural-gas.quotes.options.html" TargetMode="External"/><Relationship Id="rId150" Type="http://schemas.openxmlformats.org/officeDocument/2006/relationships/hyperlink" Target="https://www.cmegroup.com/markets/energy/natural-gas/natural-gas.quotes.options.html" TargetMode="External"/><Relationship Id="rId155" Type="http://schemas.openxmlformats.org/officeDocument/2006/relationships/hyperlink" Target="https://www.cmegroup.com/markets/energy/natural-gas/natural-gas.quotes.options.html" TargetMode="External"/><Relationship Id="rId12" Type="http://schemas.openxmlformats.org/officeDocument/2006/relationships/hyperlink" Target="https://www.cmegroup.com/markets/energy/natural-gas/natural-gas.quotes.options.html" TargetMode="External"/><Relationship Id="rId17" Type="http://schemas.openxmlformats.org/officeDocument/2006/relationships/hyperlink" Target="https://www.cmegroup.com/markets/energy/natural-gas/natural-gas.quotes.options.html" TargetMode="External"/><Relationship Id="rId33" Type="http://schemas.openxmlformats.org/officeDocument/2006/relationships/hyperlink" Target="https://www.cmegroup.com/markets/energy/natural-gas/natural-gas.quotes.options.html" TargetMode="External"/><Relationship Id="rId38" Type="http://schemas.openxmlformats.org/officeDocument/2006/relationships/hyperlink" Target="https://www.cmegroup.com/markets/energy/natural-gas/natural-gas.quotes.options.html" TargetMode="External"/><Relationship Id="rId59" Type="http://schemas.openxmlformats.org/officeDocument/2006/relationships/hyperlink" Target="https://www.cmegroup.com/markets/energy/natural-gas/natural-gas.quotes.options.html" TargetMode="External"/><Relationship Id="rId103" Type="http://schemas.openxmlformats.org/officeDocument/2006/relationships/hyperlink" Target="https://www.cmegroup.com/markets/energy/natural-gas/natural-gas.quotes.options.html" TargetMode="External"/><Relationship Id="rId108" Type="http://schemas.openxmlformats.org/officeDocument/2006/relationships/hyperlink" Target="https://www.cmegroup.com/markets/energy/natural-gas/natural-gas.quotes.options.html" TargetMode="External"/><Relationship Id="rId124" Type="http://schemas.openxmlformats.org/officeDocument/2006/relationships/hyperlink" Target="https://www.cmegroup.com/markets/energy/natural-gas/natural-gas.quotes.options.html" TargetMode="External"/><Relationship Id="rId129" Type="http://schemas.openxmlformats.org/officeDocument/2006/relationships/hyperlink" Target="https://www.cmegroup.com/markets/energy/natural-gas/natural-gas.quotes.options.html" TargetMode="External"/><Relationship Id="rId54" Type="http://schemas.openxmlformats.org/officeDocument/2006/relationships/hyperlink" Target="https://www.cmegroup.com/markets/energy/natural-gas/natural-gas.quotes.options.html" TargetMode="External"/><Relationship Id="rId70" Type="http://schemas.openxmlformats.org/officeDocument/2006/relationships/hyperlink" Target="https://www.cmegroup.com/markets/energy/natural-gas/natural-gas.quotes.options.html" TargetMode="External"/><Relationship Id="rId75" Type="http://schemas.openxmlformats.org/officeDocument/2006/relationships/hyperlink" Target="https://www.cmegroup.com/markets/energy/natural-gas/natural-gas.quotes.options.html" TargetMode="External"/><Relationship Id="rId91" Type="http://schemas.openxmlformats.org/officeDocument/2006/relationships/hyperlink" Target="https://www.cmegroup.com/markets/energy/natural-gas/natural-gas.quotes.options.html" TargetMode="External"/><Relationship Id="rId96" Type="http://schemas.openxmlformats.org/officeDocument/2006/relationships/hyperlink" Target="https://www.cmegroup.com/markets/energy/natural-gas/natural-gas.quotes.options.html" TargetMode="External"/><Relationship Id="rId140" Type="http://schemas.openxmlformats.org/officeDocument/2006/relationships/hyperlink" Target="https://www.cmegroup.com/markets/energy/natural-gas/natural-gas.quotes.options.html" TargetMode="External"/><Relationship Id="rId145" Type="http://schemas.openxmlformats.org/officeDocument/2006/relationships/hyperlink" Target="https://www.cmegroup.com/markets/energy/natural-gas/natural-gas.quotes.options.html" TargetMode="External"/><Relationship Id="rId1" Type="http://schemas.openxmlformats.org/officeDocument/2006/relationships/hyperlink" Target="https://www.cmegroup.com/markets/energy/natural-gas/natural-gas.quotes.options.html" TargetMode="External"/><Relationship Id="rId6" Type="http://schemas.openxmlformats.org/officeDocument/2006/relationships/hyperlink" Target="https://www.cmegroup.com/markets/energy/natural-gas/natural-gas.quotes.options.html" TargetMode="External"/><Relationship Id="rId23" Type="http://schemas.openxmlformats.org/officeDocument/2006/relationships/hyperlink" Target="https://www.cmegroup.com/markets/energy/natural-gas/natural-gas.quotes.options.html" TargetMode="External"/><Relationship Id="rId28" Type="http://schemas.openxmlformats.org/officeDocument/2006/relationships/hyperlink" Target="https://www.cmegroup.com/markets/energy/natural-gas/natural-gas.quotes.options.html" TargetMode="External"/><Relationship Id="rId49" Type="http://schemas.openxmlformats.org/officeDocument/2006/relationships/hyperlink" Target="https://www.cmegroup.com/markets/energy/natural-gas/natural-gas.quotes.options.html" TargetMode="External"/><Relationship Id="rId114" Type="http://schemas.openxmlformats.org/officeDocument/2006/relationships/hyperlink" Target="https://www.cmegroup.com/markets/energy/natural-gas/natural-gas.quotes.options.html" TargetMode="External"/><Relationship Id="rId119" Type="http://schemas.openxmlformats.org/officeDocument/2006/relationships/hyperlink" Target="https://www.cmegroup.com/markets/energy/natural-gas/natural-gas.quotes.options.html" TargetMode="External"/><Relationship Id="rId44" Type="http://schemas.openxmlformats.org/officeDocument/2006/relationships/hyperlink" Target="https://www.cmegroup.com/markets/energy/natural-gas/natural-gas.quotes.options.html" TargetMode="External"/><Relationship Id="rId60" Type="http://schemas.openxmlformats.org/officeDocument/2006/relationships/hyperlink" Target="https://www.cmegroup.com/markets/energy/natural-gas/natural-gas.quotes.options.html" TargetMode="External"/><Relationship Id="rId65" Type="http://schemas.openxmlformats.org/officeDocument/2006/relationships/hyperlink" Target="https://www.cmegroup.com/markets/energy/natural-gas/natural-gas.quotes.options.html" TargetMode="External"/><Relationship Id="rId81" Type="http://schemas.openxmlformats.org/officeDocument/2006/relationships/hyperlink" Target="https://www.cmegroup.com/markets/energy/natural-gas/natural-gas.quotes.options.html" TargetMode="External"/><Relationship Id="rId86" Type="http://schemas.openxmlformats.org/officeDocument/2006/relationships/hyperlink" Target="https://www.cmegroup.com/markets/energy/natural-gas/natural-gas.quotes.options.html" TargetMode="External"/><Relationship Id="rId130" Type="http://schemas.openxmlformats.org/officeDocument/2006/relationships/hyperlink" Target="https://www.cmegroup.com/markets/energy/natural-gas/natural-gas.quotes.options.html" TargetMode="External"/><Relationship Id="rId135" Type="http://schemas.openxmlformats.org/officeDocument/2006/relationships/hyperlink" Target="https://www.cmegroup.com/markets/energy/natural-gas/natural-gas.quotes.options.html" TargetMode="External"/><Relationship Id="rId151" Type="http://schemas.openxmlformats.org/officeDocument/2006/relationships/hyperlink" Target="https://www.cmegroup.com/markets/energy/natural-gas/natural-gas.quotes.options.html" TargetMode="External"/><Relationship Id="rId156" Type="http://schemas.openxmlformats.org/officeDocument/2006/relationships/hyperlink" Target="https://www.cmegroup.com/markets/energy/natural-gas/natural-gas.quotes.options.html" TargetMode="External"/><Relationship Id="rId13" Type="http://schemas.openxmlformats.org/officeDocument/2006/relationships/hyperlink" Target="https://www.cmegroup.com/markets/energy/natural-gas/natural-gas.quotes.options.html" TargetMode="External"/><Relationship Id="rId18" Type="http://schemas.openxmlformats.org/officeDocument/2006/relationships/hyperlink" Target="https://www.cmegroup.com/markets/energy/natural-gas/natural-gas.quotes.options.html" TargetMode="External"/><Relationship Id="rId39" Type="http://schemas.openxmlformats.org/officeDocument/2006/relationships/hyperlink" Target="https://www.cmegroup.com/markets/energy/natural-gas/natural-gas.quotes.options.html" TargetMode="External"/><Relationship Id="rId109" Type="http://schemas.openxmlformats.org/officeDocument/2006/relationships/hyperlink" Target="https://www.cmegroup.com/markets/energy/natural-gas/natural-gas.quotes.options.html" TargetMode="External"/><Relationship Id="rId34" Type="http://schemas.openxmlformats.org/officeDocument/2006/relationships/hyperlink" Target="https://www.cmegroup.com/markets/energy/natural-gas/natural-gas.quotes.options.html" TargetMode="External"/><Relationship Id="rId50" Type="http://schemas.openxmlformats.org/officeDocument/2006/relationships/hyperlink" Target="https://www.cmegroup.com/markets/energy/natural-gas/natural-gas.quotes.options.html" TargetMode="External"/><Relationship Id="rId55" Type="http://schemas.openxmlformats.org/officeDocument/2006/relationships/hyperlink" Target="https://www.cmegroup.com/markets/energy/natural-gas/natural-gas.quotes.options.html" TargetMode="External"/><Relationship Id="rId76" Type="http://schemas.openxmlformats.org/officeDocument/2006/relationships/hyperlink" Target="https://www.cmegroup.com/markets/energy/natural-gas/natural-gas.quotes.options.html" TargetMode="External"/><Relationship Id="rId97" Type="http://schemas.openxmlformats.org/officeDocument/2006/relationships/hyperlink" Target="https://www.cmegroup.com/markets/energy/natural-gas/natural-gas.quotes.options.html" TargetMode="External"/><Relationship Id="rId104" Type="http://schemas.openxmlformats.org/officeDocument/2006/relationships/hyperlink" Target="https://www.cmegroup.com/markets/energy/natural-gas/natural-gas.quotes.options.html" TargetMode="External"/><Relationship Id="rId120" Type="http://schemas.openxmlformats.org/officeDocument/2006/relationships/hyperlink" Target="https://www.cmegroup.com/markets/energy/natural-gas/natural-gas.quotes.options.html" TargetMode="External"/><Relationship Id="rId125" Type="http://schemas.openxmlformats.org/officeDocument/2006/relationships/hyperlink" Target="https://www.cmegroup.com/markets/energy/natural-gas/natural-gas.quotes.options.html" TargetMode="External"/><Relationship Id="rId141" Type="http://schemas.openxmlformats.org/officeDocument/2006/relationships/hyperlink" Target="https://www.cmegroup.com/markets/energy/natural-gas/natural-gas.quotes.options.html" TargetMode="External"/><Relationship Id="rId146" Type="http://schemas.openxmlformats.org/officeDocument/2006/relationships/hyperlink" Target="https://www.cmegroup.com/markets/energy/natural-gas/natural-gas.quotes.options.html" TargetMode="External"/><Relationship Id="rId7" Type="http://schemas.openxmlformats.org/officeDocument/2006/relationships/hyperlink" Target="https://www.cmegroup.com/markets/energy/natural-gas/natural-gas.quotes.options.html" TargetMode="External"/><Relationship Id="rId71" Type="http://schemas.openxmlformats.org/officeDocument/2006/relationships/hyperlink" Target="https://www.cmegroup.com/markets/energy/natural-gas/natural-gas.quotes.options.html" TargetMode="External"/><Relationship Id="rId92" Type="http://schemas.openxmlformats.org/officeDocument/2006/relationships/hyperlink" Target="https://www.cmegroup.com/markets/energy/natural-gas/natural-gas.quotes.options.html" TargetMode="External"/><Relationship Id="rId2" Type="http://schemas.openxmlformats.org/officeDocument/2006/relationships/hyperlink" Target="https://www.cmegroup.com/markets/energy/natural-gas/natural-gas.quotes.options.html" TargetMode="External"/><Relationship Id="rId29" Type="http://schemas.openxmlformats.org/officeDocument/2006/relationships/hyperlink" Target="https://www.cmegroup.com/markets/energy/natural-gas/natural-gas.quotes.options.html" TargetMode="External"/><Relationship Id="rId24" Type="http://schemas.openxmlformats.org/officeDocument/2006/relationships/hyperlink" Target="https://www.cmegroup.com/markets/energy/natural-gas/natural-gas.quotes.options.html" TargetMode="External"/><Relationship Id="rId40" Type="http://schemas.openxmlformats.org/officeDocument/2006/relationships/hyperlink" Target="https://www.cmegroup.com/markets/energy/natural-gas/natural-gas.quotes.options.html" TargetMode="External"/><Relationship Id="rId45" Type="http://schemas.openxmlformats.org/officeDocument/2006/relationships/hyperlink" Target="https://www.cmegroup.com/markets/energy/natural-gas/natural-gas.quotes.options.html" TargetMode="External"/><Relationship Id="rId66" Type="http://schemas.openxmlformats.org/officeDocument/2006/relationships/hyperlink" Target="https://www.cmegroup.com/markets/energy/natural-gas/natural-gas.quotes.options.html" TargetMode="External"/><Relationship Id="rId87" Type="http://schemas.openxmlformats.org/officeDocument/2006/relationships/hyperlink" Target="https://www.cmegroup.com/markets/energy/natural-gas/natural-gas.quotes.options.html" TargetMode="External"/><Relationship Id="rId110" Type="http://schemas.openxmlformats.org/officeDocument/2006/relationships/hyperlink" Target="https://www.cmegroup.com/markets/energy/natural-gas/natural-gas.quotes.options.html" TargetMode="External"/><Relationship Id="rId115" Type="http://schemas.openxmlformats.org/officeDocument/2006/relationships/hyperlink" Target="https://www.cmegroup.com/markets/energy/natural-gas/natural-gas.quotes.options.html" TargetMode="External"/><Relationship Id="rId131" Type="http://schemas.openxmlformats.org/officeDocument/2006/relationships/hyperlink" Target="https://www.cmegroup.com/markets/energy/natural-gas/natural-gas.quotes.options.html" TargetMode="External"/><Relationship Id="rId136" Type="http://schemas.openxmlformats.org/officeDocument/2006/relationships/hyperlink" Target="https://www.cmegroup.com/markets/energy/natural-gas/natural-gas.quotes.options.html" TargetMode="External"/><Relationship Id="rId61" Type="http://schemas.openxmlformats.org/officeDocument/2006/relationships/hyperlink" Target="https://www.cmegroup.com/markets/energy/natural-gas/natural-gas.quotes.options.html" TargetMode="External"/><Relationship Id="rId82" Type="http://schemas.openxmlformats.org/officeDocument/2006/relationships/hyperlink" Target="https://www.cmegroup.com/markets/energy/natural-gas/natural-gas.quotes.options.html" TargetMode="External"/><Relationship Id="rId152" Type="http://schemas.openxmlformats.org/officeDocument/2006/relationships/hyperlink" Target="https://www.cmegroup.com/markets/energy/natural-gas/natural-gas.quotes.options.html" TargetMode="External"/><Relationship Id="rId19" Type="http://schemas.openxmlformats.org/officeDocument/2006/relationships/hyperlink" Target="https://www.cmegroup.com/markets/energy/natural-gas/natural-gas.quotes.options.html" TargetMode="External"/><Relationship Id="rId14" Type="http://schemas.openxmlformats.org/officeDocument/2006/relationships/hyperlink" Target="https://www.cmegroup.com/markets/energy/natural-gas/natural-gas.quotes.options.html" TargetMode="External"/><Relationship Id="rId30" Type="http://schemas.openxmlformats.org/officeDocument/2006/relationships/hyperlink" Target="https://www.cmegroup.com/markets/energy/natural-gas/natural-gas.quotes.options.html" TargetMode="External"/><Relationship Id="rId35" Type="http://schemas.openxmlformats.org/officeDocument/2006/relationships/hyperlink" Target="https://www.cmegroup.com/markets/energy/natural-gas/natural-gas.quotes.options.html" TargetMode="External"/><Relationship Id="rId56" Type="http://schemas.openxmlformats.org/officeDocument/2006/relationships/hyperlink" Target="https://www.cmegroup.com/markets/energy/natural-gas/natural-gas.quotes.options.html" TargetMode="External"/><Relationship Id="rId77" Type="http://schemas.openxmlformats.org/officeDocument/2006/relationships/hyperlink" Target="https://www.cmegroup.com/markets/energy/natural-gas/natural-gas.quotes.options.html" TargetMode="External"/><Relationship Id="rId100" Type="http://schemas.openxmlformats.org/officeDocument/2006/relationships/hyperlink" Target="https://www.cmegroup.com/markets/energy/natural-gas/natural-gas.quotes.options.html" TargetMode="External"/><Relationship Id="rId105" Type="http://schemas.openxmlformats.org/officeDocument/2006/relationships/hyperlink" Target="https://www.cmegroup.com/markets/energy/natural-gas/natural-gas.quotes.options.html" TargetMode="External"/><Relationship Id="rId126" Type="http://schemas.openxmlformats.org/officeDocument/2006/relationships/hyperlink" Target="https://www.cmegroup.com/markets/energy/natural-gas/natural-gas.quotes.options.html" TargetMode="External"/><Relationship Id="rId147" Type="http://schemas.openxmlformats.org/officeDocument/2006/relationships/hyperlink" Target="https://www.cmegroup.com/markets/energy/natural-gas/natural-gas.quotes.options.html" TargetMode="External"/><Relationship Id="rId8" Type="http://schemas.openxmlformats.org/officeDocument/2006/relationships/hyperlink" Target="https://www.cmegroup.com/markets/energy/natural-gas/natural-gas.quotes.options.html" TargetMode="External"/><Relationship Id="rId51" Type="http://schemas.openxmlformats.org/officeDocument/2006/relationships/hyperlink" Target="https://www.cmegroup.com/markets/energy/natural-gas/natural-gas.quotes.options.html" TargetMode="External"/><Relationship Id="rId72" Type="http://schemas.openxmlformats.org/officeDocument/2006/relationships/hyperlink" Target="https://www.cmegroup.com/markets/energy/natural-gas/natural-gas.quotes.options.html" TargetMode="External"/><Relationship Id="rId93" Type="http://schemas.openxmlformats.org/officeDocument/2006/relationships/hyperlink" Target="https://www.cmegroup.com/markets/energy/natural-gas/natural-gas.quotes.options.html" TargetMode="External"/><Relationship Id="rId98" Type="http://schemas.openxmlformats.org/officeDocument/2006/relationships/hyperlink" Target="https://www.cmegroup.com/markets/energy/natural-gas/natural-gas.quotes.options.html" TargetMode="External"/><Relationship Id="rId121" Type="http://schemas.openxmlformats.org/officeDocument/2006/relationships/hyperlink" Target="https://www.cmegroup.com/markets/energy/natural-gas/natural-gas.quotes.options.html" TargetMode="External"/><Relationship Id="rId142" Type="http://schemas.openxmlformats.org/officeDocument/2006/relationships/hyperlink" Target="https://www.cmegroup.com/markets/energy/natural-gas/natural-gas.quotes.options.html" TargetMode="External"/><Relationship Id="rId3" Type="http://schemas.openxmlformats.org/officeDocument/2006/relationships/hyperlink" Target="https://www.cmegroup.com/markets/energy/natural-gas/natural-gas.quotes.options.html" TargetMode="External"/><Relationship Id="rId25" Type="http://schemas.openxmlformats.org/officeDocument/2006/relationships/hyperlink" Target="https://www.cmegroup.com/markets/energy/natural-gas/natural-gas.quotes.options.html" TargetMode="External"/><Relationship Id="rId46" Type="http://schemas.openxmlformats.org/officeDocument/2006/relationships/hyperlink" Target="https://www.cmegroup.com/markets/energy/natural-gas/natural-gas.quotes.options.html" TargetMode="External"/><Relationship Id="rId67" Type="http://schemas.openxmlformats.org/officeDocument/2006/relationships/hyperlink" Target="https://www.cmegroup.com/markets/energy/natural-gas/natural-gas.quotes.options.html" TargetMode="External"/><Relationship Id="rId116" Type="http://schemas.openxmlformats.org/officeDocument/2006/relationships/hyperlink" Target="https://www.cmegroup.com/markets/energy/natural-gas/natural-gas.quotes.options.html" TargetMode="External"/><Relationship Id="rId137" Type="http://schemas.openxmlformats.org/officeDocument/2006/relationships/hyperlink" Target="https://www.cmegroup.com/markets/energy/natural-gas/natural-gas.quotes.options.html" TargetMode="External"/><Relationship Id="rId20" Type="http://schemas.openxmlformats.org/officeDocument/2006/relationships/hyperlink" Target="https://www.cmegroup.com/markets/energy/natural-gas/natural-gas.quotes.options.html" TargetMode="External"/><Relationship Id="rId41" Type="http://schemas.openxmlformats.org/officeDocument/2006/relationships/hyperlink" Target="https://www.cmegroup.com/markets/energy/natural-gas/natural-gas.quotes.options.html" TargetMode="External"/><Relationship Id="rId62" Type="http://schemas.openxmlformats.org/officeDocument/2006/relationships/hyperlink" Target="https://www.cmegroup.com/markets/energy/natural-gas/natural-gas.quotes.options.html" TargetMode="External"/><Relationship Id="rId83" Type="http://schemas.openxmlformats.org/officeDocument/2006/relationships/hyperlink" Target="https://www.cmegroup.com/markets/energy/natural-gas/natural-gas.quotes.options.html" TargetMode="External"/><Relationship Id="rId88" Type="http://schemas.openxmlformats.org/officeDocument/2006/relationships/hyperlink" Target="https://www.cmegroup.com/markets/energy/natural-gas/natural-gas.quotes.options.html" TargetMode="External"/><Relationship Id="rId111" Type="http://schemas.openxmlformats.org/officeDocument/2006/relationships/hyperlink" Target="https://www.cmegroup.com/markets/energy/natural-gas/natural-gas.quotes.options.html" TargetMode="External"/><Relationship Id="rId132" Type="http://schemas.openxmlformats.org/officeDocument/2006/relationships/hyperlink" Target="https://www.cmegroup.com/markets/energy/natural-gas/natural-gas.quotes.options.html" TargetMode="External"/><Relationship Id="rId153" Type="http://schemas.openxmlformats.org/officeDocument/2006/relationships/hyperlink" Target="https://www.cmegroup.com/markets/energy/natural-gas/natural-gas.quotes.options.html" TargetMode="External"/><Relationship Id="rId15" Type="http://schemas.openxmlformats.org/officeDocument/2006/relationships/hyperlink" Target="https://www.cmegroup.com/markets/energy/natural-gas/natural-gas.quotes.options.html" TargetMode="External"/><Relationship Id="rId36" Type="http://schemas.openxmlformats.org/officeDocument/2006/relationships/hyperlink" Target="https://www.cmegroup.com/markets/energy/natural-gas/natural-gas.quotes.options.html" TargetMode="External"/><Relationship Id="rId57" Type="http://schemas.openxmlformats.org/officeDocument/2006/relationships/hyperlink" Target="https://www.cmegroup.com/markets/energy/natural-gas/natural-gas.quotes.options.html" TargetMode="External"/><Relationship Id="rId106" Type="http://schemas.openxmlformats.org/officeDocument/2006/relationships/hyperlink" Target="https://www.cmegroup.com/markets/energy/natural-gas/natural-gas.quotes.options.html" TargetMode="External"/><Relationship Id="rId127" Type="http://schemas.openxmlformats.org/officeDocument/2006/relationships/hyperlink" Target="https://www.cmegroup.com/markets/energy/natural-gas/natural-gas.quotes.options.html" TargetMode="External"/><Relationship Id="rId10" Type="http://schemas.openxmlformats.org/officeDocument/2006/relationships/hyperlink" Target="https://www.cmegroup.com/markets/energy/natural-gas/natural-gas.quotes.options.html" TargetMode="External"/><Relationship Id="rId31" Type="http://schemas.openxmlformats.org/officeDocument/2006/relationships/hyperlink" Target="https://www.cmegroup.com/markets/energy/natural-gas/natural-gas.quotes.options.html" TargetMode="External"/><Relationship Id="rId52" Type="http://schemas.openxmlformats.org/officeDocument/2006/relationships/hyperlink" Target="https://www.cmegroup.com/markets/energy/natural-gas/natural-gas.quotes.options.html" TargetMode="External"/><Relationship Id="rId73" Type="http://schemas.openxmlformats.org/officeDocument/2006/relationships/hyperlink" Target="https://www.cmegroup.com/markets/energy/natural-gas/natural-gas.quotes.options.html" TargetMode="External"/><Relationship Id="rId78" Type="http://schemas.openxmlformats.org/officeDocument/2006/relationships/hyperlink" Target="https://www.cmegroup.com/markets/energy/natural-gas/natural-gas.quotes.options.html" TargetMode="External"/><Relationship Id="rId94" Type="http://schemas.openxmlformats.org/officeDocument/2006/relationships/hyperlink" Target="https://www.cmegroup.com/markets/energy/natural-gas/natural-gas.quotes.options.html" TargetMode="External"/><Relationship Id="rId99" Type="http://schemas.openxmlformats.org/officeDocument/2006/relationships/hyperlink" Target="https://www.cmegroup.com/markets/energy/natural-gas/natural-gas.quotes.options.html" TargetMode="External"/><Relationship Id="rId101" Type="http://schemas.openxmlformats.org/officeDocument/2006/relationships/hyperlink" Target="https://www.cmegroup.com/markets/energy/natural-gas/natural-gas.quotes.options.html" TargetMode="External"/><Relationship Id="rId122" Type="http://schemas.openxmlformats.org/officeDocument/2006/relationships/hyperlink" Target="https://www.cmegroup.com/markets/energy/natural-gas/natural-gas.quotes.options.html" TargetMode="External"/><Relationship Id="rId143" Type="http://schemas.openxmlformats.org/officeDocument/2006/relationships/hyperlink" Target="https://www.cmegroup.com/markets/energy/natural-gas/natural-gas.quotes.options.html" TargetMode="External"/><Relationship Id="rId148" Type="http://schemas.openxmlformats.org/officeDocument/2006/relationships/hyperlink" Target="https://www.cmegroup.com/markets/energy/natural-gas/natural-gas.quotes.options.html" TargetMode="External"/><Relationship Id="rId4" Type="http://schemas.openxmlformats.org/officeDocument/2006/relationships/hyperlink" Target="https://www.cmegroup.com/markets/energy/natural-gas/natural-gas.quotes.options.html" TargetMode="External"/><Relationship Id="rId9" Type="http://schemas.openxmlformats.org/officeDocument/2006/relationships/hyperlink" Target="https://www.cmegroup.com/markets/energy/natural-gas/natural-gas.quotes.options.html" TargetMode="External"/><Relationship Id="rId26" Type="http://schemas.openxmlformats.org/officeDocument/2006/relationships/hyperlink" Target="https://www.cmegroup.com/markets/energy/natural-gas/natural-gas.quotes.options.html" TargetMode="External"/><Relationship Id="rId47" Type="http://schemas.openxmlformats.org/officeDocument/2006/relationships/hyperlink" Target="https://www.cmegroup.com/markets/energy/natural-gas/natural-gas.quotes.options.html" TargetMode="External"/><Relationship Id="rId68" Type="http://schemas.openxmlformats.org/officeDocument/2006/relationships/hyperlink" Target="https://www.cmegroup.com/markets/energy/natural-gas/natural-gas.quotes.options.html" TargetMode="External"/><Relationship Id="rId89" Type="http://schemas.openxmlformats.org/officeDocument/2006/relationships/hyperlink" Target="https://www.cmegroup.com/markets/energy/natural-gas/natural-gas.quotes.options.html" TargetMode="External"/><Relationship Id="rId112" Type="http://schemas.openxmlformats.org/officeDocument/2006/relationships/hyperlink" Target="https://www.cmegroup.com/markets/energy/natural-gas/natural-gas.quotes.options.html" TargetMode="External"/><Relationship Id="rId133" Type="http://schemas.openxmlformats.org/officeDocument/2006/relationships/hyperlink" Target="https://www.cmegroup.com/markets/energy/natural-gas/natural-gas.quotes.options.html" TargetMode="External"/><Relationship Id="rId154" Type="http://schemas.openxmlformats.org/officeDocument/2006/relationships/hyperlink" Target="https://www.cmegroup.com/markets/energy/natural-gas/natural-gas.quotes.options.html" TargetMode="External"/><Relationship Id="rId16" Type="http://schemas.openxmlformats.org/officeDocument/2006/relationships/hyperlink" Target="https://www.cmegroup.com/markets/energy/natural-gas/natural-gas.quotes.options.html" TargetMode="External"/><Relationship Id="rId37" Type="http://schemas.openxmlformats.org/officeDocument/2006/relationships/hyperlink" Target="https://www.cmegroup.com/markets/energy/natural-gas/natural-gas.quotes.options.html" TargetMode="External"/><Relationship Id="rId58" Type="http://schemas.openxmlformats.org/officeDocument/2006/relationships/hyperlink" Target="https://www.cmegroup.com/markets/energy/natural-gas/natural-gas.quotes.options.html" TargetMode="External"/><Relationship Id="rId79" Type="http://schemas.openxmlformats.org/officeDocument/2006/relationships/hyperlink" Target="https://www.cmegroup.com/markets/energy/natural-gas/natural-gas.quotes.options.html" TargetMode="External"/><Relationship Id="rId102" Type="http://schemas.openxmlformats.org/officeDocument/2006/relationships/hyperlink" Target="https://www.cmegroup.com/markets/energy/natural-gas/natural-gas.quotes.options.html" TargetMode="External"/><Relationship Id="rId123" Type="http://schemas.openxmlformats.org/officeDocument/2006/relationships/hyperlink" Target="https://www.cmegroup.com/markets/energy/natural-gas/natural-gas.quotes.options.html" TargetMode="External"/><Relationship Id="rId144" Type="http://schemas.openxmlformats.org/officeDocument/2006/relationships/hyperlink" Target="https://www.cmegroup.com/markets/energy/natural-gas/natural-gas.quotes.options.html" TargetMode="External"/><Relationship Id="rId90" Type="http://schemas.openxmlformats.org/officeDocument/2006/relationships/hyperlink" Target="https://www.cmegroup.com/markets/energy/natural-gas/natural-gas.quotes.op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925B-5327-6242-AD0D-AFD0621F90E5}">
  <dimension ref="A1:K1497"/>
  <sheetViews>
    <sheetView topLeftCell="E1" zoomScale="211" workbookViewId="0">
      <selection activeCell="T4" sqref="T4"/>
    </sheetView>
  </sheetViews>
  <sheetFormatPr baseColWidth="10" defaultColWidth="8.83203125" defaultRowHeight="15"/>
  <cols>
    <col min="1" max="1" width="21.33203125" style="42" customWidth="1"/>
    <col min="2" max="16384" width="8.83203125" style="39"/>
  </cols>
  <sheetData>
    <row r="1" spans="1:6">
      <c r="A1" s="41" t="s">
        <v>592</v>
      </c>
      <c r="B1" s="40" t="s">
        <v>591</v>
      </c>
      <c r="C1" s="40" t="s">
        <v>195</v>
      </c>
      <c r="D1" s="40" t="s">
        <v>196</v>
      </c>
      <c r="E1" s="40" t="s">
        <v>194</v>
      </c>
      <c r="F1" s="40" t="s">
        <v>197</v>
      </c>
    </row>
    <row r="2" spans="1:6">
      <c r="A2" s="41"/>
      <c r="B2" s="40" t="s">
        <v>590</v>
      </c>
      <c r="C2" s="40" t="s">
        <v>590</v>
      </c>
      <c r="D2" s="40" t="s">
        <v>590</v>
      </c>
      <c r="E2" s="40" t="s">
        <v>590</v>
      </c>
      <c r="F2" s="40" t="s">
        <v>590</v>
      </c>
    </row>
    <row r="3" spans="1:6">
      <c r="A3" s="41">
        <v>43832</v>
      </c>
      <c r="B3" s="39">
        <v>31.722980499267582</v>
      </c>
      <c r="C3" s="39">
        <v>31.742843167214421</v>
      </c>
      <c r="D3" s="39">
        <v>30.968144180008611</v>
      </c>
      <c r="E3" s="39">
        <v>31.13698917108481</v>
      </c>
      <c r="F3" s="39">
        <v>249200</v>
      </c>
    </row>
    <row r="4" spans="1:6">
      <c r="A4" s="41">
        <v>43833</v>
      </c>
      <c r="B4" s="39">
        <v>31.514404296875</v>
      </c>
      <c r="C4" s="39">
        <v>31.713046118302309</v>
      </c>
      <c r="D4" s="39">
        <v>31.335627036468189</v>
      </c>
      <c r="E4" s="39">
        <v>31.464744788712579</v>
      </c>
      <c r="F4" s="39">
        <v>151300</v>
      </c>
    </row>
    <row r="5" spans="1:6">
      <c r="A5" s="41">
        <v>43836</v>
      </c>
      <c r="B5" s="39">
        <v>31.236309051513668</v>
      </c>
      <c r="C5" s="39">
        <v>31.236309051513668</v>
      </c>
      <c r="D5" s="39">
        <v>30.71984181426085</v>
      </c>
      <c r="E5" s="39">
        <v>31.117123575844229</v>
      </c>
      <c r="F5" s="39">
        <v>292600</v>
      </c>
    </row>
    <row r="6" spans="1:6">
      <c r="A6" s="41">
        <v>43837</v>
      </c>
      <c r="B6" s="39">
        <v>31.514404296875</v>
      </c>
      <c r="C6" s="39">
        <v>31.554133418915981</v>
      </c>
      <c r="D6" s="39">
        <v>31.117122548409199</v>
      </c>
      <c r="E6" s="39">
        <v>31.226375739633099</v>
      </c>
      <c r="F6" s="39">
        <v>156100</v>
      </c>
    </row>
    <row r="7" spans="1:6">
      <c r="A7" s="41">
        <v>43838</v>
      </c>
      <c r="B7" s="39">
        <v>31.852094650268551</v>
      </c>
      <c r="C7" s="39">
        <v>32.080531421660623</v>
      </c>
      <c r="D7" s="39">
        <v>31.405153388117419</v>
      </c>
      <c r="E7" s="39">
        <v>31.514404686302541</v>
      </c>
      <c r="F7" s="39">
        <v>178300</v>
      </c>
    </row>
    <row r="8" spans="1:6">
      <c r="A8" s="41">
        <v>43839</v>
      </c>
      <c r="B8" s="39">
        <v>32.318904876708977</v>
      </c>
      <c r="C8" s="39">
        <v>32.567206228640472</v>
      </c>
      <c r="D8" s="39">
        <v>32.169922550038912</v>
      </c>
      <c r="E8" s="39">
        <v>32.209651675654648</v>
      </c>
      <c r="F8" s="39">
        <v>253200</v>
      </c>
    </row>
    <row r="9" spans="1:6">
      <c r="A9" s="41">
        <v>43840</v>
      </c>
      <c r="B9" s="39">
        <v>32.199714660644531</v>
      </c>
      <c r="C9" s="39">
        <v>32.408290657346988</v>
      </c>
      <c r="D9" s="39">
        <v>32.130190591336252</v>
      </c>
      <c r="E9" s="39">
        <v>32.408290657346988</v>
      </c>
      <c r="F9" s="39">
        <v>306700</v>
      </c>
    </row>
    <row r="10" spans="1:6">
      <c r="A10" s="41">
        <v>43843</v>
      </c>
      <c r="B10" s="39">
        <v>32.914825439453118</v>
      </c>
      <c r="C10" s="39">
        <v>33.14326222048178</v>
      </c>
      <c r="D10" s="39">
        <v>32.517545563707657</v>
      </c>
      <c r="E10" s="39">
        <v>32.666524096320522</v>
      </c>
      <c r="F10" s="39">
        <v>403000</v>
      </c>
    </row>
    <row r="11" spans="1:6">
      <c r="A11" s="41">
        <v>43844</v>
      </c>
      <c r="B11" s="39">
        <v>33.212783813476562</v>
      </c>
      <c r="C11" s="39">
        <v>33.401495244984162</v>
      </c>
      <c r="D11" s="39">
        <v>32.815503967395763</v>
      </c>
      <c r="E11" s="39">
        <v>33.043940731367172</v>
      </c>
      <c r="F11" s="39">
        <v>329500</v>
      </c>
    </row>
    <row r="12" spans="1:6">
      <c r="A12" s="41">
        <v>43845</v>
      </c>
      <c r="B12" s="39">
        <v>32.934688568115227</v>
      </c>
      <c r="C12" s="39">
        <v>33.113465830491869</v>
      </c>
      <c r="D12" s="39">
        <v>32.646658113310913</v>
      </c>
      <c r="E12" s="39">
        <v>33.063806321782288</v>
      </c>
      <c r="F12" s="39">
        <v>263200</v>
      </c>
    </row>
    <row r="13" spans="1:6">
      <c r="A13" s="41">
        <v>43846</v>
      </c>
      <c r="B13" s="39">
        <v>33.192920684814453</v>
      </c>
      <c r="C13" s="39">
        <v>33.351837176635549</v>
      </c>
      <c r="D13" s="39">
        <v>32.984348472465811</v>
      </c>
      <c r="E13" s="39">
        <v>33.242583982897393</v>
      </c>
      <c r="F13" s="39">
        <v>200600</v>
      </c>
    </row>
    <row r="14" spans="1:6">
      <c r="A14" s="41">
        <v>43847</v>
      </c>
      <c r="B14" s="39">
        <v>33.441219329833977</v>
      </c>
      <c r="C14" s="39">
        <v>33.570337074662497</v>
      </c>
      <c r="D14" s="39">
        <v>33.292240813903298</v>
      </c>
      <c r="E14" s="39">
        <v>33.45115350416247</v>
      </c>
      <c r="F14" s="39">
        <v>289100</v>
      </c>
    </row>
    <row r="15" spans="1:6">
      <c r="A15" s="41">
        <v>43851</v>
      </c>
      <c r="B15" s="39">
        <v>33.431289672851562</v>
      </c>
      <c r="C15" s="39">
        <v>33.659726433278863</v>
      </c>
      <c r="D15" s="39">
        <v>33.073735164781887</v>
      </c>
      <c r="E15" s="39">
        <v>33.570337806261428</v>
      </c>
      <c r="F15" s="39">
        <v>325500</v>
      </c>
    </row>
    <row r="16" spans="1:6">
      <c r="A16" s="41">
        <v>43852</v>
      </c>
      <c r="B16" s="39">
        <v>33.123397827148438</v>
      </c>
      <c r="C16" s="39">
        <v>33.739187889174893</v>
      </c>
      <c r="D16" s="39">
        <v>33.083672491515962</v>
      </c>
      <c r="E16" s="39">
        <v>33.659729640354257</v>
      </c>
      <c r="F16" s="39">
        <v>300800</v>
      </c>
    </row>
    <row r="17" spans="1:11">
      <c r="A17" s="41">
        <v>43853</v>
      </c>
      <c r="B17" s="39">
        <v>33.232646942138672</v>
      </c>
      <c r="C17" s="39">
        <v>33.29224062143286</v>
      </c>
      <c r="D17" s="39">
        <v>32.726113928858901</v>
      </c>
      <c r="E17" s="39">
        <v>33.073734252798218</v>
      </c>
      <c r="F17" s="39">
        <v>232300</v>
      </c>
    </row>
    <row r="18" spans="1:11">
      <c r="A18" s="41">
        <v>43854</v>
      </c>
      <c r="B18" s="39">
        <v>33.153194427490227</v>
      </c>
      <c r="C18" s="39">
        <v>33.729251539190678</v>
      </c>
      <c r="D18" s="39">
        <v>33.043941236794232</v>
      </c>
      <c r="E18" s="39">
        <v>33.560408454498727</v>
      </c>
      <c r="F18" s="39">
        <v>213200</v>
      </c>
    </row>
    <row r="19" spans="1:11">
      <c r="A19" s="41">
        <v>43857</v>
      </c>
      <c r="B19" s="39">
        <v>31.7031135559082</v>
      </c>
      <c r="C19" s="39">
        <v>32.47781437931998</v>
      </c>
      <c r="D19" s="39">
        <v>31.7031135559082</v>
      </c>
      <c r="E19" s="39">
        <v>32.348696628223621</v>
      </c>
      <c r="F19" s="39">
        <v>478000</v>
      </c>
    </row>
    <row r="20" spans="1:11">
      <c r="A20" s="41">
        <v>43858</v>
      </c>
      <c r="B20" s="39">
        <v>32.527477264404297</v>
      </c>
      <c r="C20" s="39">
        <v>32.577136777281382</v>
      </c>
      <c r="D20" s="39">
        <v>31.961350482294002</v>
      </c>
      <c r="E20" s="39">
        <v>32.080534070954599</v>
      </c>
      <c r="F20" s="39">
        <v>239100</v>
      </c>
    </row>
    <row r="21" spans="1:11">
      <c r="A21" s="41">
        <v>43859</v>
      </c>
      <c r="B21" s="39">
        <v>32.845302581787109</v>
      </c>
      <c r="C21" s="39">
        <v>33.043944421398699</v>
      </c>
      <c r="D21" s="39">
        <v>32.64666074217552</v>
      </c>
      <c r="E21" s="39">
        <v>32.885031707465018</v>
      </c>
      <c r="F21" s="39">
        <v>204500</v>
      </c>
    </row>
    <row r="22" spans="1:11">
      <c r="A22" s="41">
        <v>43860</v>
      </c>
      <c r="B22" s="39">
        <v>32.865165710449219</v>
      </c>
      <c r="C22" s="39">
        <v>32.865165710449219</v>
      </c>
      <c r="D22" s="39">
        <v>32.45795166196563</v>
      </c>
      <c r="E22" s="39">
        <v>32.507611172506991</v>
      </c>
      <c r="F22" s="39">
        <v>152900</v>
      </c>
    </row>
    <row r="23" spans="1:11">
      <c r="A23" s="41">
        <v>43861</v>
      </c>
      <c r="B23" s="39">
        <v>31.931552886962891</v>
      </c>
      <c r="C23" s="39">
        <v>32.686387270983253</v>
      </c>
      <c r="D23" s="39">
        <v>31.832230080659119</v>
      </c>
      <c r="E23" s="39">
        <v>32.686387270983253</v>
      </c>
      <c r="F23" s="39">
        <v>235200</v>
      </c>
    </row>
    <row r="24" spans="1:11">
      <c r="A24" s="41">
        <v>43864</v>
      </c>
      <c r="B24" s="39">
        <v>32.368564605712891</v>
      </c>
      <c r="C24" s="39">
        <v>32.51754693337886</v>
      </c>
      <c r="D24" s="39">
        <v>31.792503646767649</v>
      </c>
      <c r="E24" s="39">
        <v>31.97128092445562</v>
      </c>
      <c r="F24" s="39">
        <v>322700</v>
      </c>
    </row>
    <row r="25" spans="1:11">
      <c r="A25" s="41">
        <v>43865</v>
      </c>
      <c r="B25" s="39">
        <v>33.967624664306641</v>
      </c>
      <c r="C25" s="39">
        <v>33.977555051018243</v>
      </c>
      <c r="D25" s="39">
        <v>33.113467433551477</v>
      </c>
      <c r="E25" s="39">
        <v>33.113467433551477</v>
      </c>
      <c r="F25" s="39">
        <v>463800</v>
      </c>
    </row>
    <row r="26" spans="1:11">
      <c r="A26" s="41">
        <v>43866</v>
      </c>
      <c r="B26" s="39">
        <v>34.533748626708977</v>
      </c>
      <c r="C26" s="39">
        <v>34.672796762065921</v>
      </c>
      <c r="D26" s="39">
        <v>33.957687735913083</v>
      </c>
      <c r="E26" s="39">
        <v>34.583408133796823</v>
      </c>
      <c r="F26" s="39">
        <v>518000</v>
      </c>
      <c r="K26" s="39" t="s">
        <v>593</v>
      </c>
    </row>
    <row r="27" spans="1:11">
      <c r="A27" s="41">
        <v>43867</v>
      </c>
      <c r="B27" s="39">
        <v>34.901237487792969</v>
      </c>
      <c r="C27" s="39">
        <v>35.169403403043347</v>
      </c>
      <c r="D27" s="39">
        <v>34.533752547091908</v>
      </c>
      <c r="E27" s="39">
        <v>34.682731085267932</v>
      </c>
      <c r="F27" s="39">
        <v>347300</v>
      </c>
    </row>
    <row r="28" spans="1:11">
      <c r="A28" s="41">
        <v>43868</v>
      </c>
      <c r="B28" s="39">
        <v>34.553615570068359</v>
      </c>
      <c r="C28" s="39">
        <v>34.891305545840773</v>
      </c>
      <c r="D28" s="39">
        <v>34.424497811714197</v>
      </c>
      <c r="E28" s="39">
        <v>34.891305545840773</v>
      </c>
      <c r="F28" s="39">
        <v>153500</v>
      </c>
    </row>
    <row r="29" spans="1:11">
      <c r="A29" s="41">
        <v>43871</v>
      </c>
      <c r="B29" s="39">
        <v>34.950893402099609</v>
      </c>
      <c r="C29" s="39">
        <v>34.950893402099609</v>
      </c>
      <c r="D29" s="39">
        <v>34.503954044808893</v>
      </c>
      <c r="E29" s="39">
        <v>34.55361355242146</v>
      </c>
      <c r="F29" s="39">
        <v>201400</v>
      </c>
    </row>
    <row r="30" spans="1:11">
      <c r="A30" s="41">
        <v>43872</v>
      </c>
      <c r="B30" s="39">
        <v>36.341384887695312</v>
      </c>
      <c r="C30" s="39">
        <v>36.440703909861533</v>
      </c>
      <c r="D30" s="39">
        <v>35.596480855115153</v>
      </c>
      <c r="E30" s="39">
        <v>35.745463177142319</v>
      </c>
      <c r="F30" s="39">
        <v>594400</v>
      </c>
    </row>
    <row r="31" spans="1:11">
      <c r="A31" s="41">
        <v>43873</v>
      </c>
      <c r="B31" s="39">
        <v>38.079494476318359</v>
      </c>
      <c r="C31" s="39">
        <v>38.089424863070597</v>
      </c>
      <c r="D31" s="39">
        <v>36.907511823105921</v>
      </c>
      <c r="E31" s="39">
        <v>37.126018219433689</v>
      </c>
      <c r="F31" s="39">
        <v>1568900</v>
      </c>
    </row>
    <row r="32" spans="1:11">
      <c r="A32" s="41">
        <v>43874</v>
      </c>
      <c r="B32" s="39">
        <v>37.414043426513672</v>
      </c>
      <c r="C32" s="39">
        <v>37.582890304872173</v>
      </c>
      <c r="D32" s="39">
        <v>36.828055911772523</v>
      </c>
      <c r="E32" s="39">
        <v>37.334588969292618</v>
      </c>
      <c r="F32" s="39">
        <v>731500</v>
      </c>
    </row>
    <row r="33" spans="1:6">
      <c r="A33" s="41">
        <v>43875</v>
      </c>
      <c r="B33" s="39">
        <v>37.255130767822273</v>
      </c>
      <c r="C33" s="39">
        <v>37.662344807108333</v>
      </c>
      <c r="D33" s="39">
        <v>37.20547125840254</v>
      </c>
      <c r="E33" s="39">
        <v>37.543161226745447</v>
      </c>
      <c r="F33" s="39">
        <v>310500</v>
      </c>
    </row>
    <row r="34" spans="1:6">
      <c r="A34" s="41">
        <v>43879</v>
      </c>
      <c r="B34" s="39">
        <v>37.443840026855469</v>
      </c>
      <c r="C34" s="39">
        <v>37.572957774847993</v>
      </c>
      <c r="D34" s="39">
        <v>37.215403265808689</v>
      </c>
      <c r="E34" s="39">
        <v>37.284927332702161</v>
      </c>
      <c r="F34" s="39">
        <v>330700</v>
      </c>
    </row>
    <row r="35" spans="1:6">
      <c r="A35" s="41">
        <v>43880</v>
      </c>
      <c r="B35" s="39">
        <v>40.463188171386719</v>
      </c>
      <c r="C35" s="39">
        <v>40.542642630293109</v>
      </c>
      <c r="D35" s="39">
        <v>38.625755975856912</v>
      </c>
      <c r="E35" s="39">
        <v>38.625755975856912</v>
      </c>
      <c r="F35" s="39">
        <v>1138900</v>
      </c>
    </row>
    <row r="36" spans="1:6">
      <c r="A36" s="41">
        <v>43881</v>
      </c>
      <c r="B36" s="39">
        <v>41.575572967529297</v>
      </c>
      <c r="C36" s="39">
        <v>41.575572967529297</v>
      </c>
      <c r="D36" s="39">
        <v>40.065900511222551</v>
      </c>
      <c r="E36" s="39">
        <v>41.267677971653256</v>
      </c>
      <c r="F36" s="39">
        <v>1208700</v>
      </c>
    </row>
    <row r="37" spans="1:6">
      <c r="A37" s="41">
        <v>43882</v>
      </c>
      <c r="B37" s="39">
        <v>40.492984771728523</v>
      </c>
      <c r="C37" s="39">
        <v>40.870403886069013</v>
      </c>
      <c r="D37" s="39">
        <v>39.936788381583469</v>
      </c>
      <c r="E37" s="39">
        <v>40.701556997241177</v>
      </c>
      <c r="F37" s="39">
        <v>770100</v>
      </c>
    </row>
    <row r="38" spans="1:6">
      <c r="A38" s="41">
        <v>43885</v>
      </c>
      <c r="B38" s="39">
        <v>38.973381042480469</v>
      </c>
      <c r="C38" s="39">
        <v>39.460049560264217</v>
      </c>
      <c r="D38" s="39">
        <v>37.513367911573468</v>
      </c>
      <c r="E38" s="39">
        <v>37.791464207449899</v>
      </c>
      <c r="F38" s="39">
        <v>1458500</v>
      </c>
    </row>
    <row r="39" spans="1:6">
      <c r="A39" s="41">
        <v>43886</v>
      </c>
      <c r="B39" s="39">
        <v>37.563022613525391</v>
      </c>
      <c r="C39" s="39">
        <v>39.658686317405177</v>
      </c>
      <c r="D39" s="39">
        <v>37.463703603080162</v>
      </c>
      <c r="E39" s="39">
        <v>39.579228078027093</v>
      </c>
      <c r="F39" s="39">
        <v>1068800</v>
      </c>
    </row>
    <row r="40" spans="1:6">
      <c r="A40" s="41">
        <v>43887</v>
      </c>
      <c r="B40" s="39">
        <v>37.642482757568359</v>
      </c>
      <c r="C40" s="39">
        <v>38.685347575120502</v>
      </c>
      <c r="D40" s="39">
        <v>37.394181430114152</v>
      </c>
      <c r="E40" s="39">
        <v>37.632548582754737</v>
      </c>
      <c r="F40" s="39">
        <v>514800</v>
      </c>
    </row>
    <row r="41" spans="1:6">
      <c r="A41" s="41">
        <v>43888</v>
      </c>
      <c r="B41" s="39">
        <v>36.242069244384773</v>
      </c>
      <c r="C41" s="39">
        <v>37.126021505919823</v>
      </c>
      <c r="D41" s="39">
        <v>35.189270082892087</v>
      </c>
      <c r="E41" s="39">
        <v>36.420842743195493</v>
      </c>
      <c r="F41" s="39">
        <v>1674700</v>
      </c>
    </row>
    <row r="42" spans="1:6">
      <c r="A42" s="41">
        <v>43889</v>
      </c>
      <c r="B42" s="39">
        <v>36.222198486328118</v>
      </c>
      <c r="C42" s="39">
        <v>36.251993432905273</v>
      </c>
      <c r="D42" s="39">
        <v>33.98748656238191</v>
      </c>
      <c r="E42" s="39">
        <v>34.255652447908773</v>
      </c>
      <c r="F42" s="39">
        <v>1708400</v>
      </c>
    </row>
    <row r="43" spans="1:6">
      <c r="A43" s="41">
        <v>43892</v>
      </c>
      <c r="B43" s="39">
        <v>36.738670349121087</v>
      </c>
      <c r="C43" s="39">
        <v>36.808194425790248</v>
      </c>
      <c r="D43" s="39">
        <v>35.258792598353239</v>
      </c>
      <c r="E43" s="39">
        <v>36.38111578980655</v>
      </c>
      <c r="F43" s="39">
        <v>1036600</v>
      </c>
    </row>
    <row r="44" spans="1:6">
      <c r="A44" s="41">
        <v>43893</v>
      </c>
      <c r="B44" s="39">
        <v>36.877716064453118</v>
      </c>
      <c r="C44" s="39">
        <v>38.258270908154351</v>
      </c>
      <c r="D44" s="39">
        <v>36.55989065246915</v>
      </c>
      <c r="E44" s="39">
        <v>37.513366888421068</v>
      </c>
      <c r="F44" s="39">
        <v>715200</v>
      </c>
    </row>
    <row r="45" spans="1:6">
      <c r="A45" s="41">
        <v>43894</v>
      </c>
      <c r="B45" s="39">
        <v>38.258274078369141</v>
      </c>
      <c r="C45" s="39">
        <v>38.317867768845943</v>
      </c>
      <c r="D45" s="39">
        <v>37.294863587273653</v>
      </c>
      <c r="E45" s="39">
        <v>37.870924562215137</v>
      </c>
      <c r="F45" s="39">
        <v>433300</v>
      </c>
    </row>
    <row r="46" spans="1:6">
      <c r="A46" s="41">
        <v>43895</v>
      </c>
      <c r="B46" s="39">
        <v>38.069564819335938</v>
      </c>
      <c r="C46" s="39">
        <v>38.67541693106044</v>
      </c>
      <c r="D46" s="39">
        <v>37.12601893111632</v>
      </c>
      <c r="E46" s="39">
        <v>37.384250668181032</v>
      </c>
      <c r="F46" s="39">
        <v>488600</v>
      </c>
    </row>
    <row r="47" spans="1:6">
      <c r="A47" s="41">
        <v>43896</v>
      </c>
      <c r="B47" s="39">
        <v>36.629413604736328</v>
      </c>
      <c r="C47" s="39">
        <v>37.404112549166562</v>
      </c>
      <c r="D47" s="39">
        <v>35.9838286251927</v>
      </c>
      <c r="E47" s="39">
        <v>37.046558024421017</v>
      </c>
      <c r="F47" s="39">
        <v>419900</v>
      </c>
    </row>
    <row r="48" spans="1:6">
      <c r="A48" s="41">
        <v>43899</v>
      </c>
      <c r="B48" s="39">
        <v>31.713047027587891</v>
      </c>
      <c r="C48" s="39">
        <v>33.888165373199577</v>
      </c>
      <c r="D48" s="39">
        <v>31.13698800219834</v>
      </c>
      <c r="E48" s="39">
        <v>32.308968720178633</v>
      </c>
      <c r="F48" s="39">
        <v>1002300</v>
      </c>
    </row>
    <row r="49" spans="1:6">
      <c r="A49" s="41">
        <v>43900</v>
      </c>
      <c r="B49" s="39">
        <v>32.875091552734382</v>
      </c>
      <c r="C49" s="39">
        <v>33.768977774028393</v>
      </c>
      <c r="D49" s="39">
        <v>31.732907813055661</v>
      </c>
      <c r="E49" s="39">
        <v>33.719318270351437</v>
      </c>
      <c r="F49" s="39">
        <v>498500</v>
      </c>
    </row>
    <row r="50" spans="1:6">
      <c r="A50" s="41">
        <v>43901</v>
      </c>
      <c r="B50" s="39">
        <v>30.75956916809082</v>
      </c>
      <c r="C50" s="39">
        <v>32.189785409985703</v>
      </c>
      <c r="D50" s="39">
        <v>29.99480248433413</v>
      </c>
      <c r="E50" s="39">
        <v>31.891824561185839</v>
      </c>
      <c r="F50" s="39">
        <v>1230600</v>
      </c>
    </row>
    <row r="51" spans="1:6">
      <c r="A51" s="41">
        <v>43902</v>
      </c>
      <c r="B51" s="39">
        <v>26.369600296020511</v>
      </c>
      <c r="C51" s="39">
        <v>27.958729175314151</v>
      </c>
      <c r="D51" s="39">
        <v>26.021979952065571</v>
      </c>
      <c r="E51" s="39">
        <v>27.372737889234688</v>
      </c>
      <c r="F51" s="39">
        <v>1191400</v>
      </c>
    </row>
    <row r="52" spans="1:6">
      <c r="A52" s="41">
        <v>43903</v>
      </c>
      <c r="B52" s="39">
        <v>26.98538970947266</v>
      </c>
      <c r="C52" s="39">
        <v>28.7930231617377</v>
      </c>
      <c r="D52" s="39">
        <v>25.872998872638611</v>
      </c>
      <c r="E52" s="39">
        <v>28.286488200764161</v>
      </c>
      <c r="F52" s="39">
        <v>541900</v>
      </c>
    </row>
    <row r="53" spans="1:6">
      <c r="A53" s="41">
        <v>43906</v>
      </c>
      <c r="B53" s="39">
        <v>22.64508056640625</v>
      </c>
      <c r="C53" s="39">
        <v>24.244141739799289</v>
      </c>
      <c r="D53" s="39">
        <v>22.227934255711929</v>
      </c>
      <c r="E53" s="39">
        <v>22.913246457793061</v>
      </c>
      <c r="F53" s="39">
        <v>750500</v>
      </c>
    </row>
    <row r="54" spans="1:6">
      <c r="A54" s="41">
        <v>43907</v>
      </c>
      <c r="B54" s="39">
        <v>24.333530426025391</v>
      </c>
      <c r="C54" s="39">
        <v>24.929453999009901</v>
      </c>
      <c r="D54" s="39">
        <v>22.714606582233149</v>
      </c>
      <c r="E54" s="39">
        <v>23.588626433391958</v>
      </c>
      <c r="F54" s="39">
        <v>712200</v>
      </c>
    </row>
    <row r="55" spans="1:6">
      <c r="A55" s="41">
        <v>43908</v>
      </c>
      <c r="B55" s="39">
        <v>22.098819732666019</v>
      </c>
      <c r="C55" s="39">
        <v>23.608492366809351</v>
      </c>
      <c r="D55" s="39">
        <v>20.99636115328137</v>
      </c>
      <c r="E55" s="39">
        <v>22.61528698556593</v>
      </c>
      <c r="F55" s="39">
        <v>848600</v>
      </c>
    </row>
    <row r="56" spans="1:6">
      <c r="A56" s="41">
        <v>43909</v>
      </c>
      <c r="B56" s="39">
        <v>22.843721389770511</v>
      </c>
      <c r="C56" s="39">
        <v>23.419780375128301</v>
      </c>
      <c r="D56" s="39">
        <v>21.055952647457001</v>
      </c>
      <c r="E56" s="39">
        <v>21.910107898194521</v>
      </c>
      <c r="F56" s="39">
        <v>604900</v>
      </c>
    </row>
    <row r="57" spans="1:6">
      <c r="A57" s="41">
        <v>43910</v>
      </c>
      <c r="B57" s="39">
        <v>22.59542083740234</v>
      </c>
      <c r="C57" s="39">
        <v>24.383189640408329</v>
      </c>
      <c r="D57" s="39">
        <v>22.466304980433971</v>
      </c>
      <c r="E57" s="39">
        <v>23.618422990262498</v>
      </c>
      <c r="F57" s="39">
        <v>774500</v>
      </c>
    </row>
    <row r="58" spans="1:6">
      <c r="A58" s="41">
        <v>43913</v>
      </c>
      <c r="B58" s="39">
        <v>22.069021224975589</v>
      </c>
      <c r="C58" s="39">
        <v>22.694741628829789</v>
      </c>
      <c r="D58" s="39">
        <v>21.314184964827771</v>
      </c>
      <c r="E58" s="39">
        <v>22.426575741463701</v>
      </c>
      <c r="F58" s="39">
        <v>758300</v>
      </c>
    </row>
    <row r="59" spans="1:6">
      <c r="A59" s="41">
        <v>43914</v>
      </c>
      <c r="B59" s="39">
        <v>25.048637390136719</v>
      </c>
      <c r="C59" s="39">
        <v>25.207550089162091</v>
      </c>
      <c r="D59" s="39">
        <v>23.548897135494592</v>
      </c>
      <c r="E59" s="39">
        <v>23.707811728908759</v>
      </c>
      <c r="F59" s="39">
        <v>606200</v>
      </c>
    </row>
    <row r="60" spans="1:6">
      <c r="A60" s="41">
        <v>43915</v>
      </c>
      <c r="B60" s="39">
        <v>26.220621109008789</v>
      </c>
      <c r="C60" s="39">
        <v>27.362806893429099</v>
      </c>
      <c r="D60" s="39">
        <v>24.869863108423321</v>
      </c>
      <c r="E60" s="39">
        <v>26.01204889284363</v>
      </c>
      <c r="F60" s="39">
        <v>525600</v>
      </c>
    </row>
    <row r="61" spans="1:6">
      <c r="A61" s="41">
        <v>43916</v>
      </c>
      <c r="B61" s="39">
        <v>26.975458145141602</v>
      </c>
      <c r="C61" s="39">
        <v>27.760091309764459</v>
      </c>
      <c r="D61" s="39">
        <v>26.617903599805722</v>
      </c>
      <c r="E61" s="39">
        <v>26.68742956814576</v>
      </c>
      <c r="F61" s="39">
        <v>502100</v>
      </c>
    </row>
    <row r="62" spans="1:6">
      <c r="A62" s="41">
        <v>43917</v>
      </c>
      <c r="B62" s="39">
        <v>24.800334930419918</v>
      </c>
      <c r="C62" s="39">
        <v>25.823337041345471</v>
      </c>
      <c r="D62" s="39">
        <v>24.730810864564649</v>
      </c>
      <c r="E62" s="39">
        <v>25.724016135385629</v>
      </c>
      <c r="F62" s="39">
        <v>752200</v>
      </c>
    </row>
    <row r="63" spans="1:6">
      <c r="A63" s="41">
        <v>43920</v>
      </c>
      <c r="B63" s="39">
        <v>24.969182968139648</v>
      </c>
      <c r="C63" s="39">
        <v>25.237348878842042</v>
      </c>
      <c r="D63" s="39">
        <v>24.432853041123821</v>
      </c>
      <c r="E63" s="39">
        <v>24.929455737510931</v>
      </c>
      <c r="F63" s="39">
        <v>336000</v>
      </c>
    </row>
    <row r="64" spans="1:6">
      <c r="A64" s="41">
        <v>43921</v>
      </c>
      <c r="B64" s="39">
        <v>25.058572769165039</v>
      </c>
      <c r="C64" s="39">
        <v>25.704155925581802</v>
      </c>
      <c r="D64" s="39">
        <v>24.830135972868021</v>
      </c>
      <c r="E64" s="39">
        <v>24.98904869154326</v>
      </c>
      <c r="F64" s="39">
        <v>392800</v>
      </c>
    </row>
    <row r="65" spans="1:6">
      <c r="A65" s="41">
        <v>43922</v>
      </c>
      <c r="B65" s="39">
        <v>23.687948226928711</v>
      </c>
      <c r="C65" s="39">
        <v>24.542103548778812</v>
      </c>
      <c r="D65" s="39">
        <v>23.608491873863841</v>
      </c>
      <c r="E65" s="39">
        <v>24.42291996637595</v>
      </c>
      <c r="F65" s="39">
        <v>331300</v>
      </c>
    </row>
    <row r="66" spans="1:6">
      <c r="A66" s="41">
        <v>43923</v>
      </c>
      <c r="B66" s="39">
        <v>24.353395462036129</v>
      </c>
      <c r="C66" s="39">
        <v>24.76060950106524</v>
      </c>
      <c r="D66" s="39">
        <v>23.717742754409421</v>
      </c>
      <c r="E66" s="39">
        <v>23.757471877431211</v>
      </c>
      <c r="F66" s="39">
        <v>189200</v>
      </c>
    </row>
    <row r="67" spans="1:6">
      <c r="A67" s="41">
        <v>43924</v>
      </c>
      <c r="B67" s="39">
        <v>23.658149719238281</v>
      </c>
      <c r="C67" s="39">
        <v>24.41298596742886</v>
      </c>
      <c r="D67" s="39">
        <v>23.41978067681843</v>
      </c>
      <c r="E67" s="39">
        <v>24.283870113180551</v>
      </c>
      <c r="F67" s="39">
        <v>177900</v>
      </c>
    </row>
    <row r="68" spans="1:6">
      <c r="A68" s="41">
        <v>43927</v>
      </c>
      <c r="B68" s="39">
        <v>25.545242309570309</v>
      </c>
      <c r="C68" s="39">
        <v>25.704155022663361</v>
      </c>
      <c r="D68" s="39">
        <v>24.552036905544249</v>
      </c>
      <c r="E68" s="39">
        <v>24.552036905544249</v>
      </c>
      <c r="F68" s="39">
        <v>237700</v>
      </c>
    </row>
    <row r="69" spans="1:6">
      <c r="A69" s="41">
        <v>43928</v>
      </c>
      <c r="B69" s="39">
        <v>26.23055267333984</v>
      </c>
      <c r="C69" s="39">
        <v>27.382670707206142</v>
      </c>
      <c r="D69" s="39">
        <v>26.07163997172993</v>
      </c>
      <c r="E69" s="39">
        <v>27.094642145933982</v>
      </c>
      <c r="F69" s="39">
        <v>290000</v>
      </c>
    </row>
    <row r="70" spans="1:6">
      <c r="A70" s="41">
        <v>43929</v>
      </c>
      <c r="B70" s="39">
        <v>27.303215026855469</v>
      </c>
      <c r="C70" s="39">
        <v>27.452195451474498</v>
      </c>
      <c r="D70" s="39">
        <v>26.409330584752379</v>
      </c>
      <c r="E70" s="39">
        <v>26.558311009371419</v>
      </c>
      <c r="F70" s="39">
        <v>159600</v>
      </c>
    </row>
    <row r="71" spans="1:6">
      <c r="A71" s="41">
        <v>43930</v>
      </c>
      <c r="B71" s="39">
        <v>27.779951095581051</v>
      </c>
      <c r="C71" s="39">
        <v>28.435466431094319</v>
      </c>
      <c r="D71" s="39">
        <v>27.263485787932449</v>
      </c>
      <c r="E71" s="39">
        <v>27.779951095581051</v>
      </c>
      <c r="F71" s="39">
        <v>282900</v>
      </c>
    </row>
    <row r="72" spans="1:6">
      <c r="A72" s="41">
        <v>43934</v>
      </c>
      <c r="B72" s="39">
        <v>27.42240142822266</v>
      </c>
      <c r="C72" s="39">
        <v>27.680635056988109</v>
      </c>
      <c r="D72" s="39">
        <v>26.737089178590839</v>
      </c>
      <c r="E72" s="39">
        <v>27.601178701551731</v>
      </c>
      <c r="F72" s="39">
        <v>207700</v>
      </c>
    </row>
    <row r="73" spans="1:6">
      <c r="A73" s="41">
        <v>43935</v>
      </c>
      <c r="B73" s="39">
        <v>28.872476577758789</v>
      </c>
      <c r="C73" s="39">
        <v>28.991662042376959</v>
      </c>
      <c r="D73" s="39">
        <v>28.336146722948751</v>
      </c>
      <c r="E73" s="39">
        <v>28.594380317630879</v>
      </c>
      <c r="F73" s="39">
        <v>264500</v>
      </c>
    </row>
    <row r="74" spans="1:6">
      <c r="A74" s="41">
        <v>43936</v>
      </c>
      <c r="B74" s="39">
        <v>27.79981803894043</v>
      </c>
      <c r="C74" s="39">
        <v>28.16730485884235</v>
      </c>
      <c r="D74" s="39">
        <v>27.442263500050871</v>
      </c>
      <c r="E74" s="39">
        <v>28.16730485884235</v>
      </c>
      <c r="F74" s="39">
        <v>268900</v>
      </c>
    </row>
    <row r="75" spans="1:6">
      <c r="A75" s="41">
        <v>43937</v>
      </c>
      <c r="B75" s="39">
        <v>27.58131217956543</v>
      </c>
      <c r="C75" s="39">
        <v>28.256692099986331</v>
      </c>
      <c r="D75" s="39">
        <v>27.213825377787419</v>
      </c>
      <c r="E75" s="39">
        <v>28.097779400403631</v>
      </c>
      <c r="F75" s="39">
        <v>179700</v>
      </c>
    </row>
    <row r="76" spans="1:6">
      <c r="A76" s="41">
        <v>43938</v>
      </c>
      <c r="B76" s="39">
        <v>28.703634262084961</v>
      </c>
      <c r="C76" s="39">
        <v>28.793022895216922</v>
      </c>
      <c r="D76" s="39">
        <v>28.326217062274679</v>
      </c>
      <c r="E76" s="39">
        <v>28.594382961670568</v>
      </c>
      <c r="F76" s="39">
        <v>268400</v>
      </c>
    </row>
    <row r="77" spans="1:6">
      <c r="A77" s="41">
        <v>43941</v>
      </c>
      <c r="B77" s="39">
        <v>28.44539833068848</v>
      </c>
      <c r="C77" s="39">
        <v>29.1009136574317</v>
      </c>
      <c r="D77" s="39">
        <v>28.077913441593282</v>
      </c>
      <c r="E77" s="39">
        <v>28.30635019907286</v>
      </c>
      <c r="F77" s="39">
        <v>176400</v>
      </c>
    </row>
    <row r="78" spans="1:6">
      <c r="A78" s="41">
        <v>43942</v>
      </c>
      <c r="B78" s="39">
        <v>27.402534484863281</v>
      </c>
      <c r="C78" s="39">
        <v>28.286486599088299</v>
      </c>
      <c r="D78" s="39">
        <v>27.18402999999552</v>
      </c>
      <c r="E78" s="39">
        <v>27.938864363861889</v>
      </c>
      <c r="F78" s="39">
        <v>195500</v>
      </c>
    </row>
    <row r="79" spans="1:6">
      <c r="A79" s="41">
        <v>43943</v>
      </c>
      <c r="B79" s="39">
        <v>28.25669097900391</v>
      </c>
      <c r="C79" s="39">
        <v>28.375874551768359</v>
      </c>
      <c r="D79" s="39">
        <v>27.710426938269201</v>
      </c>
      <c r="E79" s="39">
        <v>27.899136471933101</v>
      </c>
      <c r="F79" s="39">
        <v>218200</v>
      </c>
    </row>
    <row r="80" spans="1:6">
      <c r="A80" s="41">
        <v>43944</v>
      </c>
      <c r="B80" s="39">
        <v>28.743362426757809</v>
      </c>
      <c r="C80" s="39">
        <v>29.14064417498895</v>
      </c>
      <c r="D80" s="39">
        <v>28.30635155650916</v>
      </c>
      <c r="E80" s="39">
        <v>28.385807906155389</v>
      </c>
      <c r="F80" s="39">
        <v>201500</v>
      </c>
    </row>
    <row r="81" spans="1:6">
      <c r="A81" s="41">
        <v>43945</v>
      </c>
      <c r="B81" s="39">
        <v>28.177236557006839</v>
      </c>
      <c r="C81" s="39">
        <v>28.723498740665171</v>
      </c>
      <c r="D81" s="39">
        <v>27.829614306320231</v>
      </c>
      <c r="E81" s="39">
        <v>28.723498740665171</v>
      </c>
      <c r="F81" s="39">
        <v>177400</v>
      </c>
    </row>
    <row r="82" spans="1:6">
      <c r="A82" s="41">
        <v>43948</v>
      </c>
      <c r="B82" s="39">
        <v>28.663906097412109</v>
      </c>
      <c r="C82" s="39">
        <v>28.802954235794289</v>
      </c>
      <c r="D82" s="39">
        <v>28.16730343817428</v>
      </c>
      <c r="E82" s="39">
        <v>28.226895226853951</v>
      </c>
      <c r="F82" s="39">
        <v>153100</v>
      </c>
    </row>
    <row r="83" spans="1:6">
      <c r="A83" s="41">
        <v>43949</v>
      </c>
      <c r="B83" s="39">
        <v>29.190305709838871</v>
      </c>
      <c r="C83" s="39">
        <v>29.5677248176547</v>
      </c>
      <c r="D83" s="39">
        <v>28.88241257038095</v>
      </c>
      <c r="E83" s="39">
        <v>29.150578479451841</v>
      </c>
      <c r="F83" s="39">
        <v>318700</v>
      </c>
    </row>
    <row r="84" spans="1:6">
      <c r="A84" s="41">
        <v>43950</v>
      </c>
      <c r="B84" s="39">
        <v>30.97807502746582</v>
      </c>
      <c r="C84" s="39">
        <v>31.13698773001942</v>
      </c>
      <c r="D84" s="39">
        <v>29.796160144633159</v>
      </c>
      <c r="E84" s="39">
        <v>29.94514056647856</v>
      </c>
      <c r="F84" s="39">
        <v>465400</v>
      </c>
    </row>
    <row r="85" spans="1:6">
      <c r="A85" s="41">
        <v>43951</v>
      </c>
      <c r="B85" s="39">
        <v>29.915346145629879</v>
      </c>
      <c r="C85" s="39">
        <v>30.779433744185329</v>
      </c>
      <c r="D85" s="39">
        <v>29.80609295030423</v>
      </c>
      <c r="E85" s="39">
        <v>30.779433744185329</v>
      </c>
      <c r="F85" s="39">
        <v>184600</v>
      </c>
    </row>
    <row r="86" spans="1:6">
      <c r="A86" s="41">
        <v>43952</v>
      </c>
      <c r="B86" s="39">
        <v>28.604312896728519</v>
      </c>
      <c r="C86" s="39">
        <v>29.508129600232291</v>
      </c>
      <c r="D86" s="39">
        <v>28.167303913189421</v>
      </c>
      <c r="E86" s="39">
        <v>29.339286511857299</v>
      </c>
      <c r="F86" s="39">
        <v>379100</v>
      </c>
    </row>
    <row r="87" spans="1:6">
      <c r="A87" s="41">
        <v>43955</v>
      </c>
      <c r="B87" s="39">
        <v>29.061189651489261</v>
      </c>
      <c r="C87" s="39">
        <v>29.110849162742849</v>
      </c>
      <c r="D87" s="39">
        <v>28.2368292617127</v>
      </c>
      <c r="E87" s="39">
        <v>28.41560653324791</v>
      </c>
      <c r="F87" s="39">
        <v>160300</v>
      </c>
    </row>
    <row r="88" spans="1:6">
      <c r="A88" s="41">
        <v>43956</v>
      </c>
      <c r="B88" s="39">
        <v>29.180374145507809</v>
      </c>
      <c r="C88" s="39">
        <v>30.004734560971269</v>
      </c>
      <c r="D88" s="39">
        <v>29.140646914144831</v>
      </c>
      <c r="E88" s="39">
        <v>29.786230052502411</v>
      </c>
      <c r="F88" s="39">
        <v>212200</v>
      </c>
    </row>
    <row r="89" spans="1:6">
      <c r="A89" s="41">
        <v>43957</v>
      </c>
      <c r="B89" s="39">
        <v>30.382150650024411</v>
      </c>
      <c r="C89" s="39">
        <v>30.630451978060321</v>
      </c>
      <c r="D89" s="39">
        <v>29.667043507260971</v>
      </c>
      <c r="E89" s="39">
        <v>29.68690617376836</v>
      </c>
      <c r="F89" s="39">
        <v>270100</v>
      </c>
    </row>
    <row r="90" spans="1:6">
      <c r="A90" s="41">
        <v>43958</v>
      </c>
      <c r="B90" s="39">
        <v>30.660249710083011</v>
      </c>
      <c r="C90" s="39">
        <v>30.789365570881419</v>
      </c>
      <c r="D90" s="39">
        <v>30.113985635901798</v>
      </c>
      <c r="E90" s="39">
        <v>30.342422409677599</v>
      </c>
      <c r="F90" s="39">
        <v>224900</v>
      </c>
    </row>
    <row r="91" spans="1:6">
      <c r="A91" s="41">
        <v>43959</v>
      </c>
      <c r="B91" s="39">
        <v>31.991140365600589</v>
      </c>
      <c r="C91" s="39">
        <v>32.050734044881587</v>
      </c>
      <c r="D91" s="39">
        <v>31.226373758714491</v>
      </c>
      <c r="E91" s="39">
        <v>31.504470017804451</v>
      </c>
      <c r="F91" s="39">
        <v>369100</v>
      </c>
    </row>
    <row r="92" spans="1:6">
      <c r="A92" s="41">
        <v>43962</v>
      </c>
      <c r="B92" s="39">
        <v>32.001075744628913</v>
      </c>
      <c r="C92" s="39">
        <v>32.179853000425076</v>
      </c>
      <c r="D92" s="39">
        <v>31.315763562206509</v>
      </c>
      <c r="E92" s="39">
        <v>31.80243392832455</v>
      </c>
      <c r="F92" s="39">
        <v>292800</v>
      </c>
    </row>
    <row r="93" spans="1:6">
      <c r="A93" s="41">
        <v>43963</v>
      </c>
      <c r="B93" s="39">
        <v>31.583929061889648</v>
      </c>
      <c r="C93" s="39">
        <v>32.805571175732027</v>
      </c>
      <c r="D93" s="39">
        <v>31.54420183336223</v>
      </c>
      <c r="E93" s="39">
        <v>32.259308996355337</v>
      </c>
      <c r="F93" s="39">
        <v>316300</v>
      </c>
    </row>
    <row r="94" spans="1:6">
      <c r="A94" s="41">
        <v>43964</v>
      </c>
      <c r="B94" s="39">
        <v>30.908550262451168</v>
      </c>
      <c r="C94" s="39">
        <v>31.891823297805459</v>
      </c>
      <c r="D94" s="39">
        <v>30.292762133099711</v>
      </c>
      <c r="E94" s="39">
        <v>31.742840984918519</v>
      </c>
      <c r="F94" s="39">
        <v>300400</v>
      </c>
    </row>
    <row r="95" spans="1:6">
      <c r="A95" s="41">
        <v>43965</v>
      </c>
      <c r="B95" s="39">
        <v>30.680110931396481</v>
      </c>
      <c r="C95" s="39">
        <v>30.680110931396481</v>
      </c>
      <c r="D95" s="39">
        <v>29.408809367239119</v>
      </c>
      <c r="E95" s="39">
        <v>30.143781057614781</v>
      </c>
      <c r="F95" s="39">
        <v>389400</v>
      </c>
    </row>
    <row r="96" spans="1:6">
      <c r="A96" s="41">
        <v>43966</v>
      </c>
      <c r="B96" s="39">
        <v>30.680110931396481</v>
      </c>
      <c r="C96" s="39">
        <v>30.709907772202211</v>
      </c>
      <c r="D96" s="39">
        <v>30.10405193654049</v>
      </c>
      <c r="E96" s="39">
        <v>30.49140328945985</v>
      </c>
      <c r="F96" s="39">
        <v>108900</v>
      </c>
    </row>
    <row r="97" spans="1:6">
      <c r="A97" s="41">
        <v>43969</v>
      </c>
      <c r="B97" s="39">
        <v>32.656589508056641</v>
      </c>
      <c r="C97" s="39">
        <v>32.736043957471992</v>
      </c>
      <c r="D97" s="39">
        <v>31.633587423989891</v>
      </c>
      <c r="E97" s="39">
        <v>31.633587423989891</v>
      </c>
      <c r="F97" s="39">
        <v>266600</v>
      </c>
    </row>
    <row r="98" spans="1:6">
      <c r="A98" s="41">
        <v>43970</v>
      </c>
      <c r="B98" s="39">
        <v>33.322036743164062</v>
      </c>
      <c r="C98" s="39">
        <v>33.937822962502203</v>
      </c>
      <c r="D98" s="39">
        <v>32.726115084291997</v>
      </c>
      <c r="E98" s="39">
        <v>32.736045470136283</v>
      </c>
      <c r="F98" s="39">
        <v>263800</v>
      </c>
    </row>
    <row r="99" spans="1:6">
      <c r="A99" s="41">
        <v>43971</v>
      </c>
      <c r="B99" s="39">
        <v>33.580276489257812</v>
      </c>
      <c r="C99" s="39">
        <v>34.315246375608403</v>
      </c>
      <c r="D99" s="39">
        <v>33.282311833343698</v>
      </c>
      <c r="E99" s="39">
        <v>34.116604534591652</v>
      </c>
      <c r="F99" s="39">
        <v>244900</v>
      </c>
    </row>
    <row r="100" spans="1:6">
      <c r="A100" s="41">
        <v>43972</v>
      </c>
      <c r="B100" s="39">
        <v>33.043941497802727</v>
      </c>
      <c r="C100" s="39">
        <v>33.610068227901458</v>
      </c>
      <c r="D100" s="39">
        <v>32.616862906496308</v>
      </c>
      <c r="E100" s="39">
        <v>33.411426405864908</v>
      </c>
      <c r="F100" s="39">
        <v>191900</v>
      </c>
    </row>
    <row r="101" spans="1:6">
      <c r="A101" s="41">
        <v>43973</v>
      </c>
      <c r="B101" s="39">
        <v>32.477813720703118</v>
      </c>
      <c r="C101" s="39">
        <v>33.143259445979069</v>
      </c>
      <c r="D101" s="39">
        <v>32.378490918497953</v>
      </c>
      <c r="E101" s="39">
        <v>33.093599939265218</v>
      </c>
      <c r="F101" s="39">
        <v>199500</v>
      </c>
    </row>
    <row r="102" spans="1:6">
      <c r="A102" s="41">
        <v>43977</v>
      </c>
      <c r="B102" s="39">
        <v>33.520679473876953</v>
      </c>
      <c r="C102" s="39">
        <v>33.957688449724593</v>
      </c>
      <c r="D102" s="39">
        <v>33.391561721712428</v>
      </c>
      <c r="E102" s="39">
        <v>33.550474421000452</v>
      </c>
      <c r="F102" s="39">
        <v>249900</v>
      </c>
    </row>
    <row r="103" spans="1:6">
      <c r="A103" s="41">
        <v>43978</v>
      </c>
      <c r="B103" s="39">
        <v>33.421360015869141</v>
      </c>
      <c r="C103" s="39">
        <v>33.778910742958068</v>
      </c>
      <c r="D103" s="39">
        <v>32.150054649590793</v>
      </c>
      <c r="E103" s="39">
        <v>33.778910742958068</v>
      </c>
      <c r="F103" s="39">
        <v>286800</v>
      </c>
    </row>
    <row r="104" spans="1:6">
      <c r="A104" s="41">
        <v>43979</v>
      </c>
      <c r="B104" s="39">
        <v>32.825435638427727</v>
      </c>
      <c r="C104" s="39">
        <v>33.788846027971168</v>
      </c>
      <c r="D104" s="39">
        <v>32.706252058815231</v>
      </c>
      <c r="E104" s="39">
        <v>33.381631991248902</v>
      </c>
      <c r="F104" s="39">
        <v>177100</v>
      </c>
    </row>
    <row r="105" spans="1:6">
      <c r="A105" s="41">
        <v>43980</v>
      </c>
      <c r="B105" s="39">
        <v>33.530609130859382</v>
      </c>
      <c r="C105" s="39">
        <v>33.610067373164348</v>
      </c>
      <c r="D105" s="39">
        <v>32.775774772849793</v>
      </c>
      <c r="E105" s="39">
        <v>32.885027961630357</v>
      </c>
      <c r="F105" s="39">
        <v>174100</v>
      </c>
    </row>
    <row r="106" spans="1:6">
      <c r="A106" s="41">
        <v>43983</v>
      </c>
      <c r="B106" s="39">
        <v>34.633068084716797</v>
      </c>
      <c r="C106" s="39">
        <v>34.702592153286233</v>
      </c>
      <c r="D106" s="39">
        <v>33.500814637983012</v>
      </c>
      <c r="E106" s="39">
        <v>33.639862775121877</v>
      </c>
      <c r="F106" s="39">
        <v>1321700</v>
      </c>
    </row>
    <row r="107" spans="1:6">
      <c r="A107" s="41">
        <v>43984</v>
      </c>
      <c r="B107" s="39">
        <v>34.434429168701172</v>
      </c>
      <c r="C107" s="39">
        <v>35.129673701799128</v>
      </c>
      <c r="D107" s="39">
        <v>34.315245582357427</v>
      </c>
      <c r="E107" s="39">
        <v>34.980695166063917</v>
      </c>
      <c r="F107" s="39">
        <v>685200</v>
      </c>
    </row>
    <row r="108" spans="1:6">
      <c r="A108" s="41">
        <v>43985</v>
      </c>
      <c r="B108" s="39">
        <v>34.891300201416023</v>
      </c>
      <c r="C108" s="39">
        <v>35.040278710133293</v>
      </c>
      <c r="D108" s="39">
        <v>34.325173532980521</v>
      </c>
      <c r="E108" s="39">
        <v>34.563540662439038</v>
      </c>
      <c r="F108" s="39">
        <v>532100</v>
      </c>
    </row>
    <row r="109" spans="1:6">
      <c r="A109" s="41">
        <v>43986</v>
      </c>
      <c r="B109" s="39">
        <v>34.335109710693359</v>
      </c>
      <c r="C109" s="39">
        <v>35.050218797268677</v>
      </c>
      <c r="D109" s="39">
        <v>34.126537490034842</v>
      </c>
      <c r="E109" s="39">
        <v>34.861507350101391</v>
      </c>
      <c r="F109" s="39">
        <v>339300</v>
      </c>
    </row>
    <row r="110" spans="1:6">
      <c r="A110" s="41">
        <v>43987</v>
      </c>
      <c r="B110" s="39">
        <v>35.318382263183587</v>
      </c>
      <c r="C110" s="39">
        <v>35.75539123655939</v>
      </c>
      <c r="D110" s="39">
        <v>35.109806268166032</v>
      </c>
      <c r="E110" s="39">
        <v>35.308448088346879</v>
      </c>
      <c r="F110" s="39">
        <v>272200</v>
      </c>
    </row>
    <row r="111" spans="1:6">
      <c r="A111" s="41">
        <v>43990</v>
      </c>
      <c r="B111" s="39">
        <v>36.152675628662109</v>
      </c>
      <c r="C111" s="39">
        <v>36.152675628662109</v>
      </c>
      <c r="D111" s="39">
        <v>35.288584261224571</v>
      </c>
      <c r="E111" s="39">
        <v>35.616343839654867</v>
      </c>
      <c r="F111" s="39">
        <v>251400</v>
      </c>
    </row>
    <row r="112" spans="1:6">
      <c r="A112" s="41">
        <v>43991</v>
      </c>
      <c r="B112" s="39">
        <v>35.377975463867188</v>
      </c>
      <c r="C112" s="39">
        <v>35.596481865367643</v>
      </c>
      <c r="D112" s="39">
        <v>35.159472851144677</v>
      </c>
      <c r="E112" s="39">
        <v>35.586551478380308</v>
      </c>
      <c r="F112" s="39">
        <v>260500</v>
      </c>
    </row>
    <row r="113" spans="1:6">
      <c r="A113" s="41">
        <v>43992</v>
      </c>
      <c r="B113" s="39">
        <v>34.980693817138672</v>
      </c>
      <c r="C113" s="39">
        <v>35.616344638163852</v>
      </c>
      <c r="D113" s="39">
        <v>34.543681036100551</v>
      </c>
      <c r="E113" s="39">
        <v>35.616344638163852</v>
      </c>
      <c r="F113" s="39">
        <v>276300</v>
      </c>
    </row>
    <row r="114" spans="1:6">
      <c r="A114" s="41">
        <v>43993</v>
      </c>
      <c r="B114" s="39">
        <v>32.845302581787109</v>
      </c>
      <c r="C114" s="39">
        <v>34.106673906226057</v>
      </c>
      <c r="D114" s="39">
        <v>32.745983556370291</v>
      </c>
      <c r="E114" s="39">
        <v>33.500818000360788</v>
      </c>
      <c r="F114" s="39">
        <v>569800</v>
      </c>
    </row>
    <row r="115" spans="1:6">
      <c r="A115" s="41">
        <v>43994</v>
      </c>
      <c r="B115" s="39">
        <v>33.828571319580078</v>
      </c>
      <c r="C115" s="39">
        <v>34.245715695369832</v>
      </c>
      <c r="D115" s="39">
        <v>33.143257289672263</v>
      </c>
      <c r="E115" s="39">
        <v>33.997414389177663</v>
      </c>
      <c r="F115" s="39">
        <v>211500</v>
      </c>
    </row>
    <row r="116" spans="1:6">
      <c r="A116" s="41">
        <v>43997</v>
      </c>
      <c r="B116" s="39">
        <v>34.553615570068359</v>
      </c>
      <c r="C116" s="39">
        <v>34.712528276974332</v>
      </c>
      <c r="D116" s="39">
        <v>32.924759377087717</v>
      </c>
      <c r="E116" s="39">
        <v>33.093602470585033</v>
      </c>
      <c r="F116" s="39">
        <v>524500</v>
      </c>
    </row>
    <row r="117" spans="1:6">
      <c r="A117" s="41">
        <v>43998</v>
      </c>
      <c r="B117" s="39">
        <v>35.228992462158203</v>
      </c>
      <c r="C117" s="39">
        <v>35.864643234579113</v>
      </c>
      <c r="D117" s="39">
        <v>34.831708835006403</v>
      </c>
      <c r="E117" s="39">
        <v>35.576612794332931</v>
      </c>
      <c r="F117" s="39">
        <v>272900</v>
      </c>
    </row>
    <row r="118" spans="1:6">
      <c r="A118" s="41">
        <v>43999</v>
      </c>
      <c r="B118" s="39">
        <v>33.778911590576172</v>
      </c>
      <c r="C118" s="39">
        <v>35.387906952350072</v>
      </c>
      <c r="D118" s="39">
        <v>33.709387520610619</v>
      </c>
      <c r="E118" s="39">
        <v>35.318382882384519</v>
      </c>
      <c r="F118" s="39">
        <v>442800</v>
      </c>
    </row>
    <row r="119" spans="1:6">
      <c r="A119" s="41">
        <v>44000</v>
      </c>
      <c r="B119" s="39">
        <v>34.702594757080078</v>
      </c>
      <c r="C119" s="39">
        <v>34.970760665444949</v>
      </c>
      <c r="D119" s="39">
        <v>34.017284405999533</v>
      </c>
      <c r="E119" s="39">
        <v>34.017284405999533</v>
      </c>
      <c r="F119" s="39">
        <v>245200</v>
      </c>
    </row>
    <row r="120" spans="1:6">
      <c r="A120" s="41">
        <v>44001</v>
      </c>
      <c r="B120" s="39">
        <v>34.921100616455078</v>
      </c>
      <c r="C120" s="39">
        <v>35.785188226477992</v>
      </c>
      <c r="D120" s="39">
        <v>34.871441105769222</v>
      </c>
      <c r="E120" s="39">
        <v>35.159471572036132</v>
      </c>
      <c r="F120" s="39">
        <v>253500</v>
      </c>
    </row>
    <row r="121" spans="1:6">
      <c r="A121" s="41">
        <v>44004</v>
      </c>
      <c r="B121" s="39">
        <v>35.119743347167969</v>
      </c>
      <c r="C121" s="39">
        <v>35.238926933621123</v>
      </c>
      <c r="D121" s="39">
        <v>34.662869775115979</v>
      </c>
      <c r="E121" s="39">
        <v>35.169402859125292</v>
      </c>
      <c r="F121" s="39">
        <v>157100</v>
      </c>
    </row>
    <row r="122" spans="1:6">
      <c r="A122" s="41">
        <v>44005</v>
      </c>
      <c r="B122" s="39">
        <v>35.765323638916023</v>
      </c>
      <c r="C122" s="39">
        <v>35.944100908279729</v>
      </c>
      <c r="D122" s="39">
        <v>35.52695647228294</v>
      </c>
      <c r="E122" s="39">
        <v>35.626275493583748</v>
      </c>
      <c r="F122" s="39">
        <v>267700</v>
      </c>
    </row>
    <row r="123" spans="1:6">
      <c r="A123" s="41">
        <v>44006</v>
      </c>
      <c r="B123" s="39">
        <v>35.765323638916023</v>
      </c>
      <c r="C123" s="39">
        <v>36.013624980945863</v>
      </c>
      <c r="D123" s="39">
        <v>35.010489226207532</v>
      </c>
      <c r="E123" s="39">
        <v>35.705733741646647</v>
      </c>
      <c r="F123" s="39">
        <v>366200</v>
      </c>
    </row>
    <row r="124" spans="1:6">
      <c r="A124" s="41">
        <v>44007</v>
      </c>
      <c r="B124" s="39">
        <v>35.666004180908203</v>
      </c>
      <c r="C124" s="39">
        <v>35.675934567405577</v>
      </c>
      <c r="D124" s="39">
        <v>35.020419184024263</v>
      </c>
      <c r="E124" s="39">
        <v>35.397838280146154</v>
      </c>
      <c r="F124" s="39">
        <v>211800</v>
      </c>
    </row>
    <row r="125" spans="1:6">
      <c r="A125" s="41">
        <v>44008</v>
      </c>
      <c r="B125" s="39">
        <v>34.652931213378913</v>
      </c>
      <c r="C125" s="39">
        <v>35.517018736156579</v>
      </c>
      <c r="D125" s="39">
        <v>34.613202093330457</v>
      </c>
      <c r="E125" s="39">
        <v>35.517018736156579</v>
      </c>
      <c r="F125" s="39">
        <v>319900</v>
      </c>
    </row>
    <row r="126" spans="1:6">
      <c r="A126" s="41">
        <v>44011</v>
      </c>
      <c r="B126" s="39">
        <v>35.785186767578118</v>
      </c>
      <c r="C126" s="39">
        <v>35.81498550379704</v>
      </c>
      <c r="D126" s="39">
        <v>34.831710561681113</v>
      </c>
      <c r="E126" s="39">
        <v>35.109806841206662</v>
      </c>
      <c r="F126" s="39">
        <v>196600</v>
      </c>
    </row>
    <row r="127" spans="1:6">
      <c r="A127" s="41">
        <v>44012</v>
      </c>
      <c r="B127" s="39">
        <v>35.854713439941413</v>
      </c>
      <c r="C127" s="39">
        <v>35.973900815912877</v>
      </c>
      <c r="D127" s="39">
        <v>35.596481702892397</v>
      </c>
      <c r="E127" s="39">
        <v>35.666005777820132</v>
      </c>
      <c r="F127" s="39">
        <v>180800</v>
      </c>
    </row>
    <row r="128" spans="1:6">
      <c r="A128" s="41">
        <v>44013</v>
      </c>
      <c r="B128" s="39">
        <v>36.53009033203125</v>
      </c>
      <c r="C128" s="39">
        <v>36.718801767002361</v>
      </c>
      <c r="D128" s="39">
        <v>35.874574974628288</v>
      </c>
      <c r="E128" s="39">
        <v>35.934168657584053</v>
      </c>
      <c r="F128" s="39">
        <v>422300</v>
      </c>
    </row>
    <row r="129" spans="1:6">
      <c r="A129" s="41">
        <v>44014</v>
      </c>
      <c r="B129" s="39">
        <v>37.086284637451172</v>
      </c>
      <c r="C129" s="39">
        <v>37.592817654047643</v>
      </c>
      <c r="D129" s="39">
        <v>36.91743777273409</v>
      </c>
      <c r="E129" s="39">
        <v>37.086284637451172</v>
      </c>
      <c r="F129" s="39">
        <v>294600</v>
      </c>
    </row>
    <row r="130" spans="1:6">
      <c r="A130" s="41">
        <v>44018</v>
      </c>
      <c r="B130" s="39">
        <v>38.973381042480469</v>
      </c>
      <c r="C130" s="39">
        <v>38.99324181609061</v>
      </c>
      <c r="D130" s="39">
        <v>37.960311093359067</v>
      </c>
      <c r="E130" s="39">
        <v>37.960311093359067</v>
      </c>
      <c r="F130" s="39">
        <v>733500</v>
      </c>
    </row>
    <row r="131" spans="1:6">
      <c r="A131" s="41">
        <v>44019</v>
      </c>
      <c r="B131" s="39">
        <v>39.430252075195312</v>
      </c>
      <c r="C131" s="39">
        <v>39.966583858844963</v>
      </c>
      <c r="D131" s="39">
        <v>38.864125344268793</v>
      </c>
      <c r="E131" s="39">
        <v>39.102492500039098</v>
      </c>
      <c r="F131" s="39">
        <v>464000</v>
      </c>
    </row>
    <row r="132" spans="1:6">
      <c r="A132" s="41">
        <v>44020</v>
      </c>
      <c r="B132" s="39">
        <v>41.297477722167969</v>
      </c>
      <c r="C132" s="39">
        <v>41.347137228846748</v>
      </c>
      <c r="D132" s="39">
        <v>39.728211547431243</v>
      </c>
      <c r="E132" s="39">
        <v>39.758006493683013</v>
      </c>
      <c r="F132" s="39">
        <v>443000</v>
      </c>
    </row>
    <row r="133" spans="1:6">
      <c r="A133" s="41">
        <v>44021</v>
      </c>
      <c r="B133" s="39">
        <v>41.108768463134773</v>
      </c>
      <c r="C133" s="39">
        <v>41.794082573331657</v>
      </c>
      <c r="D133" s="39">
        <v>40.403593580239651</v>
      </c>
      <c r="E133" s="39">
        <v>41.684829379603023</v>
      </c>
      <c r="F133" s="39">
        <v>615500</v>
      </c>
    </row>
    <row r="134" spans="1:6">
      <c r="A134" s="41">
        <v>44022</v>
      </c>
      <c r="B134" s="39">
        <v>41.088905334472663</v>
      </c>
      <c r="C134" s="39">
        <v>41.138564845505257</v>
      </c>
      <c r="D134" s="39">
        <v>40.562507697726979</v>
      </c>
      <c r="E134" s="39">
        <v>41.098839509945883</v>
      </c>
      <c r="F134" s="39">
        <v>445100</v>
      </c>
    </row>
    <row r="135" spans="1:6">
      <c r="A135" s="41">
        <v>44025</v>
      </c>
      <c r="B135" s="39">
        <v>40.741283416748047</v>
      </c>
      <c r="C135" s="39">
        <v>42.777353601759309</v>
      </c>
      <c r="D135" s="39">
        <v>40.691623907606832</v>
      </c>
      <c r="E135" s="39">
        <v>41.535846929340529</v>
      </c>
      <c r="F135" s="39">
        <v>677600</v>
      </c>
    </row>
    <row r="136" spans="1:6">
      <c r="A136" s="41">
        <v>44026</v>
      </c>
      <c r="B136" s="39">
        <v>42.717758178710938</v>
      </c>
      <c r="C136" s="39">
        <v>42.757487299917827</v>
      </c>
      <c r="D136" s="39">
        <v>40.036106906464248</v>
      </c>
      <c r="E136" s="39">
        <v>40.45325131280395</v>
      </c>
      <c r="F136" s="39">
        <v>751500</v>
      </c>
    </row>
    <row r="137" spans="1:6">
      <c r="A137" s="41">
        <v>44027</v>
      </c>
      <c r="B137" s="39">
        <v>43.532192230224609</v>
      </c>
      <c r="C137" s="39">
        <v>43.770559392077111</v>
      </c>
      <c r="D137" s="39">
        <v>42.767423657457194</v>
      </c>
      <c r="E137" s="39">
        <v>43.323616227631511</v>
      </c>
      <c r="F137" s="39">
        <v>1494600</v>
      </c>
    </row>
    <row r="138" spans="1:6">
      <c r="A138" s="41">
        <v>44028</v>
      </c>
      <c r="B138" s="39">
        <v>42.588645935058587</v>
      </c>
      <c r="C138" s="39">
        <v>43.124973937865263</v>
      </c>
      <c r="D138" s="39">
        <v>42.320480039266407</v>
      </c>
      <c r="E138" s="39">
        <v>42.966061235408162</v>
      </c>
      <c r="F138" s="39">
        <v>709800</v>
      </c>
    </row>
    <row r="139" spans="1:6">
      <c r="A139" s="41">
        <v>44029</v>
      </c>
      <c r="B139" s="39">
        <v>43.591777801513672</v>
      </c>
      <c r="C139" s="39">
        <v>43.601711975725621</v>
      </c>
      <c r="D139" s="39">
        <v>42.638301671143559</v>
      </c>
      <c r="E139" s="39">
        <v>42.926332102852463</v>
      </c>
      <c r="F139" s="39">
        <v>568400</v>
      </c>
    </row>
    <row r="140" spans="1:6">
      <c r="A140" s="41">
        <v>44032</v>
      </c>
      <c r="B140" s="39">
        <v>45.339828491210938</v>
      </c>
      <c r="C140" s="39">
        <v>45.756972944882158</v>
      </c>
      <c r="D140" s="39">
        <v>43.959269788457327</v>
      </c>
      <c r="E140" s="39">
        <v>44.108252115498743</v>
      </c>
      <c r="F140" s="39">
        <v>847200</v>
      </c>
    </row>
    <row r="141" spans="1:6">
      <c r="A141" s="41">
        <v>44033</v>
      </c>
      <c r="B141" s="39">
        <v>45.210704803466797</v>
      </c>
      <c r="C141" s="39">
        <v>46.13438601703465</v>
      </c>
      <c r="D141" s="39">
        <v>44.833285736182283</v>
      </c>
      <c r="E141" s="39">
        <v>46.13438601703465</v>
      </c>
      <c r="F141" s="39">
        <v>1075500</v>
      </c>
    </row>
    <row r="142" spans="1:6">
      <c r="A142" s="41">
        <v>44034</v>
      </c>
      <c r="B142" s="39">
        <v>45.419277191162109</v>
      </c>
      <c r="C142" s="39">
        <v>45.578189885080732</v>
      </c>
      <c r="D142" s="39">
        <v>44.892879602952441</v>
      </c>
      <c r="E142" s="39">
        <v>45.012063176197039</v>
      </c>
      <c r="F142" s="39">
        <v>326100</v>
      </c>
    </row>
    <row r="143" spans="1:6">
      <c r="A143" s="41">
        <v>44035</v>
      </c>
      <c r="B143" s="39">
        <v>45.836429595947273</v>
      </c>
      <c r="C143" s="39">
        <v>46.611128576447143</v>
      </c>
      <c r="D143" s="39">
        <v>45.151115462017842</v>
      </c>
      <c r="E143" s="39">
        <v>45.627853587616059</v>
      </c>
      <c r="F143" s="39">
        <v>590300</v>
      </c>
    </row>
    <row r="144" spans="1:6">
      <c r="A144" s="41">
        <v>44036</v>
      </c>
      <c r="B144" s="39">
        <v>44.624717712402337</v>
      </c>
      <c r="C144" s="39">
        <v>45.081591274679873</v>
      </c>
      <c r="D144" s="39">
        <v>43.681171850288109</v>
      </c>
      <c r="E144" s="39">
        <v>45.081591274679873</v>
      </c>
      <c r="F144" s="39">
        <v>511200</v>
      </c>
    </row>
    <row r="145" spans="1:6">
      <c r="A145" s="41">
        <v>44039</v>
      </c>
      <c r="B145" s="39">
        <v>45.995338439941413</v>
      </c>
      <c r="C145" s="39">
        <v>46.074792893143083</v>
      </c>
      <c r="D145" s="39">
        <v>45.041858480078737</v>
      </c>
      <c r="E145" s="39">
        <v>45.081587601068328</v>
      </c>
      <c r="F145" s="39">
        <v>502400</v>
      </c>
    </row>
    <row r="146" spans="1:6">
      <c r="A146" s="41">
        <v>44040</v>
      </c>
      <c r="B146" s="39">
        <v>44.455867767333977</v>
      </c>
      <c r="C146" s="39">
        <v>45.886085830791707</v>
      </c>
      <c r="D146" s="39">
        <v>44.416142434620483</v>
      </c>
      <c r="E146" s="39">
        <v>45.796697201825602</v>
      </c>
      <c r="F146" s="39">
        <v>347100</v>
      </c>
    </row>
    <row r="147" spans="1:6">
      <c r="A147" s="41">
        <v>44041</v>
      </c>
      <c r="B147" s="39">
        <v>44.624717712402337</v>
      </c>
      <c r="C147" s="39">
        <v>45.031931763784968</v>
      </c>
      <c r="D147" s="39">
        <v>44.33668724492302</v>
      </c>
      <c r="E147" s="39">
        <v>44.664446836629388</v>
      </c>
      <c r="F147" s="39">
        <v>284900</v>
      </c>
    </row>
    <row r="148" spans="1:6">
      <c r="A148" s="41">
        <v>44042</v>
      </c>
      <c r="B148" s="39">
        <v>44.743900299072273</v>
      </c>
      <c r="C148" s="39">
        <v>44.843223107426198</v>
      </c>
      <c r="D148" s="39">
        <v>44.21750267551846</v>
      </c>
      <c r="E148" s="39">
        <v>44.565123032812913</v>
      </c>
      <c r="F148" s="39">
        <v>234500</v>
      </c>
    </row>
    <row r="149" spans="1:6">
      <c r="A149" s="41">
        <v>44043</v>
      </c>
      <c r="B149" s="39">
        <v>44.704170227050781</v>
      </c>
      <c r="C149" s="39">
        <v>45.111384260715987</v>
      </c>
      <c r="D149" s="39">
        <v>44.237366298415523</v>
      </c>
      <c r="E149" s="39">
        <v>45.021999418260911</v>
      </c>
      <c r="F149" s="39">
        <v>775900</v>
      </c>
    </row>
    <row r="150" spans="1:6">
      <c r="A150" s="41">
        <v>44046</v>
      </c>
      <c r="B150" s="39">
        <v>45.737106323242188</v>
      </c>
      <c r="C150" s="39">
        <v>45.866224081614178</v>
      </c>
      <c r="D150" s="39">
        <v>44.406210981929142</v>
      </c>
      <c r="E150" s="39">
        <v>44.813425030230562</v>
      </c>
      <c r="F150" s="39">
        <v>1016000</v>
      </c>
    </row>
    <row r="151" spans="1:6">
      <c r="A151" s="41">
        <v>44047</v>
      </c>
      <c r="B151" s="39">
        <v>48.726654052734382</v>
      </c>
      <c r="C151" s="39">
        <v>48.855768015591927</v>
      </c>
      <c r="D151" s="39">
        <v>46.779968758465237</v>
      </c>
      <c r="E151" s="39">
        <v>46.919020684952571</v>
      </c>
      <c r="F151" s="39">
        <v>973300</v>
      </c>
    </row>
    <row r="152" spans="1:6">
      <c r="A152" s="41">
        <v>44048</v>
      </c>
      <c r="B152" s="39">
        <v>50.425037384033203</v>
      </c>
      <c r="C152" s="39">
        <v>50.514426019406343</v>
      </c>
      <c r="D152" s="39">
        <v>48.359168383755282</v>
      </c>
      <c r="E152" s="39">
        <v>48.835906509486072</v>
      </c>
      <c r="F152" s="39">
        <v>808600</v>
      </c>
    </row>
    <row r="153" spans="1:6">
      <c r="A153" s="41">
        <v>44049</v>
      </c>
      <c r="B153" s="39">
        <v>49.779449462890618</v>
      </c>
      <c r="C153" s="39">
        <v>50.881907971755872</v>
      </c>
      <c r="D153" s="39">
        <v>49.282846804034399</v>
      </c>
      <c r="E153" s="39">
        <v>50.385305312899639</v>
      </c>
      <c r="F153" s="39">
        <v>685200</v>
      </c>
    </row>
    <row r="154" spans="1:6">
      <c r="A154" s="41">
        <v>44050</v>
      </c>
      <c r="B154" s="39">
        <v>50.852115631103523</v>
      </c>
      <c r="C154" s="39">
        <v>51.706272854321227</v>
      </c>
      <c r="D154" s="39">
        <v>49.948298897210357</v>
      </c>
      <c r="E154" s="39">
        <v>49.968163459236102</v>
      </c>
      <c r="F154" s="39">
        <v>786500</v>
      </c>
    </row>
    <row r="155" spans="1:6">
      <c r="A155" s="41">
        <v>44053</v>
      </c>
      <c r="B155" s="39">
        <v>50.931568145751953</v>
      </c>
      <c r="C155" s="39">
        <v>51.646677196262907</v>
      </c>
      <c r="D155" s="39">
        <v>50.514423725472341</v>
      </c>
      <c r="E155" s="39">
        <v>50.961366882041681</v>
      </c>
      <c r="F155" s="39">
        <v>872100</v>
      </c>
    </row>
    <row r="156" spans="1:6">
      <c r="A156" s="41">
        <v>44054</v>
      </c>
      <c r="B156" s="39">
        <v>49.342437744140618</v>
      </c>
      <c r="C156" s="39">
        <v>51.467896399687888</v>
      </c>
      <c r="D156" s="39">
        <v>49.133865548322042</v>
      </c>
      <c r="E156" s="39">
        <v>51.368577388948779</v>
      </c>
      <c r="F156" s="39">
        <v>826700</v>
      </c>
    </row>
    <row r="157" spans="1:6">
      <c r="A157" s="41">
        <v>44055</v>
      </c>
      <c r="B157" s="39">
        <v>50.762722015380859</v>
      </c>
      <c r="C157" s="39">
        <v>51.229529705236573</v>
      </c>
      <c r="D157" s="39">
        <v>49.431826800470411</v>
      </c>
      <c r="E157" s="39">
        <v>49.62053443803164</v>
      </c>
      <c r="F157" s="39">
        <v>698800</v>
      </c>
    </row>
    <row r="158" spans="1:6">
      <c r="A158" s="41">
        <v>44056</v>
      </c>
      <c r="B158" s="39">
        <v>52.05389404296875</v>
      </c>
      <c r="C158" s="39">
        <v>52.401514411985019</v>
      </c>
      <c r="D158" s="39">
        <v>50.981234198020061</v>
      </c>
      <c r="E158" s="39">
        <v>51.060688658604697</v>
      </c>
      <c r="F158" s="39">
        <v>625200</v>
      </c>
    </row>
    <row r="159" spans="1:6">
      <c r="A159" s="41">
        <v>44057</v>
      </c>
      <c r="B159" s="39">
        <v>51.209671020507812</v>
      </c>
      <c r="C159" s="39">
        <v>52.252535917123367</v>
      </c>
      <c r="D159" s="39">
        <v>50.901775987162019</v>
      </c>
      <c r="E159" s="39">
        <v>51.875116809921728</v>
      </c>
      <c r="F159" s="39">
        <v>503200</v>
      </c>
    </row>
    <row r="160" spans="1:6">
      <c r="A160" s="41">
        <v>44060</v>
      </c>
      <c r="B160" s="39">
        <v>51.994300842285163</v>
      </c>
      <c r="C160" s="39">
        <v>52.55049722669154</v>
      </c>
      <c r="D160" s="39">
        <v>51.557291833037361</v>
      </c>
      <c r="E160" s="39">
        <v>51.636750083143077</v>
      </c>
      <c r="F160" s="39">
        <v>454500</v>
      </c>
    </row>
    <row r="161" spans="1:6">
      <c r="A161" s="41">
        <v>44061</v>
      </c>
      <c r="B161" s="39">
        <v>52.004230499267578</v>
      </c>
      <c r="C161" s="39">
        <v>52.520697713745037</v>
      </c>
      <c r="D161" s="39">
        <v>51.179868275550398</v>
      </c>
      <c r="E161" s="39">
        <v>52.2922609477069</v>
      </c>
      <c r="F161" s="39">
        <v>465800</v>
      </c>
    </row>
    <row r="162" spans="1:6">
      <c r="A162" s="41">
        <v>44062</v>
      </c>
      <c r="B162" s="39">
        <v>52.361785888671882</v>
      </c>
      <c r="C162" s="39">
        <v>53.106689881600502</v>
      </c>
      <c r="D162" s="39">
        <v>51.964502243598893</v>
      </c>
      <c r="E162" s="39">
        <v>51.9843668047303</v>
      </c>
      <c r="F162" s="39">
        <v>595200</v>
      </c>
    </row>
    <row r="163" spans="1:6">
      <c r="A163" s="41">
        <v>44063</v>
      </c>
      <c r="B163" s="39">
        <v>51.656608581542969</v>
      </c>
      <c r="C163" s="39">
        <v>52.143280870059058</v>
      </c>
      <c r="D163" s="39">
        <v>51.577154123714919</v>
      </c>
      <c r="E163" s="39">
        <v>52.103551746756168</v>
      </c>
      <c r="F163" s="39">
        <v>340200</v>
      </c>
    </row>
    <row r="164" spans="1:6">
      <c r="A164" s="41">
        <v>44064</v>
      </c>
      <c r="B164" s="39">
        <v>52.083686828613281</v>
      </c>
      <c r="C164" s="39">
        <v>52.322057778021353</v>
      </c>
      <c r="D164" s="39">
        <v>51.398376505828871</v>
      </c>
      <c r="E164" s="39">
        <v>51.656608227974708</v>
      </c>
      <c r="F164" s="39">
        <v>322800</v>
      </c>
    </row>
    <row r="165" spans="1:6">
      <c r="A165" s="41">
        <v>44067</v>
      </c>
      <c r="B165" s="39">
        <v>53.136482238769531</v>
      </c>
      <c r="C165" s="39">
        <v>53.384783557642287</v>
      </c>
      <c r="D165" s="39">
        <v>52.510761854352502</v>
      </c>
      <c r="E165" s="39">
        <v>52.828587239407433</v>
      </c>
      <c r="F165" s="39">
        <v>622100</v>
      </c>
    </row>
    <row r="166" spans="1:6">
      <c r="A166" s="41">
        <v>44068</v>
      </c>
      <c r="B166" s="39">
        <v>54.735546112060547</v>
      </c>
      <c r="C166" s="39">
        <v>54.735546112060547</v>
      </c>
      <c r="D166" s="39">
        <v>53.275533070698543</v>
      </c>
      <c r="E166" s="39">
        <v>53.861524364482548</v>
      </c>
      <c r="F166" s="39">
        <v>1102600</v>
      </c>
    </row>
    <row r="167" spans="1:6">
      <c r="A167" s="41">
        <v>44069</v>
      </c>
      <c r="B167" s="39">
        <v>54.546836853027337</v>
      </c>
      <c r="C167" s="39">
        <v>55.341404176425989</v>
      </c>
      <c r="D167" s="39">
        <v>54.397858321473443</v>
      </c>
      <c r="E167" s="39">
        <v>54.765343245839752</v>
      </c>
      <c r="F167" s="39">
        <v>757700</v>
      </c>
    </row>
    <row r="168" spans="1:6">
      <c r="A168" s="41">
        <v>44070</v>
      </c>
      <c r="B168" s="39">
        <v>54.685886383056641</v>
      </c>
      <c r="C168" s="39">
        <v>55.291738446790177</v>
      </c>
      <c r="D168" s="39">
        <v>54.308467299909474</v>
      </c>
      <c r="E168" s="39">
        <v>54.884524416397397</v>
      </c>
      <c r="F168" s="39">
        <v>632100</v>
      </c>
    </row>
    <row r="169" spans="1:6">
      <c r="A169" s="41">
        <v>44071</v>
      </c>
      <c r="B169" s="39">
        <v>56.473655700683587</v>
      </c>
      <c r="C169" s="39">
        <v>56.801411489597257</v>
      </c>
      <c r="D169" s="39">
        <v>54.894459073574588</v>
      </c>
      <c r="E169" s="39">
        <v>55.122895844945383</v>
      </c>
      <c r="F169" s="39">
        <v>1360200</v>
      </c>
    </row>
    <row r="170" spans="1:6">
      <c r="A170" s="41">
        <v>44074</v>
      </c>
      <c r="B170" s="39">
        <v>56.404132843017578</v>
      </c>
      <c r="C170" s="39">
        <v>57.33774450983217</v>
      </c>
      <c r="D170" s="39">
        <v>55.947259290455833</v>
      </c>
      <c r="E170" s="39">
        <v>56.712024077285058</v>
      </c>
      <c r="F170" s="39">
        <v>749800</v>
      </c>
    </row>
    <row r="171" spans="1:6">
      <c r="A171" s="41">
        <v>44075</v>
      </c>
      <c r="B171" s="39">
        <v>57.119239807128913</v>
      </c>
      <c r="C171" s="39">
        <v>57.208628442990182</v>
      </c>
      <c r="D171" s="39">
        <v>56.225357237294027</v>
      </c>
      <c r="E171" s="39">
        <v>56.582911780739117</v>
      </c>
      <c r="F171" s="39">
        <v>454300</v>
      </c>
    </row>
    <row r="172" spans="1:6">
      <c r="A172" s="41">
        <v>44076</v>
      </c>
      <c r="B172" s="39">
        <v>56.592838287353523</v>
      </c>
      <c r="C172" s="39">
        <v>57.556248653496048</v>
      </c>
      <c r="D172" s="39">
        <v>55.3215366989591</v>
      </c>
      <c r="E172" s="39">
        <v>57.238423256397454</v>
      </c>
      <c r="F172" s="39">
        <v>995900</v>
      </c>
    </row>
    <row r="173" spans="1:6">
      <c r="A173" s="41">
        <v>44077</v>
      </c>
      <c r="B173" s="39">
        <v>52.232669830322273</v>
      </c>
      <c r="C173" s="39">
        <v>55.897596230474569</v>
      </c>
      <c r="D173" s="39">
        <v>51.686407642207421</v>
      </c>
      <c r="E173" s="39">
        <v>55.808207596871938</v>
      </c>
      <c r="F173" s="39">
        <v>2644000</v>
      </c>
    </row>
    <row r="174" spans="1:6">
      <c r="A174" s="41">
        <v>44078</v>
      </c>
      <c r="B174" s="39">
        <v>51.150074005126953</v>
      </c>
      <c r="C174" s="39">
        <v>52.401511041879559</v>
      </c>
      <c r="D174" s="39">
        <v>47.653990822356221</v>
      </c>
      <c r="E174" s="39">
        <v>52.034026134156768</v>
      </c>
      <c r="F174" s="39">
        <v>1693400</v>
      </c>
    </row>
    <row r="175" spans="1:6">
      <c r="A175" s="41">
        <v>44082</v>
      </c>
      <c r="B175" s="39">
        <v>50.971298217773438</v>
      </c>
      <c r="C175" s="39">
        <v>51.904909882060203</v>
      </c>
      <c r="D175" s="39">
        <v>49.153734398904298</v>
      </c>
      <c r="E175" s="39">
        <v>49.501354755612738</v>
      </c>
      <c r="F175" s="39">
        <v>946600</v>
      </c>
    </row>
    <row r="176" spans="1:6">
      <c r="A176" s="41">
        <v>44083</v>
      </c>
      <c r="B176" s="39">
        <v>52.848457336425781</v>
      </c>
      <c r="C176" s="39">
        <v>52.997439658869069</v>
      </c>
      <c r="D176" s="39">
        <v>51.736068372190168</v>
      </c>
      <c r="E176" s="39">
        <v>52.073758352787493</v>
      </c>
      <c r="F176" s="39">
        <v>801200</v>
      </c>
    </row>
    <row r="177" spans="1:6">
      <c r="A177" s="41">
        <v>44084</v>
      </c>
      <c r="B177" s="39">
        <v>51.577152252197273</v>
      </c>
      <c r="C177" s="39">
        <v>53.017300715059427</v>
      </c>
      <c r="D177" s="39">
        <v>51.338781309807132</v>
      </c>
      <c r="E177" s="39">
        <v>52.848453841537747</v>
      </c>
      <c r="F177" s="39">
        <v>820300</v>
      </c>
    </row>
    <row r="178" spans="1:6">
      <c r="A178" s="41">
        <v>44085</v>
      </c>
      <c r="B178" s="39">
        <v>52.361785888671882</v>
      </c>
      <c r="C178" s="39">
        <v>53.22587345961135</v>
      </c>
      <c r="D178" s="39">
        <v>51.775794596016922</v>
      </c>
      <c r="E178" s="39">
        <v>52.74913535879034</v>
      </c>
      <c r="F178" s="39">
        <v>386400</v>
      </c>
    </row>
    <row r="179" spans="1:6">
      <c r="A179" s="41">
        <v>44088</v>
      </c>
      <c r="B179" s="39">
        <v>54.626296997070312</v>
      </c>
      <c r="C179" s="39">
        <v>54.765345146858387</v>
      </c>
      <c r="D179" s="39">
        <v>53.225877534696536</v>
      </c>
      <c r="E179" s="39">
        <v>53.364925684484611</v>
      </c>
      <c r="F179" s="39">
        <v>576100</v>
      </c>
    </row>
    <row r="180" spans="1:6">
      <c r="A180" s="41">
        <v>44089</v>
      </c>
      <c r="B180" s="39">
        <v>56.096237182617188</v>
      </c>
      <c r="C180" s="39">
        <v>56.364403079233377</v>
      </c>
      <c r="D180" s="39">
        <v>55.22221542202859</v>
      </c>
      <c r="E180" s="39">
        <v>55.490381318644793</v>
      </c>
      <c r="F180" s="39">
        <v>694800</v>
      </c>
    </row>
    <row r="181" spans="1:6">
      <c r="A181" s="41">
        <v>44090</v>
      </c>
      <c r="B181" s="39">
        <v>56.275012969970703</v>
      </c>
      <c r="C181" s="39">
        <v>57.208624601673151</v>
      </c>
      <c r="D181" s="39">
        <v>55.957187572421887</v>
      </c>
      <c r="E181" s="39">
        <v>56.473654790633113</v>
      </c>
      <c r="F181" s="39">
        <v>875500</v>
      </c>
    </row>
    <row r="182" spans="1:6">
      <c r="A182" s="41">
        <v>44091</v>
      </c>
      <c r="B182" s="39">
        <v>54.437587738037109</v>
      </c>
      <c r="C182" s="39">
        <v>55.252015838998801</v>
      </c>
      <c r="D182" s="39">
        <v>54.000574950063061</v>
      </c>
      <c r="E182" s="39">
        <v>55.192422152790208</v>
      </c>
      <c r="F182" s="39">
        <v>450800</v>
      </c>
    </row>
    <row r="183" spans="1:6">
      <c r="A183" s="41">
        <v>44092</v>
      </c>
      <c r="B183" s="39">
        <v>54.844802856445312</v>
      </c>
      <c r="C183" s="39">
        <v>55.927396883259007</v>
      </c>
      <c r="D183" s="39">
        <v>54.308471036458073</v>
      </c>
      <c r="E183" s="39">
        <v>55.281811864150903</v>
      </c>
      <c r="F183" s="39">
        <v>464100</v>
      </c>
    </row>
    <row r="184" spans="1:6">
      <c r="A184" s="41">
        <v>44095</v>
      </c>
      <c r="B184" s="39">
        <v>54.81500244140625</v>
      </c>
      <c r="C184" s="39">
        <v>54.824936616719441</v>
      </c>
      <c r="D184" s="39">
        <v>52.530630871704972</v>
      </c>
      <c r="E184" s="39">
        <v>52.908049969273009</v>
      </c>
      <c r="F184" s="39">
        <v>621200</v>
      </c>
    </row>
    <row r="185" spans="1:6">
      <c r="A185" s="41">
        <v>44096</v>
      </c>
      <c r="B185" s="39">
        <v>55.073234558105469</v>
      </c>
      <c r="C185" s="39">
        <v>55.112963679351012</v>
      </c>
      <c r="D185" s="39">
        <v>53.84165832093634</v>
      </c>
      <c r="E185" s="39">
        <v>54.814999058786967</v>
      </c>
      <c r="F185" s="39">
        <v>308300</v>
      </c>
    </row>
    <row r="186" spans="1:6">
      <c r="A186" s="41">
        <v>44097</v>
      </c>
      <c r="B186" s="39">
        <v>55.90753173828125</v>
      </c>
      <c r="C186" s="39">
        <v>57.298016996735349</v>
      </c>
      <c r="D186" s="39">
        <v>55.698959517829813</v>
      </c>
      <c r="E186" s="39">
        <v>55.957191249515709</v>
      </c>
      <c r="F186" s="39">
        <v>647100</v>
      </c>
    </row>
    <row r="187" spans="1:6">
      <c r="A187" s="41">
        <v>44098</v>
      </c>
      <c r="B187" s="39">
        <v>55.391063690185547</v>
      </c>
      <c r="C187" s="39">
        <v>55.977055007398548</v>
      </c>
      <c r="D187" s="39">
        <v>53.861526517964769</v>
      </c>
      <c r="E187" s="39">
        <v>55.242081369845131</v>
      </c>
      <c r="F187" s="39">
        <v>946700</v>
      </c>
    </row>
    <row r="188" spans="1:6">
      <c r="A188" s="41">
        <v>44099</v>
      </c>
      <c r="B188" s="39">
        <v>57.24835205078125</v>
      </c>
      <c r="C188" s="39">
        <v>57.268216611144823</v>
      </c>
      <c r="D188" s="39">
        <v>54.646155263594153</v>
      </c>
      <c r="E188" s="39">
        <v>54.864661638815861</v>
      </c>
      <c r="F188" s="39">
        <v>728200</v>
      </c>
    </row>
    <row r="189" spans="1:6">
      <c r="A189" s="41">
        <v>44102</v>
      </c>
      <c r="B189" s="39">
        <v>60.128650665283203</v>
      </c>
      <c r="C189" s="39">
        <v>60.158445612317372</v>
      </c>
      <c r="D189" s="39">
        <v>58.301152734561363</v>
      </c>
      <c r="E189" s="39">
        <v>58.589183185150333</v>
      </c>
      <c r="F189" s="39">
        <v>1478800</v>
      </c>
    </row>
    <row r="190" spans="1:6">
      <c r="A190" s="41">
        <v>44103</v>
      </c>
      <c r="B190" s="39">
        <v>62.095199584960938</v>
      </c>
      <c r="C190" s="39">
        <v>62.37329587345554</v>
      </c>
      <c r="D190" s="39">
        <v>60.774234637056033</v>
      </c>
      <c r="E190" s="39">
        <v>60.913286570081112</v>
      </c>
      <c r="F190" s="39">
        <v>1181000</v>
      </c>
    </row>
    <row r="191" spans="1:6">
      <c r="A191" s="41">
        <v>44104</v>
      </c>
      <c r="B191" s="39">
        <v>64.349777221679688</v>
      </c>
      <c r="C191" s="39">
        <v>65.313187648828546</v>
      </c>
      <c r="D191" s="39">
        <v>62.681191886862891</v>
      </c>
      <c r="E191" s="39">
        <v>62.939423617566</v>
      </c>
      <c r="F191" s="39">
        <v>1715100</v>
      </c>
    </row>
    <row r="192" spans="1:6">
      <c r="A192" s="41">
        <v>44105</v>
      </c>
      <c r="B192" s="39">
        <v>66.723533630371094</v>
      </c>
      <c r="C192" s="39">
        <v>66.723533630371094</v>
      </c>
      <c r="D192" s="39">
        <v>64.72718881755992</v>
      </c>
      <c r="E192" s="39">
        <v>65.571411823158996</v>
      </c>
      <c r="F192" s="39">
        <v>1545200</v>
      </c>
    </row>
    <row r="193" spans="1:6">
      <c r="A193" s="41">
        <v>44106</v>
      </c>
      <c r="B193" s="39">
        <v>66.137542724609375</v>
      </c>
      <c r="C193" s="39">
        <v>67.518105176407417</v>
      </c>
      <c r="D193" s="39">
        <v>64.657668827716535</v>
      </c>
      <c r="E193" s="39">
        <v>64.995362597795079</v>
      </c>
      <c r="F193" s="39">
        <v>1618600</v>
      </c>
    </row>
    <row r="194" spans="1:6">
      <c r="A194" s="41">
        <v>44109</v>
      </c>
      <c r="B194" s="39">
        <v>70.070632934570312</v>
      </c>
      <c r="C194" s="39">
        <v>70.070632934570312</v>
      </c>
      <c r="D194" s="39">
        <v>67.567751478426146</v>
      </c>
      <c r="E194" s="39">
        <v>67.885576853128853</v>
      </c>
      <c r="F194" s="39">
        <v>2379300</v>
      </c>
    </row>
    <row r="195" spans="1:6">
      <c r="A195" s="41">
        <v>44110</v>
      </c>
      <c r="B195" s="39">
        <v>70.835403442382812</v>
      </c>
      <c r="C195" s="39">
        <v>72.106705045372465</v>
      </c>
      <c r="D195" s="39">
        <v>69.583962611759446</v>
      </c>
      <c r="E195" s="39">
        <v>70.954590809246312</v>
      </c>
      <c r="F195" s="39">
        <v>3155200</v>
      </c>
    </row>
    <row r="196" spans="1:6">
      <c r="A196" s="41">
        <v>44111</v>
      </c>
      <c r="B196" s="39">
        <v>74.669181823730469</v>
      </c>
      <c r="C196" s="39">
        <v>75.006868020462363</v>
      </c>
      <c r="D196" s="39">
        <v>72.305355713939804</v>
      </c>
      <c r="E196" s="39">
        <v>72.315282312039585</v>
      </c>
      <c r="F196" s="39">
        <v>2893500</v>
      </c>
    </row>
    <row r="197" spans="1:6">
      <c r="A197" s="41">
        <v>44112</v>
      </c>
      <c r="B197" s="39">
        <v>74.490394592285156</v>
      </c>
      <c r="C197" s="39">
        <v>76.973407745361328</v>
      </c>
      <c r="D197" s="39">
        <v>73.725629875261802</v>
      </c>
      <c r="E197" s="39">
        <v>76.973407745361328</v>
      </c>
      <c r="F197" s="39">
        <v>3998900</v>
      </c>
    </row>
    <row r="198" spans="1:6">
      <c r="A198" s="41">
        <v>44113</v>
      </c>
      <c r="B198" s="39">
        <v>75.145919799804688</v>
      </c>
      <c r="C198" s="39">
        <v>75.841160508060938</v>
      </c>
      <c r="D198" s="39">
        <v>72.782086236622632</v>
      </c>
      <c r="E198" s="39">
        <v>73.427671224320804</v>
      </c>
      <c r="F198" s="39">
        <v>2150000</v>
      </c>
    </row>
    <row r="199" spans="1:6">
      <c r="A199" s="41">
        <v>44116</v>
      </c>
      <c r="B199" s="39">
        <v>72.623176574707031</v>
      </c>
      <c r="C199" s="39">
        <v>75.751767307211182</v>
      </c>
      <c r="D199" s="39">
        <v>71.759085208292788</v>
      </c>
      <c r="E199" s="39">
        <v>75.751767307211182</v>
      </c>
      <c r="F199" s="39">
        <v>3027300</v>
      </c>
    </row>
    <row r="200" spans="1:6">
      <c r="A200" s="41">
        <v>44117</v>
      </c>
      <c r="B200" s="39">
        <v>73.536918640136719</v>
      </c>
      <c r="C200" s="39">
        <v>74.649311263498504</v>
      </c>
      <c r="D200" s="39">
        <v>71.868333493871447</v>
      </c>
      <c r="E200" s="39">
        <v>72.116634809818322</v>
      </c>
      <c r="F200" s="39">
        <v>1490700</v>
      </c>
    </row>
    <row r="201" spans="1:6">
      <c r="A201" s="41">
        <v>44118</v>
      </c>
      <c r="B201" s="39">
        <v>74.619514465332031</v>
      </c>
      <c r="C201" s="39">
        <v>75.185641206022623</v>
      </c>
      <c r="D201" s="39">
        <v>73.596514177553885</v>
      </c>
      <c r="E201" s="39">
        <v>74.281828286962906</v>
      </c>
      <c r="F201" s="39">
        <v>1467400</v>
      </c>
    </row>
    <row r="202" spans="1:6">
      <c r="A202" s="41">
        <v>44119</v>
      </c>
      <c r="B202" s="39">
        <v>73.0601806640625</v>
      </c>
      <c r="C202" s="39">
        <v>73.387940237152776</v>
      </c>
      <c r="D202" s="39">
        <v>71.510782794988742</v>
      </c>
      <c r="E202" s="39">
        <v>72.305350079288488</v>
      </c>
      <c r="F202" s="39">
        <v>1856500</v>
      </c>
    </row>
    <row r="203" spans="1:6">
      <c r="A203" s="41">
        <v>44120</v>
      </c>
      <c r="B203" s="39">
        <v>73.010520935058594</v>
      </c>
      <c r="C203" s="39">
        <v>74.460599708345967</v>
      </c>
      <c r="D203" s="39">
        <v>72.454320835572972</v>
      </c>
      <c r="E203" s="39">
        <v>74.073250262350598</v>
      </c>
      <c r="F203" s="39">
        <v>1866000</v>
      </c>
    </row>
    <row r="204" spans="1:6">
      <c r="A204" s="41">
        <v>44123</v>
      </c>
      <c r="B204" s="39">
        <v>74.122917175292969</v>
      </c>
      <c r="C204" s="39">
        <v>75.324694814597905</v>
      </c>
      <c r="D204" s="39">
        <v>72.64304323301576</v>
      </c>
      <c r="E204" s="39">
        <v>73.546863795231545</v>
      </c>
      <c r="F204" s="39">
        <v>1747100</v>
      </c>
    </row>
    <row r="205" spans="1:6">
      <c r="A205" s="41">
        <v>44124</v>
      </c>
      <c r="B205" s="39">
        <v>77.201850891113281</v>
      </c>
      <c r="C205" s="39">
        <v>77.827567498854123</v>
      </c>
      <c r="D205" s="39">
        <v>74.788361721891391</v>
      </c>
      <c r="E205" s="39">
        <v>75.275030194578719</v>
      </c>
      <c r="F205" s="39">
        <v>2354100</v>
      </c>
    </row>
    <row r="206" spans="1:6">
      <c r="A206" s="41">
        <v>44125</v>
      </c>
      <c r="B206" s="39">
        <v>70.736076354980469</v>
      </c>
      <c r="C206" s="39">
        <v>77.152181110108287</v>
      </c>
      <c r="D206" s="39">
        <v>70.716208007325747</v>
      </c>
      <c r="E206" s="39">
        <v>77.003198812915485</v>
      </c>
      <c r="F206" s="39">
        <v>3913700</v>
      </c>
    </row>
    <row r="207" spans="1:6">
      <c r="A207" s="41">
        <v>44126</v>
      </c>
      <c r="B207" s="39">
        <v>70.597038269042969</v>
      </c>
      <c r="C207" s="39">
        <v>70.934724451641131</v>
      </c>
      <c r="D207" s="39">
        <v>67.706807056257105</v>
      </c>
      <c r="E207" s="39">
        <v>70.76588136034205</v>
      </c>
      <c r="F207" s="39">
        <v>2677400</v>
      </c>
    </row>
    <row r="208" spans="1:6">
      <c r="A208" s="41">
        <v>44127</v>
      </c>
      <c r="B208" s="39">
        <v>70.636764526367188</v>
      </c>
      <c r="C208" s="39">
        <v>72.583446028828803</v>
      </c>
      <c r="D208" s="39">
        <v>69.703149108150484</v>
      </c>
      <c r="E208" s="39">
        <v>71.759083801150439</v>
      </c>
      <c r="F208" s="39">
        <v>1258400</v>
      </c>
    </row>
    <row r="209" spans="1:6">
      <c r="A209" s="41">
        <v>44130</v>
      </c>
      <c r="B209" s="39">
        <v>69.156890869140625</v>
      </c>
      <c r="C209" s="39">
        <v>70.616904053223863</v>
      </c>
      <c r="D209" s="39">
        <v>67.706811861002151</v>
      </c>
      <c r="E209" s="39">
        <v>69.494584653258357</v>
      </c>
      <c r="F209" s="39">
        <v>1836000</v>
      </c>
    </row>
    <row r="210" spans="1:6">
      <c r="A210" s="41">
        <v>44131</v>
      </c>
      <c r="B210" s="39">
        <v>67.806129455566406</v>
      </c>
      <c r="C210" s="39">
        <v>69.772679485510352</v>
      </c>
      <c r="D210" s="39">
        <v>67.279731804952988</v>
      </c>
      <c r="E210" s="39">
        <v>69.067504559447485</v>
      </c>
      <c r="F210" s="39">
        <v>1278800</v>
      </c>
    </row>
    <row r="211" spans="1:6">
      <c r="A211" s="41">
        <v>44132</v>
      </c>
      <c r="B211" s="39">
        <v>68.590751647949219</v>
      </c>
      <c r="C211" s="39">
        <v>69.514432826922715</v>
      </c>
      <c r="D211" s="39">
        <v>67.289655204603889</v>
      </c>
      <c r="E211" s="39">
        <v>67.468432451423098</v>
      </c>
      <c r="F211" s="39">
        <v>1506500</v>
      </c>
    </row>
    <row r="212" spans="1:6">
      <c r="A212" s="41">
        <v>44133</v>
      </c>
      <c r="B212" s="39">
        <v>70.299072265625</v>
      </c>
      <c r="C212" s="39">
        <v>70.875133177446244</v>
      </c>
      <c r="D212" s="39">
        <v>69.325735282601158</v>
      </c>
      <c r="E212" s="39">
        <v>70.020975984761051</v>
      </c>
      <c r="F212" s="39">
        <v>1481900</v>
      </c>
    </row>
    <row r="213" spans="1:6">
      <c r="A213" s="41">
        <v>44134</v>
      </c>
      <c r="B213" s="39">
        <v>68.302726745605469</v>
      </c>
      <c r="C213" s="39">
        <v>69.76273978318811</v>
      </c>
      <c r="D213" s="39">
        <v>66.991696022020989</v>
      </c>
      <c r="E213" s="39">
        <v>69.623691644137892</v>
      </c>
      <c r="F213" s="39">
        <v>1472400</v>
      </c>
    </row>
    <row r="214" spans="1:6">
      <c r="A214" s="41">
        <v>44137</v>
      </c>
      <c r="B214" s="39">
        <v>70.517578125</v>
      </c>
      <c r="C214" s="39">
        <v>70.865198473485421</v>
      </c>
      <c r="D214" s="39">
        <v>68.829132102324934</v>
      </c>
      <c r="E214" s="39">
        <v>69.315800590204518</v>
      </c>
      <c r="F214" s="39">
        <v>2250800</v>
      </c>
    </row>
    <row r="215" spans="1:6">
      <c r="A215" s="41">
        <v>44138</v>
      </c>
      <c r="B215" s="39">
        <v>68.690086364746094</v>
      </c>
      <c r="C215" s="39">
        <v>69.683291725178705</v>
      </c>
      <c r="D215" s="39">
        <v>68.133886210166054</v>
      </c>
      <c r="E215" s="39">
        <v>69.087362446874693</v>
      </c>
      <c r="F215" s="39">
        <v>2465900</v>
      </c>
    </row>
    <row r="216" spans="1:6">
      <c r="A216" s="41">
        <v>44139</v>
      </c>
      <c r="B216" s="39">
        <v>67.27972412109375</v>
      </c>
      <c r="C216" s="39">
        <v>68.034562262067126</v>
      </c>
      <c r="D216" s="39">
        <v>64.041880336432058</v>
      </c>
      <c r="E216" s="39">
        <v>66.068012456718208</v>
      </c>
      <c r="F216" s="39">
        <v>4511000</v>
      </c>
    </row>
    <row r="217" spans="1:6">
      <c r="A217" s="41">
        <v>44140</v>
      </c>
      <c r="B217" s="39">
        <v>74.947273254394531</v>
      </c>
      <c r="C217" s="39">
        <v>75.175713814302739</v>
      </c>
      <c r="D217" s="39">
        <v>71.014181058900519</v>
      </c>
      <c r="E217" s="39">
        <v>71.024115233910962</v>
      </c>
      <c r="F217" s="39">
        <v>4613800</v>
      </c>
    </row>
    <row r="218" spans="1:6">
      <c r="A218" s="41">
        <v>44141</v>
      </c>
      <c r="B218" s="39">
        <v>75.036666870117188</v>
      </c>
      <c r="C218" s="39">
        <v>77.231649773972677</v>
      </c>
      <c r="D218" s="39">
        <v>74.242099562837225</v>
      </c>
      <c r="E218" s="39">
        <v>76.576130608833395</v>
      </c>
      <c r="F218" s="39">
        <v>2505500</v>
      </c>
    </row>
    <row r="219" spans="1:6">
      <c r="A219" s="41">
        <v>44144</v>
      </c>
      <c r="B219" s="39">
        <v>73.656112670898438</v>
      </c>
      <c r="C219" s="39">
        <v>80.31058550996255</v>
      </c>
      <c r="D219" s="39">
        <v>73.497196177072723</v>
      </c>
      <c r="E219" s="39">
        <v>80.31058550996255</v>
      </c>
      <c r="F219" s="39">
        <v>3014000</v>
      </c>
    </row>
    <row r="220" spans="1:6">
      <c r="A220" s="41">
        <v>44145</v>
      </c>
      <c r="B220" s="39">
        <v>71.014175415039062</v>
      </c>
      <c r="C220" s="39">
        <v>73.49718854143903</v>
      </c>
      <c r="D220" s="39">
        <v>69.921651154934011</v>
      </c>
      <c r="E220" s="39">
        <v>73.1694289901411</v>
      </c>
      <c r="F220" s="39">
        <v>2633000</v>
      </c>
    </row>
    <row r="221" spans="1:6">
      <c r="A221" s="41">
        <v>44146</v>
      </c>
      <c r="B221" s="39">
        <v>74.321563720703125</v>
      </c>
      <c r="C221" s="39">
        <v>74.72877400434642</v>
      </c>
      <c r="D221" s="39">
        <v>72.245760443538927</v>
      </c>
      <c r="E221" s="39">
        <v>72.444406074937149</v>
      </c>
      <c r="F221" s="39">
        <v>1524000</v>
      </c>
    </row>
    <row r="222" spans="1:6">
      <c r="A222" s="41">
        <v>44147</v>
      </c>
      <c r="B222" s="39">
        <v>73.179367065429688</v>
      </c>
      <c r="C222" s="39">
        <v>75.612717027997519</v>
      </c>
      <c r="D222" s="39">
        <v>72.692698588427135</v>
      </c>
      <c r="E222" s="39">
        <v>75.394218226372473</v>
      </c>
      <c r="F222" s="39">
        <v>1627100</v>
      </c>
    </row>
    <row r="223" spans="1:6">
      <c r="A223" s="41">
        <v>44148</v>
      </c>
      <c r="B223" s="39">
        <v>73.139640808105469</v>
      </c>
      <c r="C223" s="39">
        <v>74.371213310965516</v>
      </c>
      <c r="D223" s="39">
        <v>72.613243189042521</v>
      </c>
      <c r="E223" s="39">
        <v>74.21230439651039</v>
      </c>
      <c r="F223" s="39">
        <v>952600</v>
      </c>
    </row>
    <row r="224" spans="1:6">
      <c r="A224" s="41">
        <v>44151</v>
      </c>
      <c r="B224" s="39">
        <v>73.75543212890625</v>
      </c>
      <c r="C224" s="39">
        <v>74.361288004493758</v>
      </c>
      <c r="D224" s="39">
        <v>72.593376099180134</v>
      </c>
      <c r="E224" s="39">
        <v>73.656113108452914</v>
      </c>
      <c r="F224" s="39">
        <v>1017900</v>
      </c>
    </row>
    <row r="225" spans="1:6">
      <c r="A225" s="41">
        <v>44152</v>
      </c>
      <c r="B225" s="39">
        <v>74.798294067382812</v>
      </c>
      <c r="C225" s="39">
        <v>75.076390358862056</v>
      </c>
      <c r="D225" s="39">
        <v>73.020455543934062</v>
      </c>
      <c r="E225" s="39">
        <v>74.162643236128645</v>
      </c>
      <c r="F225" s="39">
        <v>1291300</v>
      </c>
    </row>
    <row r="226" spans="1:6">
      <c r="A226" s="41">
        <v>44153</v>
      </c>
      <c r="B226" s="39">
        <v>74.202369689941406</v>
      </c>
      <c r="C226" s="39">
        <v>75.960347376829361</v>
      </c>
      <c r="D226" s="39">
        <v>73.964002531188157</v>
      </c>
      <c r="E226" s="39">
        <v>75.463744709186145</v>
      </c>
      <c r="F226" s="39">
        <v>954300</v>
      </c>
    </row>
    <row r="227" spans="1:6">
      <c r="A227" s="41">
        <v>44154</v>
      </c>
      <c r="B227" s="39">
        <v>75.692176818847656</v>
      </c>
      <c r="C227" s="39">
        <v>75.741840116060644</v>
      </c>
      <c r="D227" s="39">
        <v>74.261958727732335</v>
      </c>
      <c r="E227" s="39">
        <v>74.897617106326578</v>
      </c>
      <c r="F227" s="39">
        <v>899500</v>
      </c>
    </row>
    <row r="228" spans="1:6">
      <c r="A228" s="41">
        <v>44155</v>
      </c>
      <c r="B228" s="39">
        <v>77.489875793457031</v>
      </c>
      <c r="C228" s="39">
        <v>78.204984836830477</v>
      </c>
      <c r="D228" s="39">
        <v>76.089460231480061</v>
      </c>
      <c r="E228" s="39">
        <v>76.307966614461421</v>
      </c>
      <c r="F228" s="39">
        <v>1575300</v>
      </c>
    </row>
    <row r="229" spans="1:6">
      <c r="A229" s="41">
        <v>44158</v>
      </c>
      <c r="B229" s="39">
        <v>80.131813049316406</v>
      </c>
      <c r="C229" s="39">
        <v>80.221197899287858</v>
      </c>
      <c r="D229" s="39">
        <v>78.036149021018332</v>
      </c>
      <c r="E229" s="39">
        <v>79.456433065160311</v>
      </c>
      <c r="F229" s="39">
        <v>1797700</v>
      </c>
    </row>
    <row r="230" spans="1:6">
      <c r="A230" s="41">
        <v>44159</v>
      </c>
      <c r="B230" s="39">
        <v>82.465835571289062</v>
      </c>
      <c r="C230" s="39">
        <v>83.190878780784871</v>
      </c>
      <c r="D230" s="39">
        <v>79.754389321892106</v>
      </c>
      <c r="E230" s="39">
        <v>82.028822810631027</v>
      </c>
      <c r="F230" s="39">
        <v>2851900</v>
      </c>
    </row>
    <row r="231" spans="1:6">
      <c r="A231" s="41">
        <v>44160</v>
      </c>
      <c r="B231" s="39">
        <v>83.67755126953125</v>
      </c>
      <c r="C231" s="39">
        <v>84.263538792530412</v>
      </c>
      <c r="D231" s="39">
        <v>81.49250251666065</v>
      </c>
      <c r="E231" s="39">
        <v>81.720935505181998</v>
      </c>
      <c r="F231" s="39">
        <v>1479800</v>
      </c>
    </row>
    <row r="232" spans="1:6">
      <c r="A232" s="41">
        <v>44162</v>
      </c>
      <c r="B232" s="39">
        <v>84.839599609375</v>
      </c>
      <c r="C232" s="39">
        <v>86.686962175964098</v>
      </c>
      <c r="D232" s="39">
        <v>84.025171521339885</v>
      </c>
      <c r="E232" s="39">
        <v>84.223817138882296</v>
      </c>
      <c r="F232" s="39">
        <v>1292700</v>
      </c>
    </row>
    <row r="233" spans="1:6">
      <c r="A233" s="41">
        <v>44165</v>
      </c>
      <c r="B233" s="39">
        <v>84.00531005859375</v>
      </c>
      <c r="C233" s="39">
        <v>87.74969088224573</v>
      </c>
      <c r="D233" s="39">
        <v>82.455904564707197</v>
      </c>
      <c r="E233" s="39">
        <v>87.203432487989346</v>
      </c>
      <c r="F233" s="39">
        <v>1847800</v>
      </c>
    </row>
    <row r="234" spans="1:6">
      <c r="A234" s="41">
        <v>44166</v>
      </c>
      <c r="B234" s="39">
        <v>82.833328247070312</v>
      </c>
      <c r="C234" s="39">
        <v>85.415660658442349</v>
      </c>
      <c r="D234" s="39">
        <v>82.555231959661015</v>
      </c>
      <c r="E234" s="39">
        <v>85.117696020472096</v>
      </c>
      <c r="F234" s="39">
        <v>1346800</v>
      </c>
    </row>
    <row r="235" spans="1:6">
      <c r="A235" s="41">
        <v>44167</v>
      </c>
      <c r="B235" s="39">
        <v>81.562026977539062</v>
      </c>
      <c r="C235" s="39">
        <v>82.41618419424853</v>
      </c>
      <c r="D235" s="39">
        <v>79.128669296427475</v>
      </c>
      <c r="E235" s="39">
        <v>81.194538266029696</v>
      </c>
      <c r="F235" s="39">
        <v>1439700</v>
      </c>
    </row>
    <row r="236" spans="1:6">
      <c r="A236" s="41">
        <v>44168</v>
      </c>
      <c r="B236" s="39">
        <v>80.439697265625</v>
      </c>
      <c r="C236" s="39">
        <v>82.426107918479431</v>
      </c>
      <c r="D236" s="39">
        <v>80.330444073513576</v>
      </c>
      <c r="E236" s="39">
        <v>82.376452198691254</v>
      </c>
      <c r="F236" s="39">
        <v>1554100</v>
      </c>
    </row>
    <row r="237" spans="1:6">
      <c r="A237" s="41">
        <v>44169</v>
      </c>
      <c r="B237" s="39">
        <v>80.866775512695312</v>
      </c>
      <c r="C237" s="39">
        <v>81.979168201448729</v>
      </c>
      <c r="D237" s="39">
        <v>80.32051713203343</v>
      </c>
      <c r="E237" s="39">
        <v>80.876709687632513</v>
      </c>
      <c r="F237" s="39">
        <v>938600</v>
      </c>
    </row>
    <row r="238" spans="1:6">
      <c r="A238" s="41">
        <v>44172</v>
      </c>
      <c r="B238" s="39">
        <v>81.9990234375</v>
      </c>
      <c r="C238" s="39">
        <v>83.121350225415298</v>
      </c>
      <c r="D238" s="39">
        <v>81.25411949616354</v>
      </c>
      <c r="E238" s="39">
        <v>81.25411949616354</v>
      </c>
      <c r="F238" s="39">
        <v>920000</v>
      </c>
    </row>
    <row r="239" spans="1:6">
      <c r="A239" s="41">
        <v>44173</v>
      </c>
      <c r="B239" s="39">
        <v>83.657684326171875</v>
      </c>
      <c r="C239" s="39">
        <v>84.005304659731479</v>
      </c>
      <c r="D239" s="39">
        <v>82.028820690604789</v>
      </c>
      <c r="E239" s="39">
        <v>82.128147280954636</v>
      </c>
      <c r="F239" s="39">
        <v>971100</v>
      </c>
    </row>
    <row r="240" spans="1:6">
      <c r="A240" s="41">
        <v>44174</v>
      </c>
      <c r="B240" s="39">
        <v>79.665000915527344</v>
      </c>
      <c r="C240" s="39">
        <v>83.776870494521916</v>
      </c>
      <c r="D240" s="39">
        <v>78.671795556783621</v>
      </c>
      <c r="E240" s="39">
        <v>83.66761729885566</v>
      </c>
      <c r="F240" s="39">
        <v>1831700</v>
      </c>
    </row>
    <row r="241" spans="1:6">
      <c r="A241" s="41">
        <v>44175</v>
      </c>
      <c r="B241" s="39">
        <v>81.452774047851562</v>
      </c>
      <c r="C241" s="39">
        <v>81.939442554642369</v>
      </c>
      <c r="D241" s="39">
        <v>79.684869711808773</v>
      </c>
      <c r="E241" s="39">
        <v>80.042416671605181</v>
      </c>
      <c r="F241" s="39">
        <v>885800</v>
      </c>
    </row>
    <row r="242" spans="1:6">
      <c r="A242" s="41">
        <v>44176</v>
      </c>
      <c r="B242" s="39">
        <v>83.230606079101562</v>
      </c>
      <c r="C242" s="39">
        <v>84.849527968942738</v>
      </c>
      <c r="D242" s="39">
        <v>81.820248812662484</v>
      </c>
      <c r="E242" s="39">
        <v>82.008960242004363</v>
      </c>
      <c r="F242" s="39">
        <v>1157300</v>
      </c>
    </row>
    <row r="243" spans="1:6">
      <c r="A243" s="41">
        <v>44179</v>
      </c>
      <c r="B243" s="39">
        <v>85.455390930175781</v>
      </c>
      <c r="C243" s="39">
        <v>85.872535366894425</v>
      </c>
      <c r="D243" s="39">
        <v>83.866263853945966</v>
      </c>
      <c r="E243" s="39">
        <v>85.167360463616063</v>
      </c>
      <c r="F243" s="39">
        <v>1340600</v>
      </c>
    </row>
    <row r="244" spans="1:6">
      <c r="A244" s="41">
        <v>44180</v>
      </c>
      <c r="B244" s="39">
        <v>92.348236083984375</v>
      </c>
      <c r="C244" s="39">
        <v>92.497210823321836</v>
      </c>
      <c r="D244" s="39">
        <v>86.547912943191136</v>
      </c>
      <c r="E244" s="39">
        <v>86.637305364349018</v>
      </c>
      <c r="F244" s="39">
        <v>2860700</v>
      </c>
    </row>
    <row r="245" spans="1:6">
      <c r="A245" s="41">
        <v>44181</v>
      </c>
      <c r="B245" s="39">
        <v>91.494071960449219</v>
      </c>
      <c r="C245" s="39">
        <v>91.792028994135151</v>
      </c>
      <c r="D245" s="39">
        <v>88.88193725756237</v>
      </c>
      <c r="E245" s="39">
        <v>91.186173174819146</v>
      </c>
      <c r="F245" s="39">
        <v>1760400</v>
      </c>
    </row>
    <row r="246" spans="1:6">
      <c r="A246" s="41">
        <v>44182</v>
      </c>
      <c r="B246" s="39">
        <v>92.368095397949219</v>
      </c>
      <c r="C246" s="39">
        <v>93.738716021095655</v>
      </c>
      <c r="D246" s="39">
        <v>91.255702703946483</v>
      </c>
      <c r="E246" s="39">
        <v>93.232186760237028</v>
      </c>
      <c r="F246" s="39">
        <v>1326100</v>
      </c>
    </row>
    <row r="247" spans="1:6">
      <c r="A247" s="41">
        <v>44183</v>
      </c>
      <c r="B247" s="39">
        <v>95.347709655761719</v>
      </c>
      <c r="C247" s="39">
        <v>97.57248742601405</v>
      </c>
      <c r="D247" s="39">
        <v>93.36129903793335</v>
      </c>
      <c r="E247" s="39">
        <v>94.116137194423573</v>
      </c>
      <c r="F247" s="39">
        <v>2207800</v>
      </c>
    </row>
    <row r="248" spans="1:6">
      <c r="A248" s="41">
        <v>44186</v>
      </c>
      <c r="B248" s="39">
        <v>98.998268127441406</v>
      </c>
      <c r="C248" s="39">
        <v>99.008204247639753</v>
      </c>
      <c r="D248" s="39">
        <v>94.146771612392797</v>
      </c>
      <c r="E248" s="39">
        <v>94.51461284999553</v>
      </c>
      <c r="F248" s="39">
        <v>2335700</v>
      </c>
    </row>
    <row r="249" spans="1:6">
      <c r="A249" s="41">
        <v>44187</v>
      </c>
      <c r="B249" s="39">
        <v>102.5275115966797</v>
      </c>
      <c r="C249" s="39">
        <v>103.7801527978306</v>
      </c>
      <c r="D249" s="39">
        <v>99.942702319008873</v>
      </c>
      <c r="E249" s="39">
        <v>100.18129811476309</v>
      </c>
      <c r="F249" s="39">
        <v>3220300</v>
      </c>
    </row>
    <row r="250" spans="1:6">
      <c r="A250" s="41">
        <v>44188</v>
      </c>
      <c r="B250" s="39">
        <v>103.39244079589839</v>
      </c>
      <c r="C250" s="39">
        <v>106.7029890378942</v>
      </c>
      <c r="D250" s="39">
        <v>102.9152415779793</v>
      </c>
      <c r="E250" s="39">
        <v>105.8281250691798</v>
      </c>
      <c r="F250" s="39">
        <v>2541300</v>
      </c>
    </row>
    <row r="251" spans="1:6">
      <c r="A251" s="41">
        <v>44189</v>
      </c>
      <c r="B251" s="39">
        <v>102.19944763183589</v>
      </c>
      <c r="C251" s="39">
        <v>103.79009894907981</v>
      </c>
      <c r="D251" s="39">
        <v>101.0263408632141</v>
      </c>
      <c r="E251" s="39">
        <v>103.3725544004578</v>
      </c>
      <c r="F251" s="39">
        <v>1408800</v>
      </c>
    </row>
    <row r="252" spans="1:6">
      <c r="A252" s="41">
        <v>44193</v>
      </c>
      <c r="B252" s="39">
        <v>102.04038238525391</v>
      </c>
      <c r="C252" s="39">
        <v>106.8222802132906</v>
      </c>
      <c r="D252" s="39">
        <v>101.11581508865559</v>
      </c>
      <c r="E252" s="39">
        <v>105.5696465222792</v>
      </c>
      <c r="F252" s="39">
        <v>2154000</v>
      </c>
    </row>
    <row r="253" spans="1:6">
      <c r="A253" s="41">
        <v>44194</v>
      </c>
      <c r="B253" s="39">
        <v>98.6900634765625</v>
      </c>
      <c r="C253" s="39">
        <v>102.3982762348157</v>
      </c>
      <c r="D253" s="39">
        <v>97.069588631732557</v>
      </c>
      <c r="E253" s="39">
        <v>102.36845270773659</v>
      </c>
      <c r="F253" s="39">
        <v>2647600</v>
      </c>
    </row>
    <row r="254" spans="1:6">
      <c r="A254" s="41">
        <v>44195</v>
      </c>
      <c r="B254" s="39">
        <v>101.7520751953125</v>
      </c>
      <c r="C254" s="39">
        <v>102.5474046715462</v>
      </c>
      <c r="D254" s="39">
        <v>99.992418779037294</v>
      </c>
      <c r="E254" s="39">
        <v>100.11171289109561</v>
      </c>
      <c r="F254" s="39">
        <v>1385000</v>
      </c>
    </row>
    <row r="255" spans="1:6">
      <c r="A255" s="41">
        <v>44196</v>
      </c>
      <c r="B255" s="39">
        <v>102.15968322753911</v>
      </c>
      <c r="C255" s="39">
        <v>103.27313538800691</v>
      </c>
      <c r="D255" s="39">
        <v>100.976632722218</v>
      </c>
      <c r="E255" s="39">
        <v>102.57722778771451</v>
      </c>
      <c r="F255" s="39">
        <v>1220800</v>
      </c>
    </row>
    <row r="256" spans="1:6">
      <c r="A256" s="41">
        <v>44200</v>
      </c>
      <c r="B256" s="39">
        <v>104.34682464599609</v>
      </c>
      <c r="C256" s="39">
        <v>106.82227598675451</v>
      </c>
      <c r="D256" s="39">
        <v>102.39827584113969</v>
      </c>
      <c r="E256" s="39">
        <v>105.1222666863669</v>
      </c>
      <c r="F256" s="39">
        <v>2978200</v>
      </c>
    </row>
    <row r="257" spans="1:6">
      <c r="A257" s="41">
        <v>44201</v>
      </c>
      <c r="B257" s="39">
        <v>105.4503479003906</v>
      </c>
      <c r="C257" s="39">
        <v>106.2655572276859</v>
      </c>
      <c r="D257" s="39">
        <v>103.1140779147733</v>
      </c>
      <c r="E257" s="39">
        <v>103.1936123820275</v>
      </c>
      <c r="F257" s="39">
        <v>2112800</v>
      </c>
    </row>
    <row r="258" spans="1:6">
      <c r="A258" s="41">
        <v>44202</v>
      </c>
      <c r="B258" s="39">
        <v>114.5965957641602</v>
      </c>
      <c r="C258" s="39">
        <v>118.57322798768691</v>
      </c>
      <c r="D258" s="39">
        <v>111.0474518080555</v>
      </c>
      <c r="E258" s="39">
        <v>112.2901493779076</v>
      </c>
      <c r="F258" s="39">
        <v>7216500</v>
      </c>
    </row>
    <row r="259" spans="1:6">
      <c r="A259" s="41">
        <v>44203</v>
      </c>
      <c r="B259" s="39">
        <v>120.8399124145508</v>
      </c>
      <c r="C259" s="39">
        <v>122.7288066167302</v>
      </c>
      <c r="D259" s="39">
        <v>118.47381143253109</v>
      </c>
      <c r="E259" s="39">
        <v>120.91943929303361</v>
      </c>
      <c r="F259" s="39">
        <v>4922500</v>
      </c>
    </row>
    <row r="260" spans="1:6">
      <c r="A260" s="41">
        <v>44204</v>
      </c>
      <c r="B260" s="39">
        <v>118.4340438842773</v>
      </c>
      <c r="C260" s="39">
        <v>122.937586150477</v>
      </c>
      <c r="D260" s="39">
        <v>116.12759754831519</v>
      </c>
      <c r="E260" s="39">
        <v>122.7586374009272</v>
      </c>
      <c r="F260" s="39">
        <v>3866100</v>
      </c>
    </row>
    <row r="261" spans="1:6">
      <c r="A261" s="41">
        <v>44207</v>
      </c>
      <c r="B261" s="39">
        <v>114.9346084594727</v>
      </c>
      <c r="C261" s="39">
        <v>116.4059580708242</v>
      </c>
      <c r="D261" s="39">
        <v>111.6439478644521</v>
      </c>
      <c r="E261" s="39">
        <v>114.6065344949113</v>
      </c>
      <c r="F261" s="39">
        <v>3374900</v>
      </c>
    </row>
    <row r="262" spans="1:6">
      <c r="A262" s="41">
        <v>44208</v>
      </c>
      <c r="B262" s="39">
        <v>114.95449066162109</v>
      </c>
      <c r="C262" s="39">
        <v>117.0322848953568</v>
      </c>
      <c r="D262" s="39">
        <v>112.78722584560251</v>
      </c>
      <c r="E262" s="39">
        <v>116.5352058786996</v>
      </c>
      <c r="F262" s="39">
        <v>2414800</v>
      </c>
    </row>
    <row r="263" spans="1:6">
      <c r="A263" s="41">
        <v>44209</v>
      </c>
      <c r="B263" s="39">
        <v>113.7913360595703</v>
      </c>
      <c r="C263" s="39">
        <v>115.58082368676889</v>
      </c>
      <c r="D263" s="39">
        <v>112.3796333674606</v>
      </c>
      <c r="E263" s="39">
        <v>115.4814093929966</v>
      </c>
      <c r="F263" s="39">
        <v>1810400</v>
      </c>
    </row>
    <row r="264" spans="1:6">
      <c r="A264" s="41">
        <v>44210</v>
      </c>
      <c r="B264" s="39">
        <v>114.5568313598633</v>
      </c>
      <c r="C264" s="39">
        <v>116.5352036851698</v>
      </c>
      <c r="D264" s="39">
        <v>113.6322641028909</v>
      </c>
      <c r="E264" s="39">
        <v>115.0837338940303</v>
      </c>
      <c r="F264" s="39">
        <v>2426200</v>
      </c>
    </row>
    <row r="265" spans="1:6">
      <c r="A265" s="41">
        <v>44211</v>
      </c>
      <c r="B265" s="39">
        <v>106.2655563354492</v>
      </c>
      <c r="C265" s="39">
        <v>112.9462998322264</v>
      </c>
      <c r="D265" s="39">
        <v>106.2556126309199</v>
      </c>
      <c r="E265" s="39">
        <v>112.9462998322264</v>
      </c>
      <c r="F265" s="39">
        <v>4281200</v>
      </c>
    </row>
    <row r="266" spans="1:6">
      <c r="A266" s="41">
        <v>44215</v>
      </c>
      <c r="B266" s="39">
        <v>113.3340148925781</v>
      </c>
      <c r="C266" s="39">
        <v>113.3439585965825</v>
      </c>
      <c r="D266" s="39">
        <v>110.30182988125949</v>
      </c>
      <c r="E266" s="39">
        <v>111.0872156314834</v>
      </c>
      <c r="F266" s="39">
        <v>2844200</v>
      </c>
    </row>
    <row r="267" spans="1:6">
      <c r="A267" s="41">
        <v>44216</v>
      </c>
      <c r="B267" s="39">
        <v>114.1094589233398</v>
      </c>
      <c r="C267" s="39">
        <v>116.4059615747488</v>
      </c>
      <c r="D267" s="39">
        <v>112.65798909123011</v>
      </c>
      <c r="E267" s="39">
        <v>114.7158959361505</v>
      </c>
      <c r="F267" s="39">
        <v>2671600</v>
      </c>
    </row>
    <row r="268" spans="1:6">
      <c r="A268" s="41">
        <v>44217</v>
      </c>
      <c r="B268" s="39">
        <v>120.7206115722656</v>
      </c>
      <c r="C268" s="39">
        <v>120.9293838513025</v>
      </c>
      <c r="D268" s="39">
        <v>113.2644262431332</v>
      </c>
      <c r="E268" s="39">
        <v>115.9884171596256</v>
      </c>
      <c r="F268" s="39">
        <v>4069400</v>
      </c>
    </row>
    <row r="269" spans="1:6">
      <c r="A269" s="41">
        <v>44218</v>
      </c>
      <c r="B269" s="39">
        <v>120.40248870849609</v>
      </c>
      <c r="C269" s="39">
        <v>120.4820231772574</v>
      </c>
      <c r="D269" s="39">
        <v>116.81357734250631</v>
      </c>
      <c r="E269" s="39">
        <v>117.9866842098496</v>
      </c>
      <c r="F269" s="39">
        <v>2713300</v>
      </c>
    </row>
    <row r="270" spans="1:6">
      <c r="A270" s="41">
        <v>44221</v>
      </c>
      <c r="B270" s="39">
        <v>118.3048095703125</v>
      </c>
      <c r="C270" s="39">
        <v>125.24403619167531</v>
      </c>
      <c r="D270" s="39">
        <v>115.9784833421665</v>
      </c>
      <c r="E270" s="39">
        <v>122.28144182477681</v>
      </c>
      <c r="F270" s="39">
        <v>3246300</v>
      </c>
    </row>
    <row r="271" spans="1:6">
      <c r="A271" s="41">
        <v>44222</v>
      </c>
      <c r="B271" s="39">
        <v>116.91298675537109</v>
      </c>
      <c r="C271" s="39">
        <v>120.3229492167072</v>
      </c>
      <c r="D271" s="39">
        <v>115.7498236413868</v>
      </c>
      <c r="E271" s="39">
        <v>119.2989676248326</v>
      </c>
      <c r="F271" s="39">
        <v>1950700</v>
      </c>
    </row>
    <row r="272" spans="1:6">
      <c r="A272" s="41">
        <v>44223</v>
      </c>
      <c r="B272" s="39">
        <v>109.8544616699219</v>
      </c>
      <c r="C272" s="39">
        <v>113.4831399750786</v>
      </c>
      <c r="D272" s="39">
        <v>108.16439606277569</v>
      </c>
      <c r="E272" s="39">
        <v>111.604181916198</v>
      </c>
      <c r="F272" s="39">
        <v>3464200</v>
      </c>
    </row>
    <row r="273" spans="1:6">
      <c r="A273" s="41">
        <v>44224</v>
      </c>
      <c r="B273" s="39">
        <v>111.5246505737305</v>
      </c>
      <c r="C273" s="39">
        <v>112.6977573784516</v>
      </c>
      <c r="D273" s="39">
        <v>107.6573763583412</v>
      </c>
      <c r="E273" s="39">
        <v>110.10300425601601</v>
      </c>
      <c r="F273" s="39">
        <v>2555300</v>
      </c>
    </row>
    <row r="274" spans="1:6">
      <c r="A274" s="41">
        <v>44225</v>
      </c>
      <c r="B274" s="39">
        <v>108.05503845214839</v>
      </c>
      <c r="C274" s="39">
        <v>113.0357647095892</v>
      </c>
      <c r="D274" s="39">
        <v>106.1860165058839</v>
      </c>
      <c r="E274" s="39">
        <v>111.345699096518</v>
      </c>
      <c r="F274" s="39">
        <v>2251100</v>
      </c>
    </row>
    <row r="275" spans="1:6">
      <c r="A275" s="41">
        <v>44228</v>
      </c>
      <c r="B275" s="39">
        <v>109.8544616699219</v>
      </c>
      <c r="C275" s="39">
        <v>110.0234667136717</v>
      </c>
      <c r="D275" s="39">
        <v>106.285438003895</v>
      </c>
      <c r="E275" s="39">
        <v>109.5363314055829</v>
      </c>
      <c r="F275" s="39">
        <v>2202500</v>
      </c>
    </row>
    <row r="276" spans="1:6">
      <c r="A276" s="41">
        <v>44229</v>
      </c>
      <c r="B276" s="39">
        <v>115.2129821777344</v>
      </c>
      <c r="C276" s="39">
        <v>115.4714654087764</v>
      </c>
      <c r="D276" s="39">
        <v>112.7971776792738</v>
      </c>
      <c r="E276" s="39">
        <v>114.44748377423321</v>
      </c>
      <c r="F276" s="39">
        <v>2661200</v>
      </c>
    </row>
    <row r="277" spans="1:6">
      <c r="A277" s="41">
        <v>44230</v>
      </c>
      <c r="B277" s="39">
        <v>115.8790664672852</v>
      </c>
      <c r="C277" s="39">
        <v>116.5352144582954</v>
      </c>
      <c r="D277" s="39">
        <v>113.33402414177159</v>
      </c>
      <c r="E277" s="39">
        <v>115.5410563517886</v>
      </c>
      <c r="F277" s="39">
        <v>1558600</v>
      </c>
    </row>
    <row r="278" spans="1:6">
      <c r="A278" s="41">
        <v>44231</v>
      </c>
      <c r="B278" s="39">
        <v>114.36794281005859</v>
      </c>
      <c r="C278" s="39">
        <v>116.654501770723</v>
      </c>
      <c r="D278" s="39">
        <v>113.6322679779165</v>
      </c>
      <c r="E278" s="39">
        <v>116.5650311870732</v>
      </c>
      <c r="F278" s="39">
        <v>1503800</v>
      </c>
    </row>
    <row r="279" spans="1:6">
      <c r="A279" s="41">
        <v>44232</v>
      </c>
      <c r="B279" s="39">
        <v>116.0083084106445</v>
      </c>
      <c r="C279" s="39">
        <v>116.4656202158004</v>
      </c>
      <c r="D279" s="39">
        <v>112.73752742774541</v>
      </c>
      <c r="E279" s="39">
        <v>114.92467216280799</v>
      </c>
      <c r="F279" s="39">
        <v>1536200</v>
      </c>
    </row>
    <row r="280" spans="1:6">
      <c r="A280" s="41">
        <v>44235</v>
      </c>
      <c r="B280" s="39">
        <v>118.2948684692383</v>
      </c>
      <c r="C280" s="39">
        <v>119.8457602402902</v>
      </c>
      <c r="D280" s="39">
        <v>116.6147464624331</v>
      </c>
      <c r="E280" s="39">
        <v>116.6147464624331</v>
      </c>
      <c r="F280" s="39">
        <v>1565400</v>
      </c>
    </row>
    <row r="281" spans="1:6">
      <c r="A281" s="41">
        <v>44236</v>
      </c>
      <c r="B281" s="39">
        <v>121.22763824462891</v>
      </c>
      <c r="C281" s="39">
        <v>121.4861138833796</v>
      </c>
      <c r="D281" s="39">
        <v>118.4439925972093</v>
      </c>
      <c r="E281" s="39">
        <v>118.45393630172261</v>
      </c>
      <c r="F281" s="39">
        <v>2632000</v>
      </c>
    </row>
    <row r="282" spans="1:6">
      <c r="A282" s="41">
        <v>44237</v>
      </c>
      <c r="B282" s="39">
        <v>119.0106582641602</v>
      </c>
      <c r="C282" s="39">
        <v>124.3194661510551</v>
      </c>
      <c r="D282" s="39">
        <v>117.60889936944299</v>
      </c>
      <c r="E282" s="39">
        <v>122.61944922506829</v>
      </c>
      <c r="F282" s="39">
        <v>2426800</v>
      </c>
    </row>
    <row r="283" spans="1:6">
      <c r="A283" s="41">
        <v>44238</v>
      </c>
      <c r="B283" s="39">
        <v>120.6410827636719</v>
      </c>
      <c r="C283" s="39">
        <v>121.4264685653358</v>
      </c>
      <c r="D283" s="39">
        <v>119.0106641020586</v>
      </c>
      <c r="E283" s="39">
        <v>120.43231047484841</v>
      </c>
      <c r="F283" s="39">
        <v>848000</v>
      </c>
    </row>
    <row r="284" spans="1:6">
      <c r="A284" s="41">
        <v>44239</v>
      </c>
      <c r="B284" s="39">
        <v>120.6112518310547</v>
      </c>
      <c r="C284" s="39">
        <v>121.0586199103835</v>
      </c>
      <c r="D284" s="39">
        <v>117.0123970338621</v>
      </c>
      <c r="E284" s="39">
        <v>118.95100974220919</v>
      </c>
      <c r="F284" s="39">
        <v>869400</v>
      </c>
    </row>
    <row r="285" spans="1:6">
      <c r="A285" s="41">
        <v>44243</v>
      </c>
      <c r="B285" s="39">
        <v>117.7580184936523</v>
      </c>
      <c r="C285" s="39">
        <v>122.50015665999349</v>
      </c>
      <c r="D285" s="39">
        <v>116.7141570875695</v>
      </c>
      <c r="E285" s="39">
        <v>121.97325410480541</v>
      </c>
      <c r="F285" s="39">
        <v>1919800</v>
      </c>
    </row>
    <row r="286" spans="1:6">
      <c r="A286" s="41">
        <v>44244</v>
      </c>
      <c r="B286" s="39">
        <v>115.0240859985352</v>
      </c>
      <c r="C286" s="39">
        <v>116.9626987915499</v>
      </c>
      <c r="D286" s="39">
        <v>112.4989311680598</v>
      </c>
      <c r="E286" s="39">
        <v>116.9626987915499</v>
      </c>
      <c r="F286" s="39">
        <v>2372600</v>
      </c>
    </row>
    <row r="287" spans="1:6">
      <c r="A287" s="41">
        <v>44245</v>
      </c>
      <c r="B287" s="39">
        <v>107.65737152099609</v>
      </c>
      <c r="C287" s="39">
        <v>110.3018278763132</v>
      </c>
      <c r="D287" s="39">
        <v>105.7784134939798</v>
      </c>
      <c r="E287" s="39">
        <v>109.6953908850726</v>
      </c>
      <c r="F287" s="39">
        <v>3398400</v>
      </c>
    </row>
    <row r="288" spans="1:6">
      <c r="A288" s="41">
        <v>44246</v>
      </c>
      <c r="B288" s="39">
        <v>109.9936447143555</v>
      </c>
      <c r="C288" s="39">
        <v>112.5386868644183</v>
      </c>
      <c r="D288" s="39">
        <v>109.61586739046299</v>
      </c>
      <c r="E288" s="39">
        <v>110.6895523070058</v>
      </c>
      <c r="F288" s="39">
        <v>2049500</v>
      </c>
    </row>
    <row r="289" spans="1:6">
      <c r="A289" s="41">
        <v>44249</v>
      </c>
      <c r="B289" s="39">
        <v>100.36025238037109</v>
      </c>
      <c r="C289" s="39">
        <v>106.22578640792899</v>
      </c>
      <c r="D289" s="39">
        <v>100.0421221069183</v>
      </c>
      <c r="E289" s="39">
        <v>106.2059065841987</v>
      </c>
      <c r="F289" s="39">
        <v>3808200</v>
      </c>
    </row>
    <row r="290" spans="1:6">
      <c r="A290" s="41">
        <v>44250</v>
      </c>
      <c r="B290" s="39">
        <v>99.9725341796875</v>
      </c>
      <c r="C290" s="39">
        <v>100.52926786262481</v>
      </c>
      <c r="D290" s="39">
        <v>90.975408099199541</v>
      </c>
      <c r="E290" s="39">
        <v>95.608180811692321</v>
      </c>
      <c r="F290" s="39">
        <v>4984300</v>
      </c>
    </row>
    <row r="291" spans="1:6">
      <c r="A291" s="41">
        <v>44251</v>
      </c>
      <c r="B291" s="39">
        <v>102.7362899780273</v>
      </c>
      <c r="C291" s="39">
        <v>102.8953589078758</v>
      </c>
      <c r="D291" s="39">
        <v>95.299991958563481</v>
      </c>
      <c r="E291" s="39">
        <v>99.425749412414135</v>
      </c>
      <c r="F291" s="39">
        <v>3464100</v>
      </c>
    </row>
    <row r="292" spans="1:6">
      <c r="A292" s="41">
        <v>44252</v>
      </c>
      <c r="B292" s="39">
        <v>97.079536437988281</v>
      </c>
      <c r="C292" s="39">
        <v>103.5813310848133</v>
      </c>
      <c r="D292" s="39">
        <v>95.876606091081271</v>
      </c>
      <c r="E292" s="39">
        <v>102.0503267565251</v>
      </c>
      <c r="F292" s="39">
        <v>2632800</v>
      </c>
    </row>
    <row r="293" spans="1:6">
      <c r="A293" s="41">
        <v>44253</v>
      </c>
      <c r="B293" s="39">
        <v>100.7280960083008</v>
      </c>
      <c r="C293" s="39">
        <v>101.7520776135312</v>
      </c>
      <c r="D293" s="39">
        <v>96.125146844609873</v>
      </c>
      <c r="E293" s="39">
        <v>98.441529398404896</v>
      </c>
      <c r="F293" s="39">
        <v>2529700</v>
      </c>
    </row>
    <row r="294" spans="1:6">
      <c r="A294" s="41">
        <v>44256</v>
      </c>
      <c r="B294" s="39">
        <v>106.4445037841797</v>
      </c>
      <c r="C294" s="39">
        <v>106.623452539387</v>
      </c>
      <c r="D294" s="39">
        <v>103.1936102468748</v>
      </c>
      <c r="E294" s="39">
        <v>104.29712630651591</v>
      </c>
      <c r="F294" s="39">
        <v>1804700</v>
      </c>
    </row>
    <row r="295" spans="1:6">
      <c r="A295" s="41">
        <v>44257</v>
      </c>
      <c r="B295" s="39">
        <v>100.4099655151367</v>
      </c>
      <c r="C295" s="39">
        <v>105.0328020780955</v>
      </c>
      <c r="D295" s="39">
        <v>100.4099655151367</v>
      </c>
      <c r="E295" s="39">
        <v>104.6947843886884</v>
      </c>
      <c r="F295" s="39">
        <v>1966200</v>
      </c>
    </row>
    <row r="296" spans="1:6">
      <c r="A296" s="41">
        <v>44258</v>
      </c>
      <c r="B296" s="39">
        <v>93.94793701171875</v>
      </c>
      <c r="C296" s="39">
        <v>100.926923280981</v>
      </c>
      <c r="D296" s="39">
        <v>93.73916472853827</v>
      </c>
      <c r="E296" s="39">
        <v>100.23101567037931</v>
      </c>
      <c r="F296" s="39">
        <v>2899700</v>
      </c>
    </row>
    <row r="297" spans="1:6">
      <c r="A297" s="41">
        <v>44259</v>
      </c>
      <c r="B297" s="39">
        <v>88.619247436523438</v>
      </c>
      <c r="C297" s="39">
        <v>94.643842756097911</v>
      </c>
      <c r="D297" s="39">
        <v>85.606949776736201</v>
      </c>
      <c r="E297" s="39">
        <v>93.023367874893509</v>
      </c>
      <c r="F297" s="39">
        <v>3876700</v>
      </c>
    </row>
    <row r="298" spans="1:6">
      <c r="A298" s="41">
        <v>44260</v>
      </c>
      <c r="B298" s="39">
        <v>86.968948364257812</v>
      </c>
      <c r="C298" s="39">
        <v>90.49820484269155</v>
      </c>
      <c r="D298" s="39">
        <v>80.327972377509482</v>
      </c>
      <c r="E298" s="39">
        <v>90.49820484269155</v>
      </c>
      <c r="F298" s="39">
        <v>4731100</v>
      </c>
    </row>
    <row r="299" spans="1:6">
      <c r="A299" s="41">
        <v>44263</v>
      </c>
      <c r="B299" s="39">
        <v>80.675926208496094</v>
      </c>
      <c r="C299" s="39">
        <v>86.988828225619102</v>
      </c>
      <c r="D299" s="39">
        <v>80.526800986001689</v>
      </c>
      <c r="E299" s="39">
        <v>84.384131438498258</v>
      </c>
      <c r="F299" s="39">
        <v>4285000</v>
      </c>
    </row>
    <row r="300" spans="1:6">
      <c r="A300" s="41">
        <v>44264</v>
      </c>
      <c r="B300" s="39">
        <v>91.015167236328125</v>
      </c>
      <c r="C300" s="39">
        <v>92.158442859706412</v>
      </c>
      <c r="D300" s="39">
        <v>86.59115961934252</v>
      </c>
      <c r="E300" s="39">
        <v>87.495847033123724</v>
      </c>
      <c r="F300" s="39">
        <v>2906300</v>
      </c>
    </row>
    <row r="301" spans="1:6">
      <c r="A301" s="41">
        <v>44265</v>
      </c>
      <c r="B301" s="39">
        <v>89.812240600585938</v>
      </c>
      <c r="C301" s="39">
        <v>96.304099472344376</v>
      </c>
      <c r="D301" s="39">
        <v>89.126276657906857</v>
      </c>
      <c r="E301" s="39">
        <v>95.657895179678277</v>
      </c>
      <c r="F301" s="39">
        <v>2651100</v>
      </c>
    </row>
    <row r="302" spans="1:6">
      <c r="A302" s="41">
        <v>44266</v>
      </c>
      <c r="B302" s="39">
        <v>98.192985534667969</v>
      </c>
      <c r="C302" s="39">
        <v>98.580714145388683</v>
      </c>
      <c r="D302" s="39">
        <v>93.898223137574959</v>
      </c>
      <c r="E302" s="39">
        <v>95.210511437108266</v>
      </c>
      <c r="F302" s="39">
        <v>2520400</v>
      </c>
    </row>
    <row r="303" spans="1:6">
      <c r="A303" s="41">
        <v>44267</v>
      </c>
      <c r="B303" s="39">
        <v>96.731582641601562</v>
      </c>
      <c r="C303" s="39">
        <v>97.417546547942692</v>
      </c>
      <c r="D303" s="39">
        <v>92.47657975728832</v>
      </c>
      <c r="E303" s="39">
        <v>93.430978173180847</v>
      </c>
      <c r="F303" s="39">
        <v>1737300</v>
      </c>
    </row>
    <row r="304" spans="1:6">
      <c r="A304" s="41">
        <v>44270</v>
      </c>
      <c r="B304" s="39">
        <v>95.807014465332031</v>
      </c>
      <c r="C304" s="39">
        <v>96.65204729489183</v>
      </c>
      <c r="D304" s="39">
        <v>94.176595862352841</v>
      </c>
      <c r="E304" s="39">
        <v>94.942094227176085</v>
      </c>
      <c r="F304" s="39">
        <v>1782400</v>
      </c>
    </row>
    <row r="305" spans="1:6">
      <c r="A305" s="41">
        <v>44271</v>
      </c>
      <c r="B305" s="39">
        <v>93.808753967285156</v>
      </c>
      <c r="C305" s="39">
        <v>97.178949141466731</v>
      </c>
      <c r="D305" s="39">
        <v>92.337396719687717</v>
      </c>
      <c r="E305" s="39">
        <v>95.568410374007584</v>
      </c>
      <c r="F305" s="39">
        <v>1898600</v>
      </c>
    </row>
    <row r="306" spans="1:6">
      <c r="A306" s="41">
        <v>44272</v>
      </c>
      <c r="B306" s="39">
        <v>92.556114196777344</v>
      </c>
      <c r="C306" s="39">
        <v>93.719277310738335</v>
      </c>
      <c r="D306" s="39">
        <v>88.997026509016806</v>
      </c>
      <c r="E306" s="39">
        <v>90.428616547629773</v>
      </c>
      <c r="F306" s="39">
        <v>1607200</v>
      </c>
    </row>
    <row r="307" spans="1:6">
      <c r="A307" s="41">
        <v>44273</v>
      </c>
      <c r="B307" s="39">
        <v>86.461929321289062</v>
      </c>
      <c r="C307" s="39">
        <v>91.054934790764392</v>
      </c>
      <c r="D307" s="39">
        <v>85.915139344054282</v>
      </c>
      <c r="E307" s="39">
        <v>90.577743160472409</v>
      </c>
      <c r="F307" s="39">
        <v>2929900</v>
      </c>
    </row>
    <row r="308" spans="1:6">
      <c r="A308" s="41">
        <v>44274</v>
      </c>
      <c r="B308" s="39">
        <v>89.056686401367188</v>
      </c>
      <c r="C308" s="39">
        <v>89.653179757684327</v>
      </c>
      <c r="D308" s="39">
        <v>85.507542208732005</v>
      </c>
      <c r="E308" s="39">
        <v>87.67480721838308</v>
      </c>
      <c r="F308" s="39">
        <v>2551000</v>
      </c>
    </row>
    <row r="309" spans="1:6">
      <c r="A309" s="41">
        <v>44277</v>
      </c>
      <c r="B309" s="39">
        <v>90.935638427734375</v>
      </c>
      <c r="C309" s="39">
        <v>92.138568763091044</v>
      </c>
      <c r="D309" s="39">
        <v>89.285332417110567</v>
      </c>
      <c r="E309" s="39">
        <v>90.736802266007643</v>
      </c>
      <c r="F309" s="39">
        <v>1711800</v>
      </c>
    </row>
    <row r="310" spans="1:6">
      <c r="A310" s="41">
        <v>44278</v>
      </c>
      <c r="B310" s="39">
        <v>88.072456359863281</v>
      </c>
      <c r="C310" s="39">
        <v>91.39294812880442</v>
      </c>
      <c r="D310" s="39">
        <v>87.13795296803967</v>
      </c>
      <c r="E310" s="39">
        <v>90.547915319090208</v>
      </c>
      <c r="F310" s="39">
        <v>1388300</v>
      </c>
    </row>
    <row r="311" spans="1:6">
      <c r="A311" s="41">
        <v>44279</v>
      </c>
      <c r="B311" s="39">
        <v>84.006355285644531</v>
      </c>
      <c r="C311" s="39">
        <v>88.480066513874121</v>
      </c>
      <c r="D311" s="39">
        <v>83.568923316185078</v>
      </c>
      <c r="E311" s="39">
        <v>88.390595930025057</v>
      </c>
      <c r="F311" s="39">
        <v>1734600</v>
      </c>
    </row>
    <row r="312" spans="1:6">
      <c r="A312" s="41">
        <v>44280</v>
      </c>
      <c r="B312" s="39">
        <v>84.69232177734375</v>
      </c>
      <c r="C312" s="39">
        <v>84.92097386803421</v>
      </c>
      <c r="D312" s="39">
        <v>80.596388119200455</v>
      </c>
      <c r="E312" s="39">
        <v>81.371830139495998</v>
      </c>
      <c r="F312" s="39">
        <v>2176600</v>
      </c>
    </row>
    <row r="313" spans="1:6">
      <c r="A313" s="41">
        <v>44281</v>
      </c>
      <c r="B313" s="39">
        <v>87.505790710449219</v>
      </c>
      <c r="C313" s="39">
        <v>87.595268881600518</v>
      </c>
      <c r="D313" s="39">
        <v>84.254897131886679</v>
      </c>
      <c r="E313" s="39">
        <v>85.59700902056251</v>
      </c>
      <c r="F313" s="39">
        <v>2159800</v>
      </c>
    </row>
    <row r="314" spans="1:6">
      <c r="A314" s="41">
        <v>44284</v>
      </c>
      <c r="B314" s="39">
        <v>83.737930297851562</v>
      </c>
      <c r="C314" s="39">
        <v>86.799931122943235</v>
      </c>
      <c r="D314" s="39">
        <v>82.664237855181554</v>
      </c>
      <c r="E314" s="39">
        <v>86.730340367482597</v>
      </c>
      <c r="F314" s="39">
        <v>1496400</v>
      </c>
    </row>
    <row r="315" spans="1:6">
      <c r="A315" s="41">
        <v>44285</v>
      </c>
      <c r="B315" s="39">
        <v>88.748489379882812</v>
      </c>
      <c r="C315" s="39">
        <v>88.927438139521968</v>
      </c>
      <c r="D315" s="39">
        <v>83.608693873614087</v>
      </c>
      <c r="E315" s="39">
        <v>83.698172045845808</v>
      </c>
      <c r="F315" s="39">
        <v>2682400</v>
      </c>
    </row>
    <row r="316" spans="1:6">
      <c r="A316" s="41">
        <v>44286</v>
      </c>
      <c r="B316" s="39">
        <v>91.23388671875</v>
      </c>
      <c r="C316" s="39">
        <v>92.088863302960192</v>
      </c>
      <c r="D316" s="39">
        <v>89.305225136659672</v>
      </c>
      <c r="E316" s="39">
        <v>90.001132782028691</v>
      </c>
      <c r="F316" s="39">
        <v>2135300</v>
      </c>
    </row>
    <row r="317" spans="1:6">
      <c r="A317" s="41">
        <v>44287</v>
      </c>
      <c r="B317" s="39">
        <v>90.150253295898438</v>
      </c>
      <c r="C317" s="39">
        <v>93.68945356674017</v>
      </c>
      <c r="D317" s="39">
        <v>89.921593604492514</v>
      </c>
      <c r="E317" s="39">
        <v>93.222198064389346</v>
      </c>
      <c r="F317" s="39">
        <v>2868200</v>
      </c>
    </row>
    <row r="318" spans="1:6">
      <c r="A318" s="41">
        <v>44291</v>
      </c>
      <c r="B318" s="39">
        <v>87.644973754882812</v>
      </c>
      <c r="C318" s="39">
        <v>92.506405814365962</v>
      </c>
      <c r="D318" s="39">
        <v>86.650815745420843</v>
      </c>
      <c r="E318" s="39">
        <v>92.486518406675458</v>
      </c>
      <c r="F318" s="39">
        <v>2711700</v>
      </c>
    </row>
    <row r="319" spans="1:6">
      <c r="A319" s="41">
        <v>44292</v>
      </c>
      <c r="B319" s="39">
        <v>88.748489379882812</v>
      </c>
      <c r="C319" s="39">
        <v>90.36897192128859</v>
      </c>
      <c r="D319" s="39">
        <v>87.605213643947167</v>
      </c>
      <c r="E319" s="39">
        <v>87.684740526701233</v>
      </c>
      <c r="F319" s="39">
        <v>1784500</v>
      </c>
    </row>
    <row r="320" spans="1:6">
      <c r="A320" s="41">
        <v>44293</v>
      </c>
      <c r="B320" s="39">
        <v>85.97479248046875</v>
      </c>
      <c r="C320" s="39">
        <v>88.589425451209536</v>
      </c>
      <c r="D320" s="39">
        <v>85.547304210707225</v>
      </c>
      <c r="E320" s="39">
        <v>88.509890985945987</v>
      </c>
      <c r="F320" s="39">
        <v>1577400</v>
      </c>
    </row>
    <row r="321" spans="1:6">
      <c r="A321" s="41">
        <v>44294</v>
      </c>
      <c r="B321" s="39">
        <v>86.392341613769531</v>
      </c>
      <c r="C321" s="39">
        <v>87.615151846349178</v>
      </c>
      <c r="D321" s="39">
        <v>86.123914675518265</v>
      </c>
      <c r="E321" s="39">
        <v>86.799942496354589</v>
      </c>
      <c r="F321" s="39">
        <v>1061800</v>
      </c>
    </row>
    <row r="322" spans="1:6">
      <c r="A322" s="41">
        <v>44295</v>
      </c>
      <c r="B322" s="39">
        <v>85.954910278320312</v>
      </c>
      <c r="C322" s="39">
        <v>86.412222104050571</v>
      </c>
      <c r="D322" s="39">
        <v>84.483560505940261</v>
      </c>
      <c r="E322" s="39">
        <v>85.109877391974734</v>
      </c>
      <c r="F322" s="39">
        <v>1009000</v>
      </c>
    </row>
    <row r="323" spans="1:6">
      <c r="A323" s="41">
        <v>44298</v>
      </c>
      <c r="B323" s="39">
        <v>84.215126037597656</v>
      </c>
      <c r="C323" s="39">
        <v>85.358409292137011</v>
      </c>
      <c r="D323" s="39">
        <v>82.922725146016361</v>
      </c>
      <c r="E323" s="39">
        <v>85.298762237320233</v>
      </c>
      <c r="F323" s="39">
        <v>1912500</v>
      </c>
    </row>
    <row r="324" spans="1:6">
      <c r="A324" s="41">
        <v>44299</v>
      </c>
      <c r="B324" s="39">
        <v>85.209281921386719</v>
      </c>
      <c r="C324" s="39">
        <v>85.348463435665096</v>
      </c>
      <c r="D324" s="39">
        <v>83.340267597631524</v>
      </c>
      <c r="E324" s="39">
        <v>84.145533156645541</v>
      </c>
      <c r="F324" s="39">
        <v>1482600</v>
      </c>
    </row>
    <row r="325" spans="1:6">
      <c r="A325" s="41">
        <v>44300</v>
      </c>
      <c r="B325" s="39">
        <v>84.513374328613281</v>
      </c>
      <c r="C325" s="39">
        <v>87.058416400286887</v>
      </c>
      <c r="D325" s="39">
        <v>84.026231443938514</v>
      </c>
      <c r="E325" s="39">
        <v>85.845542417747538</v>
      </c>
      <c r="F325" s="39">
        <v>1495200</v>
      </c>
    </row>
    <row r="326" spans="1:6">
      <c r="A326" s="41">
        <v>44301</v>
      </c>
      <c r="B326" s="39">
        <v>82.753715515136719</v>
      </c>
      <c r="C326" s="39">
        <v>85.239110686895714</v>
      </c>
      <c r="D326" s="39">
        <v>81.918626378141269</v>
      </c>
      <c r="E326" s="39">
        <v>85.139696396990175</v>
      </c>
      <c r="F326" s="39">
        <v>1700300</v>
      </c>
    </row>
    <row r="327" spans="1:6">
      <c r="A327" s="41">
        <v>44302</v>
      </c>
      <c r="B327" s="39">
        <v>84.990570068359375</v>
      </c>
      <c r="C327" s="39">
        <v>85.447881863858001</v>
      </c>
      <c r="D327" s="39">
        <v>83.071844717232494</v>
      </c>
      <c r="E327" s="39">
        <v>83.250793470673173</v>
      </c>
      <c r="F327" s="39">
        <v>1420200</v>
      </c>
    </row>
    <row r="328" spans="1:6">
      <c r="A328" s="41">
        <v>44305</v>
      </c>
      <c r="B328" s="39">
        <v>82.266578674316406</v>
      </c>
      <c r="C328" s="39">
        <v>86.054318419367846</v>
      </c>
      <c r="D328" s="39">
        <v>81.709852593210925</v>
      </c>
      <c r="E328" s="39">
        <v>85.706364618676915</v>
      </c>
      <c r="F328" s="39">
        <v>1721200</v>
      </c>
    </row>
    <row r="329" spans="1:6">
      <c r="A329" s="41">
        <v>44306</v>
      </c>
      <c r="B329" s="39">
        <v>81.80926513671875</v>
      </c>
      <c r="C329" s="39">
        <v>83.489394633285784</v>
      </c>
      <c r="D329" s="39">
        <v>80.506920545551921</v>
      </c>
      <c r="E329" s="39">
        <v>82.296400447297941</v>
      </c>
      <c r="F329" s="39">
        <v>1532400</v>
      </c>
    </row>
    <row r="330" spans="1:6">
      <c r="A330" s="41">
        <v>44307</v>
      </c>
      <c r="B330" s="39">
        <v>84.60284423828125</v>
      </c>
      <c r="C330" s="39">
        <v>85.099923238018292</v>
      </c>
      <c r="D330" s="39">
        <v>80.546677780069246</v>
      </c>
      <c r="E330" s="39">
        <v>81.401654266402858</v>
      </c>
      <c r="F330" s="39">
        <v>1803400</v>
      </c>
    </row>
    <row r="331" spans="1:6">
      <c r="A331" s="41">
        <v>44308</v>
      </c>
      <c r="B331" s="39">
        <v>87.5853271484375</v>
      </c>
      <c r="C331" s="39">
        <v>89.245569356129835</v>
      </c>
      <c r="D331" s="39">
        <v>86.630936282012712</v>
      </c>
      <c r="E331" s="39">
        <v>87.137959037084258</v>
      </c>
      <c r="F331" s="39">
        <v>3630000</v>
      </c>
    </row>
    <row r="332" spans="1:6">
      <c r="A332" s="41">
        <v>44309</v>
      </c>
      <c r="B332" s="39">
        <v>90.408737182617188</v>
      </c>
      <c r="C332" s="39">
        <v>90.81633804662107</v>
      </c>
      <c r="D332" s="39">
        <v>88.36076640368897</v>
      </c>
      <c r="E332" s="39">
        <v>88.8876765512817</v>
      </c>
      <c r="F332" s="39">
        <v>2161400</v>
      </c>
    </row>
    <row r="333" spans="1:6">
      <c r="A333" s="41">
        <v>44312</v>
      </c>
      <c r="B333" s="39">
        <v>91.343238830566406</v>
      </c>
      <c r="C333" s="39">
        <v>91.412829590617903</v>
      </c>
      <c r="D333" s="39">
        <v>88.659015131638157</v>
      </c>
      <c r="E333" s="39">
        <v>90.547916942095512</v>
      </c>
      <c r="F333" s="39">
        <v>1857200</v>
      </c>
    </row>
    <row r="334" spans="1:6">
      <c r="A334" s="41">
        <v>44313</v>
      </c>
      <c r="B334" s="39">
        <v>90.29937744140625</v>
      </c>
      <c r="C334" s="39">
        <v>91.383006074465285</v>
      </c>
      <c r="D334" s="39">
        <v>89.692940424526313</v>
      </c>
      <c r="E334" s="39">
        <v>91.333302722892967</v>
      </c>
      <c r="F334" s="39">
        <v>1808600</v>
      </c>
    </row>
    <row r="335" spans="1:6">
      <c r="A335" s="41">
        <v>44314</v>
      </c>
      <c r="B335" s="39">
        <v>87.605209350585938</v>
      </c>
      <c r="C335" s="39">
        <v>88.281237122222578</v>
      </c>
      <c r="D335" s="39">
        <v>86.253153807312657</v>
      </c>
      <c r="E335" s="39">
        <v>88.03269761183887</v>
      </c>
      <c r="F335" s="39">
        <v>1437000</v>
      </c>
    </row>
    <row r="336" spans="1:6">
      <c r="A336" s="41">
        <v>44315</v>
      </c>
      <c r="B336" s="39">
        <v>85.795845031738281</v>
      </c>
      <c r="C336" s="39">
        <v>88.221585580600731</v>
      </c>
      <c r="D336" s="39">
        <v>84.433845736462317</v>
      </c>
      <c r="E336" s="39">
        <v>88.012813294724722</v>
      </c>
      <c r="F336" s="39">
        <v>1449400</v>
      </c>
    </row>
    <row r="337" spans="1:6">
      <c r="A337" s="41">
        <v>44316</v>
      </c>
      <c r="B337" s="39">
        <v>82.66424560546875</v>
      </c>
      <c r="C337" s="39">
        <v>84.374198711190061</v>
      </c>
      <c r="D337" s="39">
        <v>82.525064081498329</v>
      </c>
      <c r="E337" s="39">
        <v>84.264840715952715</v>
      </c>
      <c r="F337" s="39">
        <v>1121400</v>
      </c>
    </row>
    <row r="338" spans="1:6">
      <c r="A338" s="41">
        <v>44319</v>
      </c>
      <c r="B338" s="39">
        <v>81.620376586914062</v>
      </c>
      <c r="C338" s="39">
        <v>83.290562459302365</v>
      </c>
      <c r="D338" s="39">
        <v>81.222711839236041</v>
      </c>
      <c r="E338" s="39">
        <v>82.962488473606186</v>
      </c>
      <c r="F338" s="39">
        <v>1663600</v>
      </c>
    </row>
    <row r="339" spans="1:6">
      <c r="A339" s="41">
        <v>44320</v>
      </c>
      <c r="B339" s="39">
        <v>76.748992919921875</v>
      </c>
      <c r="C339" s="39">
        <v>79.34374585105428</v>
      </c>
      <c r="D339" s="39">
        <v>75.804545874108271</v>
      </c>
      <c r="E339" s="39">
        <v>79.333809732340399</v>
      </c>
      <c r="F339" s="39">
        <v>2940200</v>
      </c>
    </row>
    <row r="340" spans="1:6">
      <c r="A340" s="41">
        <v>44321</v>
      </c>
      <c r="B340" s="39">
        <v>75.774726867675781</v>
      </c>
      <c r="C340" s="39">
        <v>77.385258034900531</v>
      </c>
      <c r="D340" s="39">
        <v>75.247824321123289</v>
      </c>
      <c r="E340" s="39">
        <v>77.36537821146365</v>
      </c>
      <c r="F340" s="39">
        <v>1698200</v>
      </c>
    </row>
    <row r="341" spans="1:6">
      <c r="A341" s="41">
        <v>44322</v>
      </c>
      <c r="B341" s="39">
        <v>74.015068054199219</v>
      </c>
      <c r="C341" s="39">
        <v>75.506305215142049</v>
      </c>
      <c r="D341" s="39">
        <v>72.742546890433246</v>
      </c>
      <c r="E341" s="39">
        <v>75.21800603867193</v>
      </c>
      <c r="F341" s="39">
        <v>2342100</v>
      </c>
    </row>
    <row r="342" spans="1:6">
      <c r="A342" s="41">
        <v>44323</v>
      </c>
      <c r="B342" s="39">
        <v>74.710975646972656</v>
      </c>
      <c r="C342" s="39">
        <v>77.067125266246649</v>
      </c>
      <c r="D342" s="39">
        <v>74.263599993503561</v>
      </c>
      <c r="E342" s="39">
        <v>75.387003394256553</v>
      </c>
      <c r="F342" s="39">
        <v>1811700</v>
      </c>
    </row>
    <row r="343" spans="1:6">
      <c r="A343" s="41">
        <v>44326</v>
      </c>
      <c r="B343" s="39">
        <v>71.678794860839844</v>
      </c>
      <c r="C343" s="39">
        <v>74.691092579650075</v>
      </c>
      <c r="D343" s="39">
        <v>71.211539357426545</v>
      </c>
      <c r="E343" s="39">
        <v>74.691092579650075</v>
      </c>
      <c r="F343" s="39">
        <v>1892900</v>
      </c>
    </row>
    <row r="344" spans="1:6">
      <c r="A344" s="41">
        <v>44327</v>
      </c>
      <c r="B344" s="39">
        <v>72.563591003417969</v>
      </c>
      <c r="C344" s="39">
        <v>73.249562457246654</v>
      </c>
      <c r="D344" s="39">
        <v>67.294558102962768</v>
      </c>
      <c r="E344" s="39">
        <v>67.791637107807048</v>
      </c>
      <c r="F344" s="39">
        <v>2652600</v>
      </c>
    </row>
    <row r="345" spans="1:6">
      <c r="A345" s="41">
        <v>44328</v>
      </c>
      <c r="B345" s="39">
        <v>68.736091613769531</v>
      </c>
      <c r="C345" s="39">
        <v>71.13201631684484</v>
      </c>
      <c r="D345" s="39">
        <v>68.507439494324075</v>
      </c>
      <c r="E345" s="39">
        <v>70.167681729626125</v>
      </c>
      <c r="F345" s="39">
        <v>2464500</v>
      </c>
    </row>
    <row r="346" spans="1:6">
      <c r="A346" s="41">
        <v>44329</v>
      </c>
      <c r="B346" s="39">
        <v>68.696319580078125</v>
      </c>
      <c r="C346" s="39">
        <v>70.535510451384383</v>
      </c>
      <c r="D346" s="39">
        <v>67.384031260488499</v>
      </c>
      <c r="E346" s="39">
        <v>69.740188564107498</v>
      </c>
      <c r="F346" s="39">
        <v>1180200</v>
      </c>
    </row>
    <row r="347" spans="1:6">
      <c r="A347" s="41">
        <v>44330</v>
      </c>
      <c r="B347" s="39">
        <v>72.116226196289062</v>
      </c>
      <c r="C347" s="39">
        <v>72.364765709957766</v>
      </c>
      <c r="D347" s="39">
        <v>69.789892404241527</v>
      </c>
      <c r="E347" s="39">
        <v>70.117966382641981</v>
      </c>
      <c r="F347" s="39">
        <v>1158200</v>
      </c>
    </row>
    <row r="348" spans="1:6">
      <c r="A348" s="41">
        <v>44333</v>
      </c>
      <c r="B348" s="39">
        <v>70.903350830078125</v>
      </c>
      <c r="C348" s="39">
        <v>71.639025653029194</v>
      </c>
      <c r="D348" s="39">
        <v>69.551295294218733</v>
      </c>
      <c r="E348" s="39">
        <v>71.281128153253235</v>
      </c>
      <c r="F348" s="39">
        <v>1216700</v>
      </c>
    </row>
    <row r="349" spans="1:6">
      <c r="A349" s="41">
        <v>44334</v>
      </c>
      <c r="B349" s="39">
        <v>71.937278747558594</v>
      </c>
      <c r="C349" s="39">
        <v>73.348981390438738</v>
      </c>
      <c r="D349" s="39">
        <v>70.734348389767135</v>
      </c>
      <c r="E349" s="39">
        <v>71.708619053514326</v>
      </c>
      <c r="F349" s="39">
        <v>1123500</v>
      </c>
    </row>
    <row r="350" spans="1:6">
      <c r="A350" s="41">
        <v>44335</v>
      </c>
      <c r="B350" s="39">
        <v>74.621498107910156</v>
      </c>
      <c r="C350" s="39">
        <v>74.780567030874522</v>
      </c>
      <c r="D350" s="39">
        <v>69.710362676152954</v>
      </c>
      <c r="E350" s="39">
        <v>70.108019813916442</v>
      </c>
      <c r="F350" s="39">
        <v>2502200</v>
      </c>
    </row>
    <row r="351" spans="1:6">
      <c r="A351" s="41">
        <v>44336</v>
      </c>
      <c r="B351" s="39">
        <v>77.703392028808594</v>
      </c>
      <c r="C351" s="39">
        <v>78.42912311297718</v>
      </c>
      <c r="D351" s="39">
        <v>76.053086127036053</v>
      </c>
      <c r="E351" s="39">
        <v>76.261858394460859</v>
      </c>
      <c r="F351" s="39">
        <v>2830800</v>
      </c>
    </row>
    <row r="352" spans="1:6">
      <c r="A352" s="41">
        <v>44337</v>
      </c>
      <c r="B352" s="39">
        <v>78.051353454589844</v>
      </c>
      <c r="C352" s="39">
        <v>78.836739252698479</v>
      </c>
      <c r="D352" s="39">
        <v>76.967717196755402</v>
      </c>
      <c r="E352" s="39">
        <v>78.409250972331108</v>
      </c>
      <c r="F352" s="39">
        <v>1760300</v>
      </c>
    </row>
    <row r="353" spans="1:6">
      <c r="A353" s="41">
        <v>44340</v>
      </c>
      <c r="B353" s="39">
        <v>77.345504760742188</v>
      </c>
      <c r="C353" s="39">
        <v>78.677673000668165</v>
      </c>
      <c r="D353" s="39">
        <v>76.997543350923905</v>
      </c>
      <c r="E353" s="39">
        <v>78.468900705671913</v>
      </c>
      <c r="F353" s="39">
        <v>1025700</v>
      </c>
    </row>
    <row r="354" spans="1:6">
      <c r="A354" s="41">
        <v>44341</v>
      </c>
      <c r="B354" s="39">
        <v>76.997535705566406</v>
      </c>
      <c r="C354" s="39">
        <v>78.230297112888394</v>
      </c>
      <c r="D354" s="39">
        <v>76.490520575843618</v>
      </c>
      <c r="E354" s="39">
        <v>77.782921452468329</v>
      </c>
      <c r="F354" s="39">
        <v>805900</v>
      </c>
    </row>
    <row r="355" spans="1:6">
      <c r="A355" s="41">
        <v>44342</v>
      </c>
      <c r="B355" s="39">
        <v>78.846672058105469</v>
      </c>
      <c r="C355" s="39">
        <v>79.184689737240831</v>
      </c>
      <c r="D355" s="39">
        <v>77.096959361392322</v>
      </c>
      <c r="E355" s="39">
        <v>77.554271151543986</v>
      </c>
      <c r="F355" s="39">
        <v>1124200</v>
      </c>
    </row>
    <row r="356" spans="1:6">
      <c r="A356" s="41">
        <v>44343</v>
      </c>
      <c r="B356" s="39">
        <v>78.856613159179688</v>
      </c>
      <c r="C356" s="39">
        <v>79.204566946197559</v>
      </c>
      <c r="D356" s="39">
        <v>77.882334970705955</v>
      </c>
      <c r="E356" s="39">
        <v>78.856613159179688</v>
      </c>
      <c r="F356" s="39">
        <v>1102000</v>
      </c>
    </row>
    <row r="357" spans="1:6">
      <c r="A357" s="41">
        <v>44344</v>
      </c>
      <c r="B357" s="39">
        <v>78.647842407226562</v>
      </c>
      <c r="C357" s="39">
        <v>80.327971906077238</v>
      </c>
      <c r="D357" s="39">
        <v>78.568307944421178</v>
      </c>
      <c r="E357" s="39">
        <v>79.343749994714145</v>
      </c>
      <c r="F357" s="39">
        <v>964500</v>
      </c>
    </row>
    <row r="358" spans="1:6">
      <c r="A358" s="41">
        <v>44348</v>
      </c>
      <c r="B358" s="39">
        <v>78.309829711914062</v>
      </c>
      <c r="C358" s="39">
        <v>80.496982069185719</v>
      </c>
      <c r="D358" s="39">
        <v>77.355438852037537</v>
      </c>
      <c r="E358" s="39">
        <v>79.144926454821217</v>
      </c>
      <c r="F358" s="39">
        <v>1193100</v>
      </c>
    </row>
    <row r="359" spans="1:6">
      <c r="A359" s="41">
        <v>44349</v>
      </c>
      <c r="B359" s="39">
        <v>77.216255187988281</v>
      </c>
      <c r="C359" s="39">
        <v>78.180589725856464</v>
      </c>
      <c r="D359" s="39">
        <v>76.420933285854858</v>
      </c>
      <c r="E359" s="39">
        <v>78.081175436192808</v>
      </c>
      <c r="F359" s="39">
        <v>1162600</v>
      </c>
    </row>
    <row r="360" spans="1:6">
      <c r="A360" s="41">
        <v>44350</v>
      </c>
      <c r="B360" s="39">
        <v>75.118583679199219</v>
      </c>
      <c r="C360" s="39">
        <v>77.037309117388943</v>
      </c>
      <c r="D360" s="39">
        <v>74.909811388182646</v>
      </c>
      <c r="E360" s="39">
        <v>76.420935949099345</v>
      </c>
      <c r="F360" s="39">
        <v>974100</v>
      </c>
    </row>
    <row r="361" spans="1:6">
      <c r="A361" s="41">
        <v>44351</v>
      </c>
      <c r="B361" s="39">
        <v>76.391105651855469</v>
      </c>
      <c r="C361" s="39">
        <v>77.106900705753404</v>
      </c>
      <c r="D361" s="39">
        <v>75.58584000863253</v>
      </c>
      <c r="E361" s="39">
        <v>75.854266946256473</v>
      </c>
      <c r="F361" s="39">
        <v>633300</v>
      </c>
    </row>
    <row r="362" spans="1:6">
      <c r="A362" s="41">
        <v>44354</v>
      </c>
      <c r="B362" s="39">
        <v>76.112739562988281</v>
      </c>
      <c r="C362" s="39">
        <v>76.331455552393862</v>
      </c>
      <c r="D362" s="39">
        <v>74.442553698683327</v>
      </c>
      <c r="E362" s="39">
        <v>76.331455552393862</v>
      </c>
      <c r="F362" s="39">
        <v>1191100</v>
      </c>
    </row>
    <row r="363" spans="1:6">
      <c r="A363" s="41">
        <v>44355</v>
      </c>
      <c r="B363" s="39">
        <v>76.510398864746094</v>
      </c>
      <c r="C363" s="39">
        <v>77.544324096207703</v>
      </c>
      <c r="D363" s="39">
        <v>74.561850092507399</v>
      </c>
      <c r="E363" s="39">
        <v>76.888176174678293</v>
      </c>
      <c r="F363" s="39">
        <v>1489700</v>
      </c>
    </row>
    <row r="364" spans="1:6">
      <c r="A364" s="41">
        <v>44356</v>
      </c>
      <c r="B364" s="39">
        <v>76.162452697753906</v>
      </c>
      <c r="C364" s="39">
        <v>78.140825194301044</v>
      </c>
      <c r="D364" s="39">
        <v>75.973560231486189</v>
      </c>
      <c r="E364" s="39">
        <v>77.494620911912207</v>
      </c>
      <c r="F364" s="39">
        <v>912500</v>
      </c>
    </row>
    <row r="365" spans="1:6">
      <c r="A365" s="41">
        <v>44357</v>
      </c>
      <c r="B365" s="39">
        <v>78.260124206542969</v>
      </c>
      <c r="C365" s="39">
        <v>78.846673825048086</v>
      </c>
      <c r="D365" s="39">
        <v>76.212161016746634</v>
      </c>
      <c r="E365" s="39">
        <v>76.69929634556901</v>
      </c>
      <c r="F365" s="39">
        <v>1281300</v>
      </c>
    </row>
    <row r="366" spans="1:6">
      <c r="A366" s="41">
        <v>44358</v>
      </c>
      <c r="B366" s="39">
        <v>79.35369873046875</v>
      </c>
      <c r="C366" s="39">
        <v>79.532647490715831</v>
      </c>
      <c r="D366" s="39">
        <v>78.429131399996209</v>
      </c>
      <c r="E366" s="39">
        <v>79.035568443898853</v>
      </c>
      <c r="F366" s="39">
        <v>925300</v>
      </c>
    </row>
    <row r="367" spans="1:6">
      <c r="A367" s="41">
        <v>44361</v>
      </c>
      <c r="B367" s="39">
        <v>80.308090209960938</v>
      </c>
      <c r="C367" s="39">
        <v>81.371839074965834</v>
      </c>
      <c r="D367" s="39">
        <v>79.701653161378076</v>
      </c>
      <c r="E367" s="39">
        <v>80.88470372907652</v>
      </c>
      <c r="F367" s="39">
        <v>1332200</v>
      </c>
    </row>
    <row r="368" spans="1:6">
      <c r="A368" s="41">
        <v>44362</v>
      </c>
      <c r="B368" s="39">
        <v>78.309829711914062</v>
      </c>
      <c r="C368" s="39">
        <v>80.218619016491431</v>
      </c>
      <c r="D368" s="39">
        <v>77.54433131700479</v>
      </c>
      <c r="E368" s="39">
        <v>80.029726551524178</v>
      </c>
      <c r="F368" s="39">
        <v>948300</v>
      </c>
    </row>
    <row r="369" spans="1:6">
      <c r="A369" s="41">
        <v>44363</v>
      </c>
      <c r="B369" s="39">
        <v>79.492881774902344</v>
      </c>
      <c r="C369" s="39">
        <v>81.063653413199546</v>
      </c>
      <c r="D369" s="39">
        <v>78.220360604320874</v>
      </c>
      <c r="E369" s="39">
        <v>78.558370721895884</v>
      </c>
      <c r="F369" s="39">
        <v>1634700</v>
      </c>
    </row>
    <row r="370" spans="1:6">
      <c r="A370" s="41">
        <v>44364</v>
      </c>
      <c r="B370" s="39">
        <v>82.614532470703125</v>
      </c>
      <c r="C370" s="39">
        <v>83.012197207825167</v>
      </c>
      <c r="D370" s="39">
        <v>78.836736430103684</v>
      </c>
      <c r="E370" s="39">
        <v>79.045508710507349</v>
      </c>
      <c r="F370" s="39">
        <v>3028700</v>
      </c>
    </row>
    <row r="371" spans="1:6">
      <c r="A371" s="41">
        <v>44365</v>
      </c>
      <c r="B371" s="39">
        <v>81.988212585449219</v>
      </c>
      <c r="C371" s="39">
        <v>82.495235296075791</v>
      </c>
      <c r="D371" s="39">
        <v>80.874752879812618</v>
      </c>
      <c r="E371" s="39">
        <v>81.371831886553721</v>
      </c>
      <c r="F371" s="39">
        <v>1643000</v>
      </c>
    </row>
    <row r="372" spans="1:6">
      <c r="A372" s="41">
        <v>44368</v>
      </c>
      <c r="B372" s="39">
        <v>81.520957946777344</v>
      </c>
      <c r="C372" s="39">
        <v>81.988213431507504</v>
      </c>
      <c r="D372" s="39">
        <v>79.91041921778006</v>
      </c>
      <c r="E372" s="39">
        <v>81.590548705046274</v>
      </c>
      <c r="F372" s="39">
        <v>948300</v>
      </c>
    </row>
    <row r="373" spans="1:6">
      <c r="A373" s="41">
        <v>44369</v>
      </c>
      <c r="B373" s="39">
        <v>81.938507080078125</v>
      </c>
      <c r="C373" s="39">
        <v>82.773603810844875</v>
      </c>
      <c r="D373" s="39">
        <v>80.944349000723165</v>
      </c>
      <c r="E373" s="39">
        <v>81.232655753915012</v>
      </c>
      <c r="F373" s="39">
        <v>1118200</v>
      </c>
    </row>
    <row r="374" spans="1:6">
      <c r="A374" s="41">
        <v>44370</v>
      </c>
      <c r="B374" s="39">
        <v>83.618637084960938</v>
      </c>
      <c r="C374" s="39">
        <v>84.21513041863102</v>
      </c>
      <c r="D374" s="39">
        <v>82.047865491264432</v>
      </c>
      <c r="E374" s="39">
        <v>82.216870545253173</v>
      </c>
      <c r="F374" s="39">
        <v>1320400</v>
      </c>
    </row>
    <row r="375" spans="1:6">
      <c r="A375" s="41">
        <v>44371</v>
      </c>
      <c r="B375" s="39">
        <v>84.443794250488281</v>
      </c>
      <c r="C375" s="39">
        <v>85.467775913983033</v>
      </c>
      <c r="D375" s="39">
        <v>83.618641179678576</v>
      </c>
      <c r="E375" s="39">
        <v>84.632679138091689</v>
      </c>
      <c r="F375" s="39">
        <v>2434400</v>
      </c>
    </row>
    <row r="376" spans="1:6">
      <c r="A376" s="41">
        <v>44372</v>
      </c>
      <c r="B376" s="39">
        <v>85.070098876953125</v>
      </c>
      <c r="C376" s="39">
        <v>87.436192161950416</v>
      </c>
      <c r="D376" s="39">
        <v>84.990564417417872</v>
      </c>
      <c r="E376" s="39">
        <v>85.26892744096773</v>
      </c>
      <c r="F376" s="39">
        <v>2453200</v>
      </c>
    </row>
    <row r="377" spans="1:6">
      <c r="A377" s="41">
        <v>44375</v>
      </c>
      <c r="B377" s="39">
        <v>90.418670654296875</v>
      </c>
      <c r="C377" s="39">
        <v>90.62745051722699</v>
      </c>
      <c r="D377" s="39">
        <v>86.45198220063115</v>
      </c>
      <c r="E377" s="39">
        <v>86.491749432388119</v>
      </c>
      <c r="F377" s="39">
        <v>2751700</v>
      </c>
    </row>
    <row r="378" spans="1:6">
      <c r="A378" s="41">
        <v>44376</v>
      </c>
      <c r="B378" s="39">
        <v>91.243827819824219</v>
      </c>
      <c r="C378" s="39">
        <v>92.943837234848047</v>
      </c>
      <c r="D378" s="39">
        <v>90.130375619008191</v>
      </c>
      <c r="E378" s="39">
        <v>90.935641240644685</v>
      </c>
      <c r="F378" s="39">
        <v>2652500</v>
      </c>
    </row>
    <row r="379" spans="1:6">
      <c r="A379" s="41">
        <v>44377</v>
      </c>
      <c r="B379" s="39">
        <v>88.808143615722656</v>
      </c>
      <c r="C379" s="39">
        <v>90.070721047235907</v>
      </c>
      <c r="D379" s="39">
        <v>88.340888101872906</v>
      </c>
      <c r="E379" s="39">
        <v>89.68300000059979</v>
      </c>
      <c r="F379" s="39">
        <v>1574000</v>
      </c>
    </row>
    <row r="380" spans="1:6">
      <c r="A380" s="41">
        <v>44378</v>
      </c>
      <c r="B380" s="39">
        <v>87.804039001464844</v>
      </c>
      <c r="C380" s="39">
        <v>89.066616392371088</v>
      </c>
      <c r="D380" s="39">
        <v>86.203443928184114</v>
      </c>
      <c r="E380" s="39">
        <v>88.997025632003414</v>
      </c>
      <c r="F380" s="39">
        <v>1021800</v>
      </c>
    </row>
    <row r="381" spans="1:6">
      <c r="A381" s="41">
        <v>44379</v>
      </c>
      <c r="B381" s="39">
        <v>87.66485595703125</v>
      </c>
      <c r="C381" s="39">
        <v>88.877729975064838</v>
      </c>
      <c r="D381" s="39">
        <v>87.11806600305745</v>
      </c>
      <c r="E381" s="39">
        <v>87.555497966236487</v>
      </c>
      <c r="F381" s="39">
        <v>659600</v>
      </c>
    </row>
    <row r="382" spans="1:6">
      <c r="A382" s="41">
        <v>44383</v>
      </c>
      <c r="B382" s="39">
        <v>88.668960571289062</v>
      </c>
      <c r="C382" s="39">
        <v>89.225686662597198</v>
      </c>
      <c r="D382" s="39">
        <v>87.048478065079237</v>
      </c>
      <c r="E382" s="39">
        <v>87.694682326675689</v>
      </c>
      <c r="F382" s="39">
        <v>1274800</v>
      </c>
    </row>
    <row r="383" spans="1:6">
      <c r="A383" s="41">
        <v>44384</v>
      </c>
      <c r="B383" s="39">
        <v>88.659019470214844</v>
      </c>
      <c r="C383" s="39">
        <v>91.949680346975285</v>
      </c>
      <c r="D383" s="39">
        <v>87.893521072188236</v>
      </c>
      <c r="E383" s="39">
        <v>90.289438143913173</v>
      </c>
      <c r="F383" s="39">
        <v>1938000</v>
      </c>
    </row>
    <row r="384" spans="1:6">
      <c r="A384" s="41">
        <v>44385</v>
      </c>
      <c r="B384" s="39">
        <v>86.471870422363281</v>
      </c>
      <c r="C384" s="39">
        <v>87.247312486859187</v>
      </c>
      <c r="D384" s="39">
        <v>83.55898703597228</v>
      </c>
      <c r="E384" s="39">
        <v>85.000513172809633</v>
      </c>
      <c r="F384" s="39">
        <v>1675100</v>
      </c>
    </row>
    <row r="385" spans="1:6">
      <c r="A385" s="41">
        <v>44386</v>
      </c>
      <c r="B385" s="39">
        <v>87.694679260253906</v>
      </c>
      <c r="C385" s="39">
        <v>87.784157427413433</v>
      </c>
      <c r="D385" s="39">
        <v>85.587061497846577</v>
      </c>
      <c r="E385" s="39">
        <v>87.565441446383332</v>
      </c>
      <c r="F385" s="39">
        <v>742200</v>
      </c>
    </row>
    <row r="386" spans="1:6">
      <c r="A386" s="41">
        <v>44389</v>
      </c>
      <c r="B386" s="39">
        <v>89.156089782714844</v>
      </c>
      <c r="C386" s="39">
        <v>89.752583066013202</v>
      </c>
      <c r="D386" s="39">
        <v>87.754323361381267</v>
      </c>
      <c r="E386" s="39">
        <v>88.73854524288835</v>
      </c>
      <c r="F386" s="39">
        <v>1391600</v>
      </c>
    </row>
    <row r="387" spans="1:6">
      <c r="A387" s="41">
        <v>44390</v>
      </c>
      <c r="B387" s="39">
        <v>88.032699584960938</v>
      </c>
      <c r="C387" s="39">
        <v>90.239724115383339</v>
      </c>
      <c r="D387" s="39">
        <v>87.694681899154489</v>
      </c>
      <c r="E387" s="39">
        <v>89.116328233806342</v>
      </c>
      <c r="F387" s="39">
        <v>1424700</v>
      </c>
    </row>
    <row r="388" spans="1:6">
      <c r="A388" s="41">
        <v>44391</v>
      </c>
      <c r="B388" s="39">
        <v>83.370094299316406</v>
      </c>
      <c r="C388" s="39">
        <v>88.48006604621051</v>
      </c>
      <c r="D388" s="39">
        <v>83.121554787950643</v>
      </c>
      <c r="E388" s="39">
        <v>88.311060998839537</v>
      </c>
      <c r="F388" s="39">
        <v>2399500</v>
      </c>
    </row>
    <row r="389" spans="1:6">
      <c r="A389" s="41">
        <v>44392</v>
      </c>
      <c r="B389" s="39">
        <v>81.749618530273438</v>
      </c>
      <c r="C389" s="39">
        <v>84.732092634357741</v>
      </c>
      <c r="D389" s="39">
        <v>80.675926032445361</v>
      </c>
      <c r="E389" s="39">
        <v>83.161321119182276</v>
      </c>
      <c r="F389" s="39">
        <v>2555100</v>
      </c>
    </row>
    <row r="390" spans="1:6">
      <c r="A390" s="41">
        <v>44393</v>
      </c>
      <c r="B390" s="39">
        <v>80.158966064453125</v>
      </c>
      <c r="C390" s="39">
        <v>83.310453052783288</v>
      </c>
      <c r="D390" s="39">
        <v>79.801068536345113</v>
      </c>
      <c r="E390" s="39">
        <v>83.25079840821563</v>
      </c>
      <c r="F390" s="39">
        <v>1884500</v>
      </c>
    </row>
    <row r="391" spans="1:6">
      <c r="A391" s="41">
        <v>44396</v>
      </c>
      <c r="B391" s="39">
        <v>80.626220703125</v>
      </c>
      <c r="C391" s="39">
        <v>80.685875347035008</v>
      </c>
      <c r="D391" s="39">
        <v>77.037309341536044</v>
      </c>
      <c r="E391" s="39">
        <v>78.787029728016321</v>
      </c>
      <c r="F391" s="39">
        <v>1881100</v>
      </c>
    </row>
    <row r="392" spans="1:6">
      <c r="A392" s="41">
        <v>44397</v>
      </c>
      <c r="B392" s="39">
        <v>82.445533752441406</v>
      </c>
      <c r="C392" s="39">
        <v>82.972436346032097</v>
      </c>
      <c r="D392" s="39">
        <v>79.830900609699611</v>
      </c>
      <c r="E392" s="39">
        <v>80.994063797606358</v>
      </c>
      <c r="F392" s="39">
        <v>1028400</v>
      </c>
    </row>
    <row r="393" spans="1:6">
      <c r="A393" s="41">
        <v>44398</v>
      </c>
      <c r="B393" s="39">
        <v>85.905204772949219</v>
      </c>
      <c r="C393" s="39">
        <v>86.074209829023275</v>
      </c>
      <c r="D393" s="39">
        <v>82.783541371404127</v>
      </c>
      <c r="E393" s="39">
        <v>82.783541371404127</v>
      </c>
      <c r="F393" s="39">
        <v>968700</v>
      </c>
    </row>
    <row r="394" spans="1:6">
      <c r="A394" s="41">
        <v>44399</v>
      </c>
      <c r="B394" s="39">
        <v>85.129753112792969</v>
      </c>
      <c r="C394" s="39">
        <v>87.058422202742491</v>
      </c>
      <c r="D394" s="39">
        <v>84.075947981908797</v>
      </c>
      <c r="E394" s="39">
        <v>86.710468393943401</v>
      </c>
      <c r="F394" s="39">
        <v>807600</v>
      </c>
    </row>
    <row r="395" spans="1:6">
      <c r="A395" s="41">
        <v>44400</v>
      </c>
      <c r="B395" s="39">
        <v>82.972427368164062</v>
      </c>
      <c r="C395" s="39">
        <v>84.254892123047711</v>
      </c>
      <c r="D395" s="39">
        <v>82.147274391911026</v>
      </c>
      <c r="E395" s="39">
        <v>84.215124892102821</v>
      </c>
      <c r="F395" s="39">
        <v>718200</v>
      </c>
    </row>
    <row r="396" spans="1:6">
      <c r="A396" s="41">
        <v>44403</v>
      </c>
      <c r="B396" s="39">
        <v>81.789375305175781</v>
      </c>
      <c r="C396" s="39">
        <v>83.449624929286458</v>
      </c>
      <c r="D396" s="39">
        <v>80.745513956293323</v>
      </c>
      <c r="E396" s="39">
        <v>82.117449265463236</v>
      </c>
      <c r="F396" s="39">
        <v>782300</v>
      </c>
    </row>
    <row r="397" spans="1:6">
      <c r="A397" s="41">
        <v>44404</v>
      </c>
      <c r="B397" s="39">
        <v>80.049606323242188</v>
      </c>
      <c r="C397" s="39">
        <v>80.825056007152853</v>
      </c>
      <c r="D397" s="39">
        <v>78.130880900066671</v>
      </c>
      <c r="E397" s="39">
        <v>80.586452603722961</v>
      </c>
      <c r="F397" s="39">
        <v>1140200</v>
      </c>
    </row>
    <row r="398" spans="1:6">
      <c r="A398" s="41">
        <v>44405</v>
      </c>
      <c r="B398" s="39">
        <v>83.380043029785156</v>
      </c>
      <c r="C398" s="39">
        <v>84.334433900782784</v>
      </c>
      <c r="D398" s="39">
        <v>79.989960249681843</v>
      </c>
      <c r="E398" s="39">
        <v>80.258387185639421</v>
      </c>
      <c r="F398" s="39">
        <v>1041500</v>
      </c>
    </row>
    <row r="399" spans="1:6">
      <c r="A399" s="41">
        <v>44406</v>
      </c>
      <c r="B399" s="39">
        <v>83.817466735839844</v>
      </c>
      <c r="C399" s="39">
        <v>84.930926535081881</v>
      </c>
      <c r="D399" s="39">
        <v>83.081791867767535</v>
      </c>
      <c r="E399" s="39">
        <v>84.105773494165675</v>
      </c>
      <c r="F399" s="39">
        <v>1121700</v>
      </c>
    </row>
    <row r="400" spans="1:6">
      <c r="A400" s="41">
        <v>44407</v>
      </c>
      <c r="B400" s="39">
        <v>85.169517517089844</v>
      </c>
      <c r="C400" s="39">
        <v>86.660754577976633</v>
      </c>
      <c r="D400" s="39">
        <v>82.385879554328852</v>
      </c>
      <c r="E400" s="39">
        <v>82.912782102270356</v>
      </c>
      <c r="F400" s="39">
        <v>1234800</v>
      </c>
    </row>
    <row r="401" spans="1:6">
      <c r="A401" s="41">
        <v>44410</v>
      </c>
      <c r="B401" s="39">
        <v>84.9508056640625</v>
      </c>
      <c r="C401" s="39">
        <v>86.41221926834298</v>
      </c>
      <c r="D401" s="39">
        <v>84.682386317377492</v>
      </c>
      <c r="E401" s="39">
        <v>86.302861271776109</v>
      </c>
      <c r="F401" s="39">
        <v>873700</v>
      </c>
    </row>
    <row r="402" spans="1:6">
      <c r="A402" s="41">
        <v>44411</v>
      </c>
      <c r="B402" s="39">
        <v>87.982986450195312</v>
      </c>
      <c r="C402" s="39">
        <v>88.808139442910814</v>
      </c>
      <c r="D402" s="39">
        <v>86.690577965584922</v>
      </c>
      <c r="E402" s="39">
        <v>86.859590596678572</v>
      </c>
      <c r="F402" s="39">
        <v>1539200</v>
      </c>
    </row>
    <row r="403" spans="1:6">
      <c r="A403" s="41">
        <v>44412</v>
      </c>
      <c r="B403" s="39">
        <v>87.883575439453125</v>
      </c>
      <c r="C403" s="39">
        <v>89.404636082232017</v>
      </c>
      <c r="D403" s="39">
        <v>87.406376225628279</v>
      </c>
      <c r="E403" s="39">
        <v>88.470125063604797</v>
      </c>
      <c r="F403" s="39">
        <v>845300</v>
      </c>
    </row>
    <row r="404" spans="1:6">
      <c r="A404" s="41">
        <v>44413</v>
      </c>
      <c r="B404" s="39">
        <v>86.531524658203125</v>
      </c>
      <c r="C404" s="39">
        <v>88.181823212046069</v>
      </c>
      <c r="D404" s="39">
        <v>86.372455716479905</v>
      </c>
      <c r="E404" s="39">
        <v>88.181823212046069</v>
      </c>
      <c r="F404" s="39">
        <v>680400</v>
      </c>
    </row>
    <row r="405" spans="1:6">
      <c r="A405" s="41">
        <v>44414</v>
      </c>
      <c r="B405" s="39">
        <v>85.736183166503906</v>
      </c>
      <c r="C405" s="39">
        <v>86.909289901280204</v>
      </c>
      <c r="D405" s="39">
        <v>84.712201647596984</v>
      </c>
      <c r="E405" s="39">
        <v>86.312796622626266</v>
      </c>
      <c r="F405" s="39">
        <v>1109200</v>
      </c>
    </row>
    <row r="406" spans="1:6">
      <c r="A406" s="41">
        <v>44417</v>
      </c>
      <c r="B406" s="39">
        <v>87.57537841796875</v>
      </c>
      <c r="C406" s="39">
        <v>88.032697792659164</v>
      </c>
      <c r="D406" s="39">
        <v>85.298763172822845</v>
      </c>
      <c r="E406" s="39">
        <v>86.432102735714523</v>
      </c>
      <c r="F406" s="39">
        <v>1074700</v>
      </c>
    </row>
    <row r="407" spans="1:6">
      <c r="A407" s="41">
        <v>44418</v>
      </c>
      <c r="B407" s="39">
        <v>87.048477172851562</v>
      </c>
      <c r="C407" s="39">
        <v>88.201704161397103</v>
      </c>
      <c r="D407" s="39">
        <v>86.601109080467822</v>
      </c>
      <c r="E407" s="39">
        <v>87.774215892860269</v>
      </c>
      <c r="F407" s="39">
        <v>935000</v>
      </c>
    </row>
    <row r="408" spans="1:6">
      <c r="A408" s="41">
        <v>44419</v>
      </c>
      <c r="B408" s="39">
        <v>85.368354797363281</v>
      </c>
      <c r="C408" s="39">
        <v>87.485908721098681</v>
      </c>
      <c r="D408" s="39">
        <v>83.429742041853615</v>
      </c>
      <c r="E408" s="39">
        <v>87.297016263761719</v>
      </c>
      <c r="F408" s="39">
        <v>1574900</v>
      </c>
    </row>
    <row r="409" spans="1:6">
      <c r="A409" s="41">
        <v>44420</v>
      </c>
      <c r="B409" s="39">
        <v>85.070098876953125</v>
      </c>
      <c r="C409" s="39">
        <v>85.517466938397746</v>
      </c>
      <c r="D409" s="39">
        <v>83.996406427697806</v>
      </c>
      <c r="E409" s="39">
        <v>84.831503083170901</v>
      </c>
      <c r="F409" s="39">
        <v>753100</v>
      </c>
    </row>
    <row r="410" spans="1:6">
      <c r="A410" s="41">
        <v>44421</v>
      </c>
      <c r="B410" s="39">
        <v>82.336174011230469</v>
      </c>
      <c r="C410" s="39">
        <v>85.268937389135274</v>
      </c>
      <c r="D410" s="39">
        <v>82.047867250396621</v>
      </c>
      <c r="E410" s="39">
        <v>85.179466800337394</v>
      </c>
      <c r="F410" s="39">
        <v>1533500</v>
      </c>
    </row>
    <row r="411" spans="1:6">
      <c r="A411" s="41">
        <v>44424</v>
      </c>
      <c r="B411" s="39">
        <v>80.109260559082031</v>
      </c>
      <c r="C411" s="39">
        <v>81.938507800461849</v>
      </c>
      <c r="D411" s="39">
        <v>79.741419335950013</v>
      </c>
      <c r="E411" s="39">
        <v>81.759559041211702</v>
      </c>
      <c r="F411" s="39">
        <v>1469700</v>
      </c>
    </row>
    <row r="412" spans="1:6">
      <c r="A412" s="41">
        <v>44425</v>
      </c>
      <c r="B412" s="39">
        <v>78.031463623046875</v>
      </c>
      <c r="C412" s="39">
        <v>79.144923375324041</v>
      </c>
      <c r="D412" s="39">
        <v>76.748998821756146</v>
      </c>
      <c r="E412" s="39">
        <v>78.627956939157343</v>
      </c>
      <c r="F412" s="39">
        <v>1673100</v>
      </c>
    </row>
    <row r="413" spans="1:6">
      <c r="A413" s="41">
        <v>44426</v>
      </c>
      <c r="B413" s="39">
        <v>78.707489013671875</v>
      </c>
      <c r="C413" s="39">
        <v>80.109255469544323</v>
      </c>
      <c r="D413" s="39">
        <v>78.508660442614584</v>
      </c>
      <c r="E413" s="39">
        <v>79.313926015667548</v>
      </c>
      <c r="F413" s="39">
        <v>1066700</v>
      </c>
    </row>
    <row r="414" spans="1:6">
      <c r="A414" s="41">
        <v>44427</v>
      </c>
      <c r="B414" s="39">
        <v>77.554267883300781</v>
      </c>
      <c r="C414" s="39">
        <v>78.93614689971416</v>
      </c>
      <c r="D414" s="39">
        <v>77.236137625957198</v>
      </c>
      <c r="E414" s="39">
        <v>77.494613245482611</v>
      </c>
      <c r="F414" s="39">
        <v>899500</v>
      </c>
    </row>
    <row r="415" spans="1:6">
      <c r="A415" s="41">
        <v>44428</v>
      </c>
      <c r="B415" s="39">
        <v>79.1846923828125</v>
      </c>
      <c r="C415" s="39">
        <v>79.343753731089791</v>
      </c>
      <c r="D415" s="39">
        <v>77.544330038118233</v>
      </c>
      <c r="E415" s="39">
        <v>77.772989733245581</v>
      </c>
      <c r="F415" s="39">
        <v>764400</v>
      </c>
    </row>
    <row r="416" spans="1:6">
      <c r="A416" s="41">
        <v>44431</v>
      </c>
      <c r="B416" s="39">
        <v>81.600494384765625</v>
      </c>
      <c r="C416" s="39">
        <v>81.799322960398428</v>
      </c>
      <c r="D416" s="39">
        <v>79.840830392636974</v>
      </c>
      <c r="E416" s="39">
        <v>79.860717801094651</v>
      </c>
      <c r="F416" s="39">
        <v>1035500</v>
      </c>
    </row>
    <row r="417" spans="1:6">
      <c r="A417" s="41">
        <v>44432</v>
      </c>
      <c r="B417" s="39">
        <v>81.878852844238281</v>
      </c>
      <c r="C417" s="39">
        <v>82.992312526036855</v>
      </c>
      <c r="D417" s="39">
        <v>81.530899063933575</v>
      </c>
      <c r="E417" s="39">
        <v>81.829141910698937</v>
      </c>
      <c r="F417" s="39">
        <v>589600</v>
      </c>
    </row>
    <row r="418" spans="1:6">
      <c r="A418" s="41">
        <v>44433</v>
      </c>
      <c r="B418" s="39">
        <v>82.962486267089844</v>
      </c>
      <c r="C418" s="39">
        <v>83.380038412699619</v>
      </c>
      <c r="D418" s="39">
        <v>82.097573617579869</v>
      </c>
      <c r="E418" s="39">
        <v>82.316289602226902</v>
      </c>
      <c r="F418" s="39">
        <v>649700</v>
      </c>
    </row>
    <row r="419" spans="1:6">
      <c r="A419" s="41">
        <v>44434</v>
      </c>
      <c r="B419" s="39">
        <v>82.515121459960938</v>
      </c>
      <c r="C419" s="39">
        <v>84.026238419254398</v>
      </c>
      <c r="D419" s="39">
        <v>82.187047469943025</v>
      </c>
      <c r="E419" s="39">
        <v>82.634423161283166</v>
      </c>
      <c r="F419" s="39">
        <v>556000</v>
      </c>
    </row>
    <row r="420" spans="1:6">
      <c r="A420" s="41">
        <v>44435</v>
      </c>
      <c r="B420" s="39">
        <v>83.618637084960938</v>
      </c>
      <c r="C420" s="39">
        <v>84.066005189007441</v>
      </c>
      <c r="D420" s="39">
        <v>82.316292421551736</v>
      </c>
      <c r="E420" s="39">
        <v>82.535000828865506</v>
      </c>
      <c r="F420" s="39">
        <v>498000</v>
      </c>
    </row>
    <row r="421" spans="1:6">
      <c r="A421" s="41">
        <v>44438</v>
      </c>
      <c r="B421" s="39">
        <v>85.606948852539062</v>
      </c>
      <c r="C421" s="39">
        <v>86.223329563709342</v>
      </c>
      <c r="D421" s="39">
        <v>84.503432828812194</v>
      </c>
      <c r="E421" s="39">
        <v>84.503432828812194</v>
      </c>
      <c r="F421" s="39">
        <v>779400</v>
      </c>
    </row>
    <row r="422" spans="1:6">
      <c r="A422" s="41">
        <v>44439</v>
      </c>
      <c r="B422" s="39">
        <v>85.129753112792969</v>
      </c>
      <c r="C422" s="39">
        <v>86.392338113780767</v>
      </c>
      <c r="D422" s="39">
        <v>84.215129505428436</v>
      </c>
      <c r="E422" s="39">
        <v>85.597008620962114</v>
      </c>
      <c r="F422" s="39">
        <v>661600</v>
      </c>
    </row>
    <row r="423" spans="1:6">
      <c r="A423" s="41">
        <v>44440</v>
      </c>
      <c r="B423" s="39">
        <v>85.527420043945312</v>
      </c>
      <c r="C423" s="39">
        <v>86.660759670026607</v>
      </c>
      <c r="D423" s="39">
        <v>85.010461169784719</v>
      </c>
      <c r="E423" s="39">
        <v>85.497596514547013</v>
      </c>
      <c r="F423" s="39">
        <v>669700</v>
      </c>
    </row>
    <row r="424" spans="1:6">
      <c r="A424" s="41">
        <v>44441</v>
      </c>
      <c r="B424" s="39">
        <v>86.501693725585938</v>
      </c>
      <c r="C424" s="39">
        <v>87.704624051336509</v>
      </c>
      <c r="D424" s="39">
        <v>86.223330686215419</v>
      </c>
      <c r="E424" s="39">
        <v>86.81982399698424</v>
      </c>
      <c r="F424" s="39">
        <v>701300</v>
      </c>
    </row>
    <row r="425" spans="1:6">
      <c r="A425" s="41">
        <v>44442</v>
      </c>
      <c r="B425" s="39">
        <v>85.537361145019531</v>
      </c>
      <c r="C425" s="39">
        <v>86.611053679622188</v>
      </c>
      <c r="D425" s="39">
        <v>85.129752696118402</v>
      </c>
      <c r="E425" s="39">
        <v>86.273035992140251</v>
      </c>
      <c r="F425" s="39">
        <v>683600</v>
      </c>
    </row>
    <row r="426" spans="1:6">
      <c r="A426" s="41">
        <v>44446</v>
      </c>
      <c r="B426" s="39">
        <v>84.722152709960938</v>
      </c>
      <c r="C426" s="39">
        <v>85.51747462230405</v>
      </c>
      <c r="D426" s="39">
        <v>84.294664432577733</v>
      </c>
      <c r="E426" s="39">
        <v>85.119817458544603</v>
      </c>
      <c r="F426" s="39">
        <v>708400</v>
      </c>
    </row>
    <row r="427" spans="1:6">
      <c r="A427" s="41">
        <v>44447</v>
      </c>
      <c r="B427" s="39">
        <v>83.25079345703125</v>
      </c>
      <c r="C427" s="39">
        <v>86.710466828042883</v>
      </c>
      <c r="D427" s="39">
        <v>82.962486710711616</v>
      </c>
      <c r="E427" s="39">
        <v>86.004615518704739</v>
      </c>
      <c r="F427" s="39">
        <v>935200</v>
      </c>
    </row>
    <row r="428" spans="1:6">
      <c r="A428" s="41">
        <v>44448</v>
      </c>
      <c r="B428" s="39">
        <v>83.887054443359375</v>
      </c>
      <c r="C428" s="39">
        <v>84.592905756378713</v>
      </c>
      <c r="D428" s="39">
        <v>82.96248714338283</v>
      </c>
      <c r="E428" s="39">
        <v>83.678282160761327</v>
      </c>
      <c r="F428" s="39">
        <v>512700</v>
      </c>
    </row>
    <row r="429" spans="1:6">
      <c r="A429" s="41">
        <v>44449</v>
      </c>
      <c r="B429" s="39">
        <v>82.843193054199219</v>
      </c>
      <c r="C429" s="39">
        <v>85.835603357122793</v>
      </c>
      <c r="D429" s="39">
        <v>82.634420771541116</v>
      </c>
      <c r="E429" s="39">
        <v>84.980634402590397</v>
      </c>
      <c r="F429" s="39">
        <v>669400</v>
      </c>
    </row>
    <row r="430" spans="1:6">
      <c r="A430" s="41">
        <v>44452</v>
      </c>
      <c r="B430" s="39">
        <v>84.503433227539062</v>
      </c>
      <c r="C430" s="39">
        <v>84.871274432124963</v>
      </c>
      <c r="D430" s="39">
        <v>81.501079290189011</v>
      </c>
      <c r="E430" s="39">
        <v>83.469507957870306</v>
      </c>
      <c r="F430" s="39">
        <v>1199200</v>
      </c>
    </row>
    <row r="431" spans="1:6">
      <c r="A431" s="41">
        <v>44453</v>
      </c>
      <c r="B431" s="39">
        <v>83.807525634765625</v>
      </c>
      <c r="C431" s="39">
        <v>85.080046709794871</v>
      </c>
      <c r="D431" s="39">
        <v>83.340270143348093</v>
      </c>
      <c r="E431" s="39">
        <v>84.702261801079132</v>
      </c>
      <c r="F431" s="39">
        <v>631700</v>
      </c>
    </row>
    <row r="432" spans="1:6">
      <c r="A432" s="41">
        <v>44454</v>
      </c>
      <c r="B432" s="39">
        <v>83.658401489257812</v>
      </c>
      <c r="C432" s="39">
        <v>83.777695601062845</v>
      </c>
      <c r="D432" s="39">
        <v>82.336169461375988</v>
      </c>
      <c r="E432" s="39">
        <v>83.360151040097222</v>
      </c>
      <c r="F432" s="39">
        <v>558700</v>
      </c>
    </row>
    <row r="433" spans="1:6">
      <c r="A433" s="41">
        <v>44455</v>
      </c>
      <c r="B433" s="39">
        <v>82.704010009765625</v>
      </c>
      <c r="C433" s="39">
        <v>82.942605816292954</v>
      </c>
      <c r="D433" s="39">
        <v>81.610430094798843</v>
      </c>
      <c r="E433" s="39">
        <v>82.137340228748258</v>
      </c>
      <c r="F433" s="39">
        <v>610100</v>
      </c>
    </row>
    <row r="434" spans="1:6">
      <c r="A434" s="41">
        <v>44456</v>
      </c>
      <c r="B434" s="39">
        <v>84.722152709960938</v>
      </c>
      <c r="C434" s="39">
        <v>84.821567000900799</v>
      </c>
      <c r="D434" s="39">
        <v>82.48529703210508</v>
      </c>
      <c r="E434" s="39">
        <v>82.525064265445877</v>
      </c>
      <c r="F434" s="39">
        <v>1361100</v>
      </c>
    </row>
    <row r="435" spans="1:6">
      <c r="A435" s="41">
        <v>44459</v>
      </c>
      <c r="B435" s="39">
        <v>80.397567749023438</v>
      </c>
      <c r="C435" s="39">
        <v>81.520963664101743</v>
      </c>
      <c r="D435" s="39">
        <v>79.035568430440108</v>
      </c>
      <c r="E435" s="39">
        <v>81.073595555972375</v>
      </c>
      <c r="F435" s="39">
        <v>1250100</v>
      </c>
    </row>
    <row r="436" spans="1:6">
      <c r="A436" s="41">
        <v>44460</v>
      </c>
      <c r="B436" s="39">
        <v>81.30224609375</v>
      </c>
      <c r="C436" s="39">
        <v>81.938506654446158</v>
      </c>
      <c r="D436" s="39">
        <v>80.397566190344961</v>
      </c>
      <c r="E436" s="39">
        <v>81.71979066455232</v>
      </c>
      <c r="F436" s="39">
        <v>485700</v>
      </c>
    </row>
    <row r="437" spans="1:6">
      <c r="A437" s="41">
        <v>44461</v>
      </c>
      <c r="B437" s="39">
        <v>82.763656616210938</v>
      </c>
      <c r="C437" s="39">
        <v>83.509275144284913</v>
      </c>
      <c r="D437" s="39">
        <v>81.71978764297782</v>
      </c>
      <c r="E437" s="39">
        <v>82.107508670790367</v>
      </c>
      <c r="F437" s="39">
        <v>740400</v>
      </c>
    </row>
    <row r="438" spans="1:6">
      <c r="A438" s="41">
        <v>44462</v>
      </c>
      <c r="B438" s="39">
        <v>82.584709167480469</v>
      </c>
      <c r="C438" s="39">
        <v>83.51922016453652</v>
      </c>
      <c r="D438" s="39">
        <v>82.047862908628517</v>
      </c>
      <c r="E438" s="39">
        <v>83.280616770719647</v>
      </c>
      <c r="F438" s="39">
        <v>635100</v>
      </c>
    </row>
    <row r="439" spans="1:6">
      <c r="A439" s="41">
        <v>44463</v>
      </c>
      <c r="B439" s="39">
        <v>80.069496154785156</v>
      </c>
      <c r="C439" s="39">
        <v>81.520966104515878</v>
      </c>
      <c r="D439" s="39">
        <v>79.890547389211534</v>
      </c>
      <c r="E439" s="39">
        <v>81.342017338942256</v>
      </c>
      <c r="F439" s="39">
        <v>998100</v>
      </c>
    </row>
    <row r="440" spans="1:6">
      <c r="A440" s="41">
        <v>44466</v>
      </c>
      <c r="B440" s="39">
        <v>81.580612182617188</v>
      </c>
      <c r="C440" s="39">
        <v>81.739681121134069</v>
      </c>
      <c r="D440" s="39">
        <v>78.667728613240783</v>
      </c>
      <c r="E440" s="39">
        <v>79.830899367878231</v>
      </c>
      <c r="F440" s="39">
        <v>806200</v>
      </c>
    </row>
    <row r="441" spans="1:6">
      <c r="A441" s="41">
        <v>44467</v>
      </c>
      <c r="B441" s="39">
        <v>79.234390258789062</v>
      </c>
      <c r="C441" s="39">
        <v>80.626212987922003</v>
      </c>
      <c r="D441" s="39">
        <v>78.88643647271175</v>
      </c>
      <c r="E441" s="39">
        <v>80.427384420113157</v>
      </c>
      <c r="F441" s="39">
        <v>819500</v>
      </c>
    </row>
    <row r="442" spans="1:6">
      <c r="A442" s="41">
        <v>44468</v>
      </c>
      <c r="B442" s="39">
        <v>77.9022216796875</v>
      </c>
      <c r="C442" s="39">
        <v>79.860714158108905</v>
      </c>
      <c r="D442" s="39">
        <v>77.713329232076205</v>
      </c>
      <c r="E442" s="39">
        <v>79.791123401329529</v>
      </c>
      <c r="F442" s="39">
        <v>962000</v>
      </c>
    </row>
    <row r="443" spans="1:6">
      <c r="A443" s="41">
        <v>44469</v>
      </c>
      <c r="B443" s="39">
        <v>79.482933044433594</v>
      </c>
      <c r="C443" s="39">
        <v>80.168904525912112</v>
      </c>
      <c r="D443" s="39">
        <v>78.657787627598495</v>
      </c>
      <c r="E443" s="39">
        <v>78.737314507113112</v>
      </c>
      <c r="F443" s="39">
        <v>746400</v>
      </c>
    </row>
    <row r="444" spans="1:6">
      <c r="A444" s="41">
        <v>44470</v>
      </c>
      <c r="B444" s="39">
        <v>80.586456298828125</v>
      </c>
      <c r="C444" s="39">
        <v>81.113358898786473</v>
      </c>
      <c r="D444" s="39">
        <v>79.15487373672849</v>
      </c>
      <c r="E444" s="39">
        <v>80.327980643830429</v>
      </c>
      <c r="F444" s="39">
        <v>953500</v>
      </c>
    </row>
    <row r="445" spans="1:6">
      <c r="A445" s="41">
        <v>44473</v>
      </c>
      <c r="B445" s="39">
        <v>76.848419189453125</v>
      </c>
      <c r="C445" s="39">
        <v>79.761302537292181</v>
      </c>
      <c r="D445" s="39">
        <v>76.311572940024803</v>
      </c>
      <c r="E445" s="39">
        <v>79.532642851770831</v>
      </c>
      <c r="F445" s="39">
        <v>1495600</v>
      </c>
    </row>
    <row r="446" spans="1:6">
      <c r="A446" s="41">
        <v>44474</v>
      </c>
      <c r="B446" s="39">
        <v>77.256027221679688</v>
      </c>
      <c r="C446" s="39">
        <v>78.240241644712228</v>
      </c>
      <c r="D446" s="39">
        <v>76.749004452616134</v>
      </c>
      <c r="E446" s="39">
        <v>77.12678939556821</v>
      </c>
      <c r="F446" s="39">
        <v>651000</v>
      </c>
    </row>
    <row r="447" spans="1:6">
      <c r="A447" s="41">
        <v>44475</v>
      </c>
      <c r="B447" s="39">
        <v>77.23614501953125</v>
      </c>
      <c r="C447" s="39">
        <v>77.892285419752298</v>
      </c>
      <c r="D447" s="39">
        <v>75.118583417634127</v>
      </c>
      <c r="E447" s="39">
        <v>75.605726346467591</v>
      </c>
      <c r="F447" s="39">
        <v>1376500</v>
      </c>
    </row>
    <row r="448" spans="1:6">
      <c r="A448" s="41">
        <v>44476</v>
      </c>
      <c r="B448" s="39">
        <v>78.936149597167969</v>
      </c>
      <c r="C448" s="39">
        <v>79.78118241103661</v>
      </c>
      <c r="D448" s="39">
        <v>78.289945356624699</v>
      </c>
      <c r="E448" s="39">
        <v>78.58819580143664</v>
      </c>
      <c r="F448" s="39">
        <v>1489900</v>
      </c>
    </row>
    <row r="449" spans="1:6">
      <c r="A449" s="41">
        <v>44477</v>
      </c>
      <c r="B449" s="39">
        <v>78.071235656738281</v>
      </c>
      <c r="C449" s="39">
        <v>79.244342537324258</v>
      </c>
      <c r="D449" s="39">
        <v>77.425031364200976</v>
      </c>
      <c r="E449" s="39">
        <v>78.886445008682813</v>
      </c>
      <c r="F449" s="39">
        <v>652500</v>
      </c>
    </row>
    <row r="450" spans="1:6">
      <c r="A450" s="41">
        <v>44480</v>
      </c>
      <c r="B450" s="39">
        <v>80.914527893066406</v>
      </c>
      <c r="C450" s="39">
        <v>82.306350762774784</v>
      </c>
      <c r="D450" s="39">
        <v>78.538490619097388</v>
      </c>
      <c r="E450" s="39">
        <v>78.777086441531139</v>
      </c>
      <c r="F450" s="39">
        <v>1708500</v>
      </c>
    </row>
    <row r="451" spans="1:6">
      <c r="A451" s="41">
        <v>44481</v>
      </c>
      <c r="B451" s="39">
        <v>85.368354797363281</v>
      </c>
      <c r="C451" s="39">
        <v>85.597006902201073</v>
      </c>
      <c r="D451" s="39">
        <v>81.918625137629931</v>
      </c>
      <c r="E451" s="39">
        <v>82.107510010142889</v>
      </c>
      <c r="F451" s="39">
        <v>2800500</v>
      </c>
    </row>
    <row r="452" spans="1:6">
      <c r="A452" s="41">
        <v>44482</v>
      </c>
      <c r="B452" s="39">
        <v>87.515731811523438</v>
      </c>
      <c r="C452" s="39">
        <v>87.764271323692853</v>
      </c>
      <c r="D452" s="39">
        <v>85.915136746366471</v>
      </c>
      <c r="E452" s="39">
        <v>86.700522515000699</v>
      </c>
      <c r="F452" s="39">
        <v>1993000</v>
      </c>
    </row>
    <row r="453" spans="1:6">
      <c r="A453" s="41">
        <v>44483</v>
      </c>
      <c r="B453" s="39">
        <v>86.959007263183594</v>
      </c>
      <c r="C453" s="39">
        <v>88.301119135574837</v>
      </c>
      <c r="D453" s="39">
        <v>85.954905492581261</v>
      </c>
      <c r="E453" s="39">
        <v>87.982988857787106</v>
      </c>
      <c r="F453" s="39">
        <v>2339400</v>
      </c>
    </row>
    <row r="454" spans="1:6">
      <c r="A454" s="41">
        <v>44484</v>
      </c>
      <c r="B454" s="39">
        <v>86.640876770019531</v>
      </c>
      <c r="C454" s="39">
        <v>87.923341582395096</v>
      </c>
      <c r="D454" s="39">
        <v>86.193501090451804</v>
      </c>
      <c r="E454" s="39">
        <v>87.277137324013353</v>
      </c>
      <c r="F454" s="39">
        <v>1881700</v>
      </c>
    </row>
    <row r="455" spans="1:6">
      <c r="A455" s="41">
        <v>44487</v>
      </c>
      <c r="B455" s="39">
        <v>87.466026306152344</v>
      </c>
      <c r="C455" s="39">
        <v>87.734445635362988</v>
      </c>
      <c r="D455" s="39">
        <v>85.557237135228505</v>
      </c>
      <c r="E455" s="39">
        <v>86.084139674480966</v>
      </c>
      <c r="F455" s="39">
        <v>1339400</v>
      </c>
    </row>
    <row r="456" spans="1:6">
      <c r="A456" s="41">
        <v>44488</v>
      </c>
      <c r="B456" s="39">
        <v>90.97540283203125</v>
      </c>
      <c r="C456" s="39">
        <v>92.158445722027324</v>
      </c>
      <c r="D456" s="39">
        <v>88.012808585401871</v>
      </c>
      <c r="E456" s="39">
        <v>88.480064069904628</v>
      </c>
      <c r="F456" s="39">
        <v>2666900</v>
      </c>
    </row>
    <row r="457" spans="1:6">
      <c r="A457" s="41">
        <v>44489</v>
      </c>
      <c r="B457" s="39">
        <v>89.62335205078125</v>
      </c>
      <c r="C457" s="39">
        <v>90.478328602759447</v>
      </c>
      <c r="D457" s="39">
        <v>88.490012451149539</v>
      </c>
      <c r="E457" s="39">
        <v>90.478328602759447</v>
      </c>
      <c r="F457" s="39">
        <v>1589300</v>
      </c>
    </row>
    <row r="458" spans="1:6">
      <c r="A458" s="41">
        <v>44490</v>
      </c>
      <c r="B458" s="39">
        <v>89.633293151855469</v>
      </c>
      <c r="C458" s="39">
        <v>90.657274726620741</v>
      </c>
      <c r="D458" s="39">
        <v>88.49994600031809</v>
      </c>
      <c r="E458" s="39">
        <v>88.49994600031809</v>
      </c>
      <c r="F458" s="39">
        <v>888200</v>
      </c>
    </row>
    <row r="459" spans="1:6">
      <c r="A459" s="41">
        <v>44491</v>
      </c>
      <c r="B459" s="39">
        <v>87.92333984375</v>
      </c>
      <c r="C459" s="39">
        <v>89.474223965338879</v>
      </c>
      <c r="D459" s="39">
        <v>87.078299438440425</v>
      </c>
      <c r="E459" s="39">
        <v>89.474223965338879</v>
      </c>
      <c r="F459" s="39">
        <v>1148400</v>
      </c>
    </row>
    <row r="460" spans="1:6">
      <c r="A460" s="41">
        <v>44494</v>
      </c>
      <c r="B460" s="39">
        <v>90.4683837890625</v>
      </c>
      <c r="C460" s="39">
        <v>90.716923304966514</v>
      </c>
      <c r="D460" s="39">
        <v>88.609305479563773</v>
      </c>
      <c r="E460" s="39">
        <v>88.927435756527956</v>
      </c>
      <c r="F460" s="39">
        <v>2204900</v>
      </c>
    </row>
    <row r="461" spans="1:6">
      <c r="A461" s="41">
        <v>44495</v>
      </c>
      <c r="B461" s="39">
        <v>89.166038513183594</v>
      </c>
      <c r="C461" s="39">
        <v>91.482421020324793</v>
      </c>
      <c r="D461" s="39">
        <v>88.301118273505963</v>
      </c>
      <c r="E461" s="39">
        <v>90.985341992082837</v>
      </c>
      <c r="F461" s="39">
        <v>2211300</v>
      </c>
    </row>
    <row r="462" spans="1:6">
      <c r="A462" s="41">
        <v>44496</v>
      </c>
      <c r="B462" s="39">
        <v>93.639747619628906</v>
      </c>
      <c r="C462" s="39">
        <v>96.542687257621921</v>
      </c>
      <c r="D462" s="39">
        <v>93.092957667174389</v>
      </c>
      <c r="E462" s="39">
        <v>93.609924092190269</v>
      </c>
      <c r="F462" s="39">
        <v>4701100</v>
      </c>
    </row>
    <row r="463" spans="1:6">
      <c r="A463" s="41">
        <v>44497</v>
      </c>
      <c r="B463" s="39">
        <v>97.427490234375</v>
      </c>
      <c r="C463" s="39">
        <v>97.52690452377179</v>
      </c>
      <c r="D463" s="39">
        <v>94.007584068392006</v>
      </c>
      <c r="E463" s="39">
        <v>94.25612358429602</v>
      </c>
      <c r="F463" s="39">
        <v>3827100</v>
      </c>
    </row>
    <row r="464" spans="1:6">
      <c r="A464" s="41">
        <v>44498</v>
      </c>
      <c r="B464" s="39">
        <v>98.521064758300781</v>
      </c>
      <c r="C464" s="39">
        <v>98.749724455293588</v>
      </c>
      <c r="D464" s="39">
        <v>97.089482272829073</v>
      </c>
      <c r="E464" s="39">
        <v>97.198832684198223</v>
      </c>
      <c r="F464" s="39">
        <v>1530800</v>
      </c>
    </row>
    <row r="465" spans="1:6">
      <c r="A465" s="41">
        <v>44501</v>
      </c>
      <c r="B465" s="39">
        <v>99.942710876464844</v>
      </c>
      <c r="C465" s="39">
        <v>100.9865798976077</v>
      </c>
      <c r="D465" s="39">
        <v>98.869018326402056</v>
      </c>
      <c r="E465" s="39">
        <v>99.415808306014839</v>
      </c>
      <c r="F465" s="39">
        <v>2082800</v>
      </c>
    </row>
    <row r="466" spans="1:6">
      <c r="A466" s="41">
        <v>44502</v>
      </c>
      <c r="B466" s="39">
        <v>96.731582641601562</v>
      </c>
      <c r="C466" s="39">
        <v>99.395926555976658</v>
      </c>
      <c r="D466" s="39">
        <v>95.836838867217381</v>
      </c>
      <c r="E466" s="39">
        <v>99.395926555976658</v>
      </c>
      <c r="F466" s="39">
        <v>2257700</v>
      </c>
    </row>
    <row r="467" spans="1:6">
      <c r="A467" s="41">
        <v>44503</v>
      </c>
      <c r="B467" s="39">
        <v>96.582450866699219</v>
      </c>
      <c r="C467" s="39">
        <v>96.781279432048706</v>
      </c>
      <c r="D467" s="39">
        <v>92.476573487302474</v>
      </c>
      <c r="E467" s="39">
        <v>94.425129834880622</v>
      </c>
      <c r="F467" s="39">
        <v>1530000</v>
      </c>
    </row>
    <row r="468" spans="1:6">
      <c r="A468" s="41">
        <v>44504</v>
      </c>
      <c r="B468" s="39">
        <v>96.791229248046875</v>
      </c>
      <c r="C468" s="39">
        <v>96.910530945684513</v>
      </c>
      <c r="D468" s="39">
        <v>94.991805588084148</v>
      </c>
      <c r="E468" s="39">
        <v>96.691814959094202</v>
      </c>
      <c r="F468" s="39">
        <v>1039700</v>
      </c>
    </row>
    <row r="469" spans="1:6">
      <c r="A469" s="41">
        <v>44505</v>
      </c>
      <c r="B469" s="39">
        <v>95.200576782226562</v>
      </c>
      <c r="C469" s="39">
        <v>96.880698725348509</v>
      </c>
      <c r="D469" s="39">
        <v>93.898224581912558</v>
      </c>
      <c r="E469" s="39">
        <v>96.821051669623472</v>
      </c>
      <c r="F469" s="39">
        <v>913700</v>
      </c>
    </row>
    <row r="470" spans="1:6">
      <c r="A470" s="41">
        <v>44508</v>
      </c>
      <c r="B470" s="39">
        <v>96.035667419433594</v>
      </c>
      <c r="C470" s="39">
        <v>96.821053199796282</v>
      </c>
      <c r="D470" s="39">
        <v>95.439174098284141</v>
      </c>
      <c r="E470" s="39">
        <v>96.582457388301322</v>
      </c>
      <c r="F470" s="39">
        <v>1593500</v>
      </c>
    </row>
    <row r="471" spans="1:6">
      <c r="A471" s="41">
        <v>44509</v>
      </c>
      <c r="B471" s="39">
        <v>95.270172119140625</v>
      </c>
      <c r="C471" s="39">
        <v>96.831000025797636</v>
      </c>
      <c r="D471" s="39">
        <v>93.510508042474385</v>
      </c>
      <c r="E471" s="39">
        <v>96.642107560494935</v>
      </c>
      <c r="F471" s="39">
        <v>1031200</v>
      </c>
    </row>
    <row r="472" spans="1:6">
      <c r="A472" s="41">
        <v>44510</v>
      </c>
      <c r="B472" s="39">
        <v>92.645591735839844</v>
      </c>
      <c r="C472" s="39">
        <v>94.38536833515542</v>
      </c>
      <c r="D472" s="39">
        <v>91.800551319741615</v>
      </c>
      <c r="E472" s="39">
        <v>93.739164081301965</v>
      </c>
      <c r="F472" s="39">
        <v>1458500</v>
      </c>
    </row>
    <row r="473" spans="1:6">
      <c r="A473" s="41">
        <v>44511</v>
      </c>
      <c r="B473" s="39">
        <v>98.043876647949219</v>
      </c>
      <c r="C473" s="39">
        <v>98.580722943601728</v>
      </c>
      <c r="D473" s="39">
        <v>93.947942457873367</v>
      </c>
      <c r="E473" s="39">
        <v>94.365487048439348</v>
      </c>
      <c r="F473" s="39">
        <v>2359000</v>
      </c>
    </row>
    <row r="474" spans="1:6">
      <c r="A474" s="41">
        <v>44512</v>
      </c>
      <c r="B474" s="39">
        <v>99.028083801269531</v>
      </c>
      <c r="C474" s="39">
        <v>99.226912377006599</v>
      </c>
      <c r="D474" s="39">
        <v>97.636261016638059</v>
      </c>
      <c r="E474" s="39">
        <v>98.16316356868289</v>
      </c>
      <c r="F474" s="39">
        <v>1507400</v>
      </c>
    </row>
    <row r="475" spans="1:6">
      <c r="A475" s="41">
        <v>44515</v>
      </c>
      <c r="B475" s="39">
        <v>97.427490234375</v>
      </c>
      <c r="C475" s="39">
        <v>99.087732380256057</v>
      </c>
      <c r="D475" s="39">
        <v>96.85087673711989</v>
      </c>
      <c r="E475" s="39">
        <v>99.087732380256057</v>
      </c>
      <c r="F475" s="39">
        <v>1365000</v>
      </c>
    </row>
    <row r="476" spans="1:6">
      <c r="A476" s="41">
        <v>44516</v>
      </c>
      <c r="B476" s="39">
        <v>96.940353393554688</v>
      </c>
      <c r="C476" s="39">
        <v>97.924567737418641</v>
      </c>
      <c r="D476" s="39">
        <v>95.677768424971816</v>
      </c>
      <c r="E476" s="39">
        <v>97.695908049034102</v>
      </c>
      <c r="F476" s="39">
        <v>1541200</v>
      </c>
    </row>
    <row r="477" spans="1:6">
      <c r="A477" s="41">
        <v>44517</v>
      </c>
      <c r="B477" s="39">
        <v>96.572517395019531</v>
      </c>
      <c r="C477" s="39">
        <v>98.183056250354795</v>
      </c>
      <c r="D477" s="39">
        <v>96.055558519443991</v>
      </c>
      <c r="E477" s="39">
        <v>97.228665382875363</v>
      </c>
      <c r="F477" s="39">
        <v>1059100</v>
      </c>
    </row>
    <row r="478" spans="1:6">
      <c r="A478" s="41">
        <v>44518</v>
      </c>
      <c r="B478" s="39">
        <v>94.4549560546875</v>
      </c>
      <c r="C478" s="39">
        <v>97.10935616039653</v>
      </c>
      <c r="D478" s="39">
        <v>93.560212315453043</v>
      </c>
      <c r="E478" s="39">
        <v>97.10935616039653</v>
      </c>
      <c r="F478" s="39">
        <v>1481400</v>
      </c>
    </row>
    <row r="479" spans="1:6">
      <c r="A479" s="41">
        <v>44519</v>
      </c>
      <c r="B479" s="39">
        <v>97.546791076660156</v>
      </c>
      <c r="C479" s="39">
        <v>98.421647434429545</v>
      </c>
      <c r="D479" s="39">
        <v>94.315777398257168</v>
      </c>
      <c r="E479" s="39">
        <v>94.315777398257168</v>
      </c>
      <c r="F479" s="39">
        <v>1778900</v>
      </c>
    </row>
    <row r="480" spans="1:6">
      <c r="A480" s="41">
        <v>44522</v>
      </c>
      <c r="B480" s="39">
        <v>95.469001770019531</v>
      </c>
      <c r="C480" s="39">
        <v>100.7678662989324</v>
      </c>
      <c r="D480" s="39">
        <v>95.101168124838992</v>
      </c>
      <c r="E480" s="39">
        <v>98.153233208925187</v>
      </c>
      <c r="F480" s="39">
        <v>3119700</v>
      </c>
    </row>
    <row r="481" spans="1:6">
      <c r="A481" s="41">
        <v>44523</v>
      </c>
      <c r="B481" s="39">
        <v>92.914009094238281</v>
      </c>
      <c r="C481" s="39">
        <v>95.83683614595914</v>
      </c>
      <c r="D481" s="39">
        <v>91.303470346077503</v>
      </c>
      <c r="E481" s="39">
        <v>94.822790702175865</v>
      </c>
      <c r="F481" s="39">
        <v>2046500</v>
      </c>
    </row>
    <row r="482" spans="1:6">
      <c r="A482" s="41">
        <v>44524</v>
      </c>
      <c r="B482" s="39">
        <v>93.152603149414062</v>
      </c>
      <c r="C482" s="39">
        <v>93.599978807912407</v>
      </c>
      <c r="D482" s="39">
        <v>90.289430791284332</v>
      </c>
      <c r="E482" s="39">
        <v>92.675411548804306</v>
      </c>
      <c r="F482" s="39">
        <v>1444600</v>
      </c>
    </row>
    <row r="483" spans="1:6">
      <c r="A483" s="41">
        <v>44526</v>
      </c>
      <c r="B483" s="39">
        <v>90.140312194824219</v>
      </c>
      <c r="C483" s="39">
        <v>92.2479300760413</v>
      </c>
      <c r="D483" s="39">
        <v>88.987092754598336</v>
      </c>
      <c r="E483" s="39">
        <v>90.418675246436536</v>
      </c>
      <c r="F483" s="39">
        <v>1086000</v>
      </c>
    </row>
    <row r="484" spans="1:6">
      <c r="A484" s="41">
        <v>44529</v>
      </c>
      <c r="B484" s="39">
        <v>91.790611267089844</v>
      </c>
      <c r="C484" s="39">
        <v>92.068974297480835</v>
      </c>
      <c r="D484" s="39">
        <v>89.474221273756015</v>
      </c>
      <c r="E484" s="39">
        <v>91.40289024835613</v>
      </c>
      <c r="F484" s="39">
        <v>939600</v>
      </c>
    </row>
    <row r="485" spans="1:6">
      <c r="A485" s="41">
        <v>44530</v>
      </c>
      <c r="B485" s="39">
        <v>88.967201232910156</v>
      </c>
      <c r="C485" s="39">
        <v>92.14851152457237</v>
      </c>
      <c r="D485" s="39">
        <v>87.734447382113316</v>
      </c>
      <c r="E485" s="39">
        <v>90.875990441837061</v>
      </c>
      <c r="F485" s="39">
        <v>2134200</v>
      </c>
    </row>
    <row r="486" spans="1:6">
      <c r="A486" s="41">
        <v>44531</v>
      </c>
      <c r="B486" s="39">
        <v>85.895256042480469</v>
      </c>
      <c r="C486" s="39">
        <v>91.064874808697681</v>
      </c>
      <c r="D486" s="39">
        <v>85.835601402490823</v>
      </c>
      <c r="E486" s="39">
        <v>90.93563699423062</v>
      </c>
      <c r="F486" s="39">
        <v>1576200</v>
      </c>
    </row>
    <row r="487" spans="1:6">
      <c r="A487" s="41">
        <v>44532</v>
      </c>
      <c r="B487" s="39">
        <v>85.825668334960938</v>
      </c>
      <c r="C487" s="39">
        <v>87.306961741231703</v>
      </c>
      <c r="D487" s="39">
        <v>84.513379980885162</v>
      </c>
      <c r="E487" s="39">
        <v>85.895259096736766</v>
      </c>
      <c r="F487" s="39">
        <v>1521800</v>
      </c>
    </row>
    <row r="488" spans="1:6">
      <c r="A488" s="41">
        <v>44533</v>
      </c>
      <c r="B488" s="39">
        <v>81.680030822753906</v>
      </c>
      <c r="C488" s="39">
        <v>87.048478342808494</v>
      </c>
      <c r="D488" s="39">
        <v>80.984115621574276</v>
      </c>
      <c r="E488" s="39">
        <v>86.601110244411998</v>
      </c>
      <c r="F488" s="39">
        <v>2012100</v>
      </c>
    </row>
    <row r="489" spans="1:6">
      <c r="A489" s="41">
        <v>44536</v>
      </c>
      <c r="B489" s="39">
        <v>82.813369750976562</v>
      </c>
      <c r="C489" s="39">
        <v>83.022142034201991</v>
      </c>
      <c r="D489" s="39">
        <v>79.701650156900939</v>
      </c>
      <c r="E489" s="39">
        <v>82.684124348391222</v>
      </c>
      <c r="F489" s="39">
        <v>2250300</v>
      </c>
    </row>
    <row r="490" spans="1:6">
      <c r="A490" s="41">
        <v>44537</v>
      </c>
      <c r="B490" s="39">
        <v>85.825668334960938</v>
      </c>
      <c r="C490" s="39">
        <v>86.74029194253589</v>
      </c>
      <c r="D490" s="39">
        <v>85.199343894154296</v>
      </c>
      <c r="E490" s="39">
        <v>85.437947292949289</v>
      </c>
      <c r="F490" s="39">
        <v>1283200</v>
      </c>
    </row>
    <row r="491" spans="1:6">
      <c r="A491" s="41">
        <v>44538</v>
      </c>
      <c r="B491" s="39">
        <v>86.442047119140625</v>
      </c>
      <c r="C491" s="39">
        <v>87.088251426209027</v>
      </c>
      <c r="D491" s="39">
        <v>85.428009155070356</v>
      </c>
      <c r="E491" s="39">
        <v>86.49175806000153</v>
      </c>
      <c r="F491" s="39">
        <v>942000</v>
      </c>
    </row>
    <row r="492" spans="1:6">
      <c r="A492" s="41">
        <v>44539</v>
      </c>
      <c r="B492" s="39">
        <v>83.320381164550781</v>
      </c>
      <c r="C492" s="39">
        <v>86.929179628644107</v>
      </c>
      <c r="D492" s="39">
        <v>83.111608890691258</v>
      </c>
      <c r="E492" s="39">
        <v>85.915134201527863</v>
      </c>
      <c r="F492" s="39">
        <v>1302800</v>
      </c>
    </row>
    <row r="493" spans="1:6">
      <c r="A493" s="41">
        <v>44540</v>
      </c>
      <c r="B493" s="39">
        <v>83.151382446289062</v>
      </c>
      <c r="C493" s="39">
        <v>85.298767571876127</v>
      </c>
      <c r="D493" s="39">
        <v>82.425651284551748</v>
      </c>
      <c r="E493" s="39">
        <v>84.244954833656848</v>
      </c>
      <c r="F493" s="39">
        <v>1279700</v>
      </c>
    </row>
    <row r="494" spans="1:6">
      <c r="A494" s="41">
        <v>44543</v>
      </c>
      <c r="B494" s="39">
        <v>83.300506591796875</v>
      </c>
      <c r="C494" s="39">
        <v>84.901101710426772</v>
      </c>
      <c r="D494" s="39">
        <v>82.544944325809197</v>
      </c>
      <c r="E494" s="39">
        <v>83.061910775893907</v>
      </c>
      <c r="F494" s="39">
        <v>1300600</v>
      </c>
    </row>
    <row r="495" spans="1:6">
      <c r="A495" s="41">
        <v>44544</v>
      </c>
      <c r="B495" s="39">
        <v>80.089370727539062</v>
      </c>
      <c r="C495" s="39">
        <v>81.501080934404172</v>
      </c>
      <c r="D495" s="39">
        <v>78.598133640498048</v>
      </c>
      <c r="E495" s="39">
        <v>81.10341619422843</v>
      </c>
      <c r="F495" s="39">
        <v>1832700</v>
      </c>
    </row>
    <row r="496" spans="1:6">
      <c r="A496" s="41">
        <v>44545</v>
      </c>
      <c r="B496" s="39">
        <v>80.954292297363281</v>
      </c>
      <c r="C496" s="39">
        <v>81.033826763668742</v>
      </c>
      <c r="D496" s="39">
        <v>77.474739037153341</v>
      </c>
      <c r="E496" s="39">
        <v>79.751361937583894</v>
      </c>
      <c r="F496" s="39">
        <v>1468900</v>
      </c>
    </row>
    <row r="497" spans="1:6">
      <c r="A497" s="41">
        <v>44546</v>
      </c>
      <c r="B497" s="39">
        <v>78.309829711914062</v>
      </c>
      <c r="C497" s="39">
        <v>83.002257128258549</v>
      </c>
      <c r="D497" s="39">
        <v>77.57415484624714</v>
      </c>
      <c r="E497" s="39">
        <v>82.515121786043565</v>
      </c>
      <c r="F497" s="39">
        <v>2078000</v>
      </c>
    </row>
    <row r="498" spans="1:6">
      <c r="A498" s="41">
        <v>44547</v>
      </c>
      <c r="B498" s="39">
        <v>78.578254699707031</v>
      </c>
      <c r="C498" s="39">
        <v>79.403407717500414</v>
      </c>
      <c r="D498" s="39">
        <v>75.34724097480867</v>
      </c>
      <c r="E498" s="39">
        <v>76.480580566910163</v>
      </c>
      <c r="F498" s="39">
        <v>2063200</v>
      </c>
    </row>
    <row r="499" spans="1:6">
      <c r="A499" s="41">
        <v>44550</v>
      </c>
      <c r="B499" s="39">
        <v>73.3291015625</v>
      </c>
      <c r="C499" s="39">
        <v>75.416831998102595</v>
      </c>
      <c r="D499" s="39">
        <v>73.140209101552543</v>
      </c>
      <c r="E499" s="39">
        <v>74.293436106543481</v>
      </c>
      <c r="F499" s="39">
        <v>2953800</v>
      </c>
    </row>
    <row r="500" spans="1:6">
      <c r="A500" s="41">
        <v>44551</v>
      </c>
      <c r="B500" s="39">
        <v>77.48468017578125</v>
      </c>
      <c r="C500" s="39">
        <v>77.623861694794783</v>
      </c>
      <c r="D500" s="39">
        <v>74.681154802356687</v>
      </c>
      <c r="E500" s="39">
        <v>74.750745561863454</v>
      </c>
      <c r="F500" s="39">
        <v>1959300</v>
      </c>
    </row>
    <row r="501" spans="1:6">
      <c r="A501" s="41">
        <v>44552</v>
      </c>
      <c r="B501" s="39">
        <v>77.355438232421875</v>
      </c>
      <c r="C501" s="39">
        <v>77.594041634098033</v>
      </c>
      <c r="D501" s="39">
        <v>75.953679275489648</v>
      </c>
      <c r="E501" s="39">
        <v>77.047251652953818</v>
      </c>
      <c r="F501" s="39">
        <v>865300</v>
      </c>
    </row>
    <row r="502" spans="1:6">
      <c r="A502" s="41">
        <v>44553</v>
      </c>
      <c r="B502" s="39">
        <v>77.454864501953125</v>
      </c>
      <c r="C502" s="39">
        <v>78.041414165153711</v>
      </c>
      <c r="D502" s="39">
        <v>76.619767718370028</v>
      </c>
      <c r="E502" s="39">
        <v>77.594046035079529</v>
      </c>
      <c r="F502" s="39">
        <v>1056900</v>
      </c>
    </row>
    <row r="503" spans="1:6">
      <c r="A503" s="41">
        <v>44557</v>
      </c>
      <c r="B503" s="39">
        <v>76.729118347167969</v>
      </c>
      <c r="C503" s="39">
        <v>77.444913354358846</v>
      </c>
      <c r="D503" s="39">
        <v>75.834374588179372</v>
      </c>
      <c r="E503" s="39">
        <v>77.106895674374726</v>
      </c>
      <c r="F503" s="39">
        <v>895800</v>
      </c>
    </row>
    <row r="504" spans="1:6">
      <c r="A504" s="41">
        <v>44558</v>
      </c>
      <c r="B504" s="39">
        <v>75.556007385253906</v>
      </c>
      <c r="C504" s="39">
        <v>76.778825052627084</v>
      </c>
      <c r="D504" s="39">
        <v>75.208053605049685</v>
      </c>
      <c r="E504" s="39">
        <v>76.410983865083452</v>
      </c>
      <c r="F504" s="39">
        <v>679700</v>
      </c>
    </row>
    <row r="505" spans="1:6">
      <c r="A505" s="41">
        <v>44559</v>
      </c>
      <c r="B505" s="39">
        <v>75.0191650390625</v>
      </c>
      <c r="C505" s="39">
        <v>75.844318035379303</v>
      </c>
      <c r="D505" s="39">
        <v>74.094597755378075</v>
      </c>
      <c r="E505" s="39">
        <v>75.218001198621693</v>
      </c>
      <c r="F505" s="39">
        <v>1042000</v>
      </c>
    </row>
    <row r="506" spans="1:6">
      <c r="A506" s="41">
        <v>44560</v>
      </c>
      <c r="B506" s="39">
        <v>77.2261962890625</v>
      </c>
      <c r="C506" s="39">
        <v>78.001638341052242</v>
      </c>
      <c r="D506" s="39">
        <v>75.10864240979636</v>
      </c>
      <c r="E506" s="39">
        <v>75.158345760540612</v>
      </c>
      <c r="F506" s="39">
        <v>2014000</v>
      </c>
    </row>
    <row r="507" spans="1:6">
      <c r="A507" s="41">
        <v>44561</v>
      </c>
      <c r="B507" s="39">
        <v>76.520347595214844</v>
      </c>
      <c r="C507" s="39">
        <v>78.230300683236834</v>
      </c>
      <c r="D507" s="39">
        <v>76.490524066790485</v>
      </c>
      <c r="E507" s="39">
        <v>76.868301401539298</v>
      </c>
      <c r="F507" s="39">
        <v>643400</v>
      </c>
    </row>
    <row r="508" spans="1:6">
      <c r="A508" s="41">
        <v>44564</v>
      </c>
      <c r="B508" s="39">
        <v>78.031463623046875</v>
      </c>
      <c r="C508" s="39">
        <v>78.399304833979954</v>
      </c>
      <c r="D508" s="39">
        <v>76.649584533208412</v>
      </c>
      <c r="E508" s="39">
        <v>77.236141729840924</v>
      </c>
      <c r="F508" s="39">
        <v>735100</v>
      </c>
    </row>
    <row r="509" spans="1:6">
      <c r="A509" s="41">
        <v>44565</v>
      </c>
      <c r="B509" s="39">
        <v>75.8741455078125</v>
      </c>
      <c r="C509" s="39">
        <v>78.250182748101778</v>
      </c>
      <c r="D509" s="39">
        <v>74.571800830492464</v>
      </c>
      <c r="E509" s="39">
        <v>78.041410458328471</v>
      </c>
      <c r="F509" s="39">
        <v>1237800</v>
      </c>
    </row>
    <row r="510" spans="1:6">
      <c r="A510" s="41">
        <v>44566</v>
      </c>
      <c r="B510" s="39">
        <v>70.793998718261719</v>
      </c>
      <c r="C510" s="39">
        <v>74.969467367449525</v>
      </c>
      <c r="D510" s="39">
        <v>70.684640718425229</v>
      </c>
      <c r="E510" s="39">
        <v>74.691096722977392</v>
      </c>
      <c r="F510" s="39">
        <v>3333000</v>
      </c>
    </row>
    <row r="511" spans="1:6">
      <c r="A511" s="41">
        <v>44567</v>
      </c>
      <c r="B511" s="39">
        <v>70.217384338378906</v>
      </c>
      <c r="C511" s="39">
        <v>71.370611382746645</v>
      </c>
      <c r="D511" s="39">
        <v>68.447784122208915</v>
      </c>
      <c r="E511" s="39">
        <v>70.585225568356435</v>
      </c>
      <c r="F511" s="39">
        <v>1716500</v>
      </c>
    </row>
    <row r="512" spans="1:6">
      <c r="A512" s="41">
        <v>44568</v>
      </c>
      <c r="B512" s="39">
        <v>70.336685180664062</v>
      </c>
      <c r="C512" s="39">
        <v>72.116229079866145</v>
      </c>
      <c r="D512" s="39">
        <v>69.889317072101932</v>
      </c>
      <c r="E512" s="39">
        <v>70.088145657057481</v>
      </c>
      <c r="F512" s="39">
        <v>1024200</v>
      </c>
    </row>
    <row r="513" spans="1:6">
      <c r="A513" s="41">
        <v>44571</v>
      </c>
      <c r="B513" s="39">
        <v>70.286972045898438</v>
      </c>
      <c r="C513" s="39">
        <v>70.336682982996265</v>
      </c>
      <c r="D513" s="39">
        <v>67.662395365403654</v>
      </c>
      <c r="E513" s="39">
        <v>69.581120731088959</v>
      </c>
      <c r="F513" s="39">
        <v>1527000</v>
      </c>
    </row>
    <row r="514" spans="1:6">
      <c r="A514" s="41">
        <v>44572</v>
      </c>
      <c r="B514" s="39">
        <v>71.489913940429688</v>
      </c>
      <c r="C514" s="39">
        <v>72.136110649580431</v>
      </c>
      <c r="D514" s="39">
        <v>70.048380117742667</v>
      </c>
      <c r="E514" s="39">
        <v>70.286975942426395</v>
      </c>
      <c r="F514" s="39">
        <v>1623700</v>
      </c>
    </row>
    <row r="515" spans="1:6">
      <c r="A515" s="41">
        <v>44573</v>
      </c>
      <c r="B515" s="39">
        <v>71.808036804199219</v>
      </c>
      <c r="C515" s="39">
        <v>73.249562892891504</v>
      </c>
      <c r="D515" s="39">
        <v>71.032587180778322</v>
      </c>
      <c r="E515" s="39">
        <v>72.285228404186512</v>
      </c>
      <c r="F515" s="39">
        <v>1804300</v>
      </c>
    </row>
    <row r="516" spans="1:6">
      <c r="A516" s="41">
        <v>44574</v>
      </c>
      <c r="B516" s="39">
        <v>70.217384338378906</v>
      </c>
      <c r="C516" s="39">
        <v>73.567699888146137</v>
      </c>
      <c r="D516" s="39">
        <v>70.117970044684142</v>
      </c>
      <c r="E516" s="39">
        <v>72.931439306710288</v>
      </c>
      <c r="F516" s="39">
        <v>1116300</v>
      </c>
    </row>
    <row r="517" spans="1:6">
      <c r="A517" s="41">
        <v>44575</v>
      </c>
      <c r="B517" s="39">
        <v>70.038429260253906</v>
      </c>
      <c r="C517" s="39">
        <v>71.221479727568948</v>
      </c>
      <c r="D517" s="39">
        <v>68.765908212128693</v>
      </c>
      <c r="E517" s="39">
        <v>69.441935967048181</v>
      </c>
      <c r="F517" s="39">
        <v>1193700</v>
      </c>
    </row>
    <row r="518" spans="1:6">
      <c r="A518" s="41">
        <v>44579</v>
      </c>
      <c r="B518" s="39">
        <v>67.036079406738281</v>
      </c>
      <c r="C518" s="39">
        <v>69.133753555094117</v>
      </c>
      <c r="D518" s="39">
        <v>66.9466012357381</v>
      </c>
      <c r="E518" s="39">
        <v>68.517372817081892</v>
      </c>
      <c r="F518" s="39">
        <v>2158600</v>
      </c>
    </row>
    <row r="519" spans="1:6">
      <c r="A519" s="41">
        <v>44580</v>
      </c>
      <c r="B519" s="39">
        <v>66.548942565917969</v>
      </c>
      <c r="C519" s="39">
        <v>68.189297287257702</v>
      </c>
      <c r="D519" s="39">
        <v>66.459464396944085</v>
      </c>
      <c r="E519" s="39">
        <v>67.205082937489053</v>
      </c>
      <c r="F519" s="39">
        <v>1495700</v>
      </c>
    </row>
    <row r="520" spans="1:6">
      <c r="A520" s="41">
        <v>44581</v>
      </c>
      <c r="B520" s="39">
        <v>66.598648071289062</v>
      </c>
      <c r="C520" s="39">
        <v>69.740191264420389</v>
      </c>
      <c r="D520" s="39">
        <v>66.469410250618822</v>
      </c>
      <c r="E520" s="39">
        <v>67.881112912675647</v>
      </c>
      <c r="F520" s="39">
        <v>1662100</v>
      </c>
    </row>
    <row r="521" spans="1:6">
      <c r="A521" s="41">
        <v>44582</v>
      </c>
      <c r="B521" s="39">
        <v>63.367633819580078</v>
      </c>
      <c r="C521" s="39">
        <v>66.300400735031559</v>
      </c>
      <c r="D521" s="39">
        <v>63.208568688186702</v>
      </c>
      <c r="E521" s="39">
        <v>65.664140209458054</v>
      </c>
      <c r="F521" s="39">
        <v>1804300</v>
      </c>
    </row>
    <row r="522" spans="1:6">
      <c r="A522" s="41">
        <v>44585</v>
      </c>
      <c r="B522" s="39">
        <v>64.043655395507812</v>
      </c>
      <c r="C522" s="39">
        <v>64.202724313381395</v>
      </c>
      <c r="D522" s="39">
        <v>58.993334817785502</v>
      </c>
      <c r="E522" s="39">
        <v>60.285739436214442</v>
      </c>
      <c r="F522" s="39">
        <v>2575100</v>
      </c>
    </row>
    <row r="523" spans="1:6">
      <c r="A523" s="41">
        <v>44586</v>
      </c>
      <c r="B523" s="39">
        <v>62.005638122558587</v>
      </c>
      <c r="C523" s="39">
        <v>63.178744955334793</v>
      </c>
      <c r="D523" s="39">
        <v>61.100954425323941</v>
      </c>
      <c r="E523" s="39">
        <v>61.767042308129717</v>
      </c>
      <c r="F523" s="39">
        <v>948500</v>
      </c>
    </row>
    <row r="524" spans="1:6">
      <c r="A524" s="41">
        <v>44587</v>
      </c>
      <c r="B524" s="39">
        <v>62.12493896484375</v>
      </c>
      <c r="C524" s="39">
        <v>65.266478289158414</v>
      </c>
      <c r="D524" s="39">
        <v>61.349493097621057</v>
      </c>
      <c r="E524" s="39">
        <v>64.699808497194937</v>
      </c>
      <c r="F524" s="39">
        <v>1431500</v>
      </c>
    </row>
    <row r="525" spans="1:6">
      <c r="A525" s="41">
        <v>44588</v>
      </c>
      <c r="B525" s="39">
        <v>59.788665771484382</v>
      </c>
      <c r="C525" s="39">
        <v>62.612074844269777</v>
      </c>
      <c r="D525" s="39">
        <v>59.619660719805147</v>
      </c>
      <c r="E525" s="39">
        <v>62.51266055415401</v>
      </c>
      <c r="F525" s="39">
        <v>1196200</v>
      </c>
    </row>
    <row r="526" spans="1:6">
      <c r="A526" s="41">
        <v>44589</v>
      </c>
      <c r="B526" s="39">
        <v>60.156501770019531</v>
      </c>
      <c r="C526" s="39">
        <v>60.315566905881951</v>
      </c>
      <c r="D526" s="39">
        <v>57.710873883980348</v>
      </c>
      <c r="E526" s="39">
        <v>59.410883234587203</v>
      </c>
      <c r="F526" s="39">
        <v>1433300</v>
      </c>
    </row>
    <row r="527" spans="1:6">
      <c r="A527" s="41">
        <v>44592</v>
      </c>
      <c r="B527" s="39">
        <v>65.09747314453125</v>
      </c>
      <c r="C527" s="39">
        <v>65.216767257514235</v>
      </c>
      <c r="D527" s="39">
        <v>60.30562780348491</v>
      </c>
      <c r="E527" s="39">
        <v>60.30562780348491</v>
      </c>
      <c r="F527" s="39">
        <v>1381300</v>
      </c>
    </row>
    <row r="528" spans="1:6">
      <c r="A528" s="41">
        <v>44593</v>
      </c>
      <c r="B528" s="39">
        <v>64.829048156738281</v>
      </c>
      <c r="C528" s="39">
        <v>65.276423848257195</v>
      </c>
      <c r="D528" s="39">
        <v>63.119098820303307</v>
      </c>
      <c r="E528" s="39">
        <v>64.928462448801056</v>
      </c>
      <c r="F528" s="39">
        <v>1097800</v>
      </c>
    </row>
    <row r="529" spans="1:6">
      <c r="A529" s="41">
        <v>44594</v>
      </c>
      <c r="B529" s="39">
        <v>63.626117706298828</v>
      </c>
      <c r="C529" s="39">
        <v>65.922620465116779</v>
      </c>
      <c r="D529" s="39">
        <v>63.397461800881267</v>
      </c>
      <c r="E529" s="39">
        <v>65.674080942826549</v>
      </c>
      <c r="F529" s="39">
        <v>1085300</v>
      </c>
    </row>
    <row r="530" spans="1:6">
      <c r="A530" s="41">
        <v>44595</v>
      </c>
      <c r="B530" s="39">
        <v>61.081069946289062</v>
      </c>
      <c r="C530" s="39">
        <v>63.317925585140053</v>
      </c>
      <c r="D530" s="39">
        <v>60.574051003477472</v>
      </c>
      <c r="E530" s="39">
        <v>62.134878856971639</v>
      </c>
      <c r="F530" s="39">
        <v>1266700</v>
      </c>
    </row>
    <row r="531" spans="1:6">
      <c r="A531" s="41">
        <v>44596</v>
      </c>
      <c r="B531" s="39">
        <v>63.039562225341797</v>
      </c>
      <c r="C531" s="39">
        <v>63.506817725575182</v>
      </c>
      <c r="D531" s="39">
        <v>60.98165535131055</v>
      </c>
      <c r="E531" s="39">
        <v>61.110896960560382</v>
      </c>
      <c r="F531" s="39">
        <v>778700</v>
      </c>
    </row>
    <row r="532" spans="1:6">
      <c r="A532" s="41">
        <v>44599</v>
      </c>
      <c r="B532" s="39">
        <v>62.522598266601562</v>
      </c>
      <c r="C532" s="39">
        <v>64.013835320347496</v>
      </c>
      <c r="D532" s="39">
        <v>62.254175141837869</v>
      </c>
      <c r="E532" s="39">
        <v>63.029620988625872</v>
      </c>
      <c r="F532" s="39">
        <v>421700</v>
      </c>
    </row>
    <row r="533" spans="1:6">
      <c r="A533" s="41">
        <v>44600</v>
      </c>
      <c r="B533" s="39">
        <v>63.427284240722663</v>
      </c>
      <c r="C533" s="39">
        <v>63.556525851969461</v>
      </c>
      <c r="D533" s="39">
        <v>61.876400075409343</v>
      </c>
      <c r="E533" s="39">
        <v>62.10505597690009</v>
      </c>
      <c r="F533" s="39">
        <v>667800</v>
      </c>
    </row>
    <row r="534" spans="1:6">
      <c r="A534" s="41">
        <v>44601</v>
      </c>
      <c r="B534" s="39">
        <v>66.439582824707031</v>
      </c>
      <c r="C534" s="39">
        <v>67.910932458493093</v>
      </c>
      <c r="D534" s="39">
        <v>65.296299575660839</v>
      </c>
      <c r="E534" s="39">
        <v>67.463564379869027</v>
      </c>
      <c r="F534" s="39">
        <v>1261800</v>
      </c>
    </row>
    <row r="535" spans="1:6">
      <c r="A535" s="41">
        <v>44602</v>
      </c>
      <c r="B535" s="39">
        <v>64.66998291015625</v>
      </c>
      <c r="C535" s="39">
        <v>67.135490577997601</v>
      </c>
      <c r="D535" s="39">
        <v>64.162960190911718</v>
      </c>
      <c r="E535" s="39">
        <v>64.162960190911718</v>
      </c>
      <c r="F535" s="39">
        <v>768900</v>
      </c>
    </row>
    <row r="536" spans="1:6">
      <c r="A536" s="41">
        <v>44603</v>
      </c>
      <c r="B536" s="39">
        <v>62.214412689208977</v>
      </c>
      <c r="C536" s="39">
        <v>65.246590195681094</v>
      </c>
      <c r="D536" s="39">
        <v>61.757097103241897</v>
      </c>
      <c r="E536" s="39">
        <v>64.441324601032363</v>
      </c>
      <c r="F536" s="39">
        <v>967300</v>
      </c>
    </row>
    <row r="537" spans="1:6">
      <c r="A537" s="41">
        <v>44606</v>
      </c>
      <c r="B537" s="39">
        <v>61.369373321533203</v>
      </c>
      <c r="C537" s="39">
        <v>62.950084704475913</v>
      </c>
      <c r="D537" s="39">
        <v>60.912061548458418</v>
      </c>
      <c r="E537" s="39">
        <v>61.737210722274938</v>
      </c>
      <c r="F537" s="39">
        <v>441700</v>
      </c>
    </row>
    <row r="538" spans="1:6">
      <c r="A538" s="41">
        <v>44607</v>
      </c>
      <c r="B538" s="39">
        <v>65.167068481445312</v>
      </c>
      <c r="C538" s="39">
        <v>65.206828132015545</v>
      </c>
      <c r="D538" s="39">
        <v>63.079334132164483</v>
      </c>
      <c r="E538" s="39">
        <v>63.158864810541843</v>
      </c>
      <c r="F538" s="39">
        <v>459000</v>
      </c>
    </row>
    <row r="539" spans="1:6">
      <c r="A539" s="41">
        <v>44608</v>
      </c>
      <c r="B539" s="39">
        <v>65.27642822265625</v>
      </c>
      <c r="C539" s="39">
        <v>65.524967761880816</v>
      </c>
      <c r="D539" s="39">
        <v>63.327875352902218</v>
      </c>
      <c r="E539" s="39">
        <v>64.212671713343283</v>
      </c>
      <c r="F539" s="39">
        <v>738800</v>
      </c>
    </row>
    <row r="540" spans="1:6">
      <c r="A540" s="41">
        <v>44609</v>
      </c>
      <c r="B540" s="39">
        <v>63.586349487304688</v>
      </c>
      <c r="C540" s="39">
        <v>65.485195048895733</v>
      </c>
      <c r="D540" s="39">
        <v>63.44716796376467</v>
      </c>
      <c r="E540" s="39">
        <v>64.371735275751433</v>
      </c>
      <c r="F540" s="39">
        <v>507400</v>
      </c>
    </row>
    <row r="541" spans="1:6">
      <c r="A541" s="41">
        <v>44610</v>
      </c>
      <c r="B541" s="39">
        <v>62.114994049072273</v>
      </c>
      <c r="C541" s="39">
        <v>63.944244999226783</v>
      </c>
      <c r="D541" s="39">
        <v>61.916161682061833</v>
      </c>
      <c r="E541" s="39">
        <v>63.2881008427807</v>
      </c>
      <c r="F541" s="39">
        <v>834300</v>
      </c>
    </row>
    <row r="542" spans="1:6">
      <c r="A542" s="41">
        <v>44614</v>
      </c>
      <c r="B542" s="39">
        <v>59.798606872558587</v>
      </c>
      <c r="C542" s="39">
        <v>61.468792662192577</v>
      </c>
      <c r="D542" s="39">
        <v>59.430765671837989</v>
      </c>
      <c r="E542" s="39">
        <v>60.713230437523343</v>
      </c>
      <c r="F542" s="39">
        <v>800800</v>
      </c>
    </row>
    <row r="543" spans="1:6">
      <c r="A543" s="41">
        <v>44615</v>
      </c>
      <c r="B543" s="39">
        <v>59.311470031738281</v>
      </c>
      <c r="C543" s="39">
        <v>61.329609690985272</v>
      </c>
      <c r="D543" s="39">
        <v>59.023163282585273</v>
      </c>
      <c r="E543" s="39">
        <v>60.872297891067277</v>
      </c>
      <c r="F543" s="39">
        <v>642300</v>
      </c>
    </row>
    <row r="544" spans="1:6">
      <c r="A544" s="41">
        <v>44616</v>
      </c>
      <c r="B544" s="39">
        <v>64.42144775390625</v>
      </c>
      <c r="C544" s="39">
        <v>64.729634336996909</v>
      </c>
      <c r="D544" s="39">
        <v>55.752387929868377</v>
      </c>
      <c r="E544" s="39">
        <v>55.752387929868377</v>
      </c>
      <c r="F544" s="39">
        <v>1873800</v>
      </c>
    </row>
    <row r="545" spans="1:6">
      <c r="A545" s="41">
        <v>44617</v>
      </c>
      <c r="B545" s="39">
        <v>66.031982421875</v>
      </c>
      <c r="C545" s="39">
        <v>66.061805952766562</v>
      </c>
      <c r="D545" s="39">
        <v>63.576414373218952</v>
      </c>
      <c r="E545" s="39">
        <v>64.600399845306882</v>
      </c>
      <c r="F545" s="39">
        <v>1041700</v>
      </c>
    </row>
    <row r="546" spans="1:6">
      <c r="A546" s="41">
        <v>44620</v>
      </c>
      <c r="B546" s="39">
        <v>71.052474975585938</v>
      </c>
      <c r="C546" s="39">
        <v>71.808037195308756</v>
      </c>
      <c r="D546" s="39">
        <v>68.139591670616085</v>
      </c>
      <c r="E546" s="39">
        <v>68.219126132655063</v>
      </c>
      <c r="F546" s="39">
        <v>3012900</v>
      </c>
    </row>
    <row r="547" spans="1:6">
      <c r="A547" s="41">
        <v>44621</v>
      </c>
      <c r="B547" s="39">
        <v>72.414466857910156</v>
      </c>
      <c r="C547" s="39">
        <v>73.189916488208382</v>
      </c>
      <c r="D547" s="39">
        <v>70.634930668846422</v>
      </c>
      <c r="E547" s="39">
        <v>71.281127316859255</v>
      </c>
      <c r="F547" s="39">
        <v>3631900</v>
      </c>
    </row>
    <row r="548" spans="1:6">
      <c r="A548" s="41">
        <v>44622</v>
      </c>
      <c r="B548" s="39">
        <v>69.939018249511719</v>
      </c>
      <c r="C548" s="39">
        <v>72.076459602978659</v>
      </c>
      <c r="D548" s="39">
        <v>68.676440846202837</v>
      </c>
      <c r="E548" s="39">
        <v>71.221483061591883</v>
      </c>
      <c r="F548" s="39">
        <v>1252900</v>
      </c>
    </row>
    <row r="549" spans="1:6">
      <c r="A549" s="41">
        <v>44623</v>
      </c>
      <c r="B549" s="39">
        <v>67.930824279785156</v>
      </c>
      <c r="C549" s="39">
        <v>70.386395981792361</v>
      </c>
      <c r="D549" s="39">
        <v>67.344267061110983</v>
      </c>
      <c r="E549" s="39">
        <v>70.16767998787401</v>
      </c>
      <c r="F549" s="39">
        <v>1703000</v>
      </c>
    </row>
    <row r="550" spans="1:6">
      <c r="A550" s="41">
        <v>44624</v>
      </c>
      <c r="B550" s="39">
        <v>67.562980651855469</v>
      </c>
      <c r="C550" s="39">
        <v>68.924979920649733</v>
      </c>
      <c r="D550" s="39">
        <v>66.389873841058147</v>
      </c>
      <c r="E550" s="39">
        <v>67.712105877388623</v>
      </c>
      <c r="F550" s="39">
        <v>2286600</v>
      </c>
    </row>
    <row r="551" spans="1:6">
      <c r="A551" s="41">
        <v>44627</v>
      </c>
      <c r="B551" s="39">
        <v>69.581123352050781</v>
      </c>
      <c r="C551" s="39">
        <v>71.370610967441351</v>
      </c>
      <c r="D551" s="39">
        <v>69.422062000029598</v>
      </c>
      <c r="E551" s="39">
        <v>70.38639657138873</v>
      </c>
      <c r="F551" s="39">
        <v>2924400</v>
      </c>
    </row>
    <row r="552" spans="1:6">
      <c r="A552" s="41">
        <v>44628</v>
      </c>
      <c r="B552" s="39">
        <v>76.063034057617188</v>
      </c>
      <c r="C552" s="39">
        <v>77.275908084668529</v>
      </c>
      <c r="D552" s="39">
        <v>71.639026211654127</v>
      </c>
      <c r="E552" s="39">
        <v>72.275286752923037</v>
      </c>
      <c r="F552" s="39">
        <v>5132400</v>
      </c>
    </row>
    <row r="553" spans="1:6">
      <c r="A553" s="41">
        <v>44629</v>
      </c>
      <c r="B553" s="39">
        <v>76.371223449707031</v>
      </c>
      <c r="C553" s="39">
        <v>77.20632018153502</v>
      </c>
      <c r="D553" s="39">
        <v>73.686999665967235</v>
      </c>
      <c r="E553" s="39">
        <v>76.341399920860354</v>
      </c>
      <c r="F553" s="39">
        <v>2422200</v>
      </c>
    </row>
    <row r="554" spans="1:6">
      <c r="A554" s="41">
        <v>44630</v>
      </c>
      <c r="B554" s="39">
        <v>74.561851501464844</v>
      </c>
      <c r="C554" s="39">
        <v>76.450753256466712</v>
      </c>
      <c r="D554" s="39">
        <v>72.672949746462976</v>
      </c>
      <c r="E554" s="39">
        <v>76.450753256466712</v>
      </c>
      <c r="F554" s="39">
        <v>1251100</v>
      </c>
    </row>
    <row r="555" spans="1:6">
      <c r="A555" s="41">
        <v>44631</v>
      </c>
      <c r="B555" s="39">
        <v>73.199851989746094</v>
      </c>
      <c r="C555" s="39">
        <v>77.355432800144087</v>
      </c>
      <c r="D555" s="39">
        <v>72.97119989356051</v>
      </c>
      <c r="E555" s="39">
        <v>75.993441172470298</v>
      </c>
      <c r="F555" s="39">
        <v>1005900</v>
      </c>
    </row>
    <row r="556" spans="1:6">
      <c r="A556" s="41">
        <v>44634</v>
      </c>
      <c r="B556" s="39">
        <v>68.696319580078125</v>
      </c>
      <c r="C556" s="39">
        <v>72.573537483127836</v>
      </c>
      <c r="D556" s="39">
        <v>67.771752292311078</v>
      </c>
      <c r="E556" s="39">
        <v>72.573537483127836</v>
      </c>
      <c r="F556" s="39">
        <v>1259700</v>
      </c>
    </row>
    <row r="557" spans="1:6">
      <c r="A557" s="41">
        <v>44635</v>
      </c>
      <c r="B557" s="39">
        <v>70.913299560546875</v>
      </c>
      <c r="C557" s="39">
        <v>71.042537383861543</v>
      </c>
      <c r="D557" s="39">
        <v>66.678183902894375</v>
      </c>
      <c r="E557" s="39">
        <v>67.910937831265144</v>
      </c>
      <c r="F557" s="39">
        <v>889300</v>
      </c>
    </row>
    <row r="558" spans="1:6">
      <c r="A558" s="41">
        <v>44636</v>
      </c>
      <c r="B558" s="39">
        <v>75.168296813964844</v>
      </c>
      <c r="C558" s="39">
        <v>75.218007754393284</v>
      </c>
      <c r="D558" s="39">
        <v>71.887571951127583</v>
      </c>
      <c r="E558" s="39">
        <v>72.543719957624873</v>
      </c>
      <c r="F558" s="39">
        <v>1106300</v>
      </c>
    </row>
    <row r="559" spans="1:6">
      <c r="A559" s="41">
        <v>44637</v>
      </c>
      <c r="B559" s="39">
        <v>74.740806579589844</v>
      </c>
      <c r="C559" s="39">
        <v>75.168294867802786</v>
      </c>
      <c r="D559" s="39">
        <v>73.269449248003056</v>
      </c>
      <c r="E559" s="39">
        <v>73.269449248003056</v>
      </c>
      <c r="F559" s="39">
        <v>1020200</v>
      </c>
    </row>
    <row r="560" spans="1:6">
      <c r="A560" s="41">
        <v>44638</v>
      </c>
      <c r="B560" s="39">
        <v>75.595779418945312</v>
      </c>
      <c r="C560" s="39">
        <v>75.993444157944651</v>
      </c>
      <c r="D560" s="39">
        <v>73.756588534000358</v>
      </c>
      <c r="E560" s="39">
        <v>73.875882646323348</v>
      </c>
      <c r="F560" s="39">
        <v>1501900</v>
      </c>
    </row>
    <row r="561" spans="1:6">
      <c r="A561" s="41">
        <v>44641</v>
      </c>
      <c r="B561" s="39">
        <v>75.138465881347656</v>
      </c>
      <c r="C561" s="39">
        <v>76.102800385990662</v>
      </c>
      <c r="D561" s="39">
        <v>73.72676329621973</v>
      </c>
      <c r="E561" s="39">
        <v>75.784670119133324</v>
      </c>
      <c r="F561" s="39">
        <v>887700</v>
      </c>
    </row>
    <row r="562" spans="1:6">
      <c r="A562" s="41">
        <v>44642</v>
      </c>
      <c r="B562" s="39">
        <v>76.3016357421875</v>
      </c>
      <c r="C562" s="39">
        <v>77.315673687692481</v>
      </c>
      <c r="D562" s="39">
        <v>74.949580091631177</v>
      </c>
      <c r="E562" s="39">
        <v>75.078817916748875</v>
      </c>
      <c r="F562" s="39">
        <v>695600</v>
      </c>
    </row>
    <row r="563" spans="1:6">
      <c r="A563" s="41">
        <v>44643</v>
      </c>
      <c r="B563" s="39">
        <v>75.744903564453125</v>
      </c>
      <c r="C563" s="39">
        <v>77.52444736786974</v>
      </c>
      <c r="D563" s="39">
        <v>74.770625347033956</v>
      </c>
      <c r="E563" s="39">
        <v>74.860103514824743</v>
      </c>
      <c r="F563" s="39">
        <v>668000</v>
      </c>
    </row>
    <row r="564" spans="1:6">
      <c r="A564" s="41">
        <v>44644</v>
      </c>
      <c r="B564" s="39">
        <v>76.7987060546875</v>
      </c>
      <c r="C564" s="39">
        <v>76.878240515619609</v>
      </c>
      <c r="D564" s="39">
        <v>74.571794242353988</v>
      </c>
      <c r="E564" s="39">
        <v>76.053087549302177</v>
      </c>
      <c r="F564" s="39">
        <v>555100</v>
      </c>
    </row>
    <row r="565" spans="1:6">
      <c r="A565" s="41">
        <v>44645</v>
      </c>
      <c r="B565" s="39">
        <v>74.919754028320312</v>
      </c>
      <c r="C565" s="39">
        <v>76.788768500974712</v>
      </c>
      <c r="D565" s="39">
        <v>73.388749664463546</v>
      </c>
      <c r="E565" s="39">
        <v>76.550172683892598</v>
      </c>
      <c r="F565" s="39">
        <v>849900</v>
      </c>
    </row>
    <row r="566" spans="1:6">
      <c r="A566" s="41">
        <v>44648</v>
      </c>
      <c r="B566" s="39">
        <v>75.526191711425781</v>
      </c>
      <c r="C566" s="39">
        <v>76.142564876207175</v>
      </c>
      <c r="D566" s="39">
        <v>73.448397348197545</v>
      </c>
      <c r="E566" s="39">
        <v>74.681158847409009</v>
      </c>
      <c r="F566" s="39">
        <v>1689700</v>
      </c>
    </row>
    <row r="567" spans="1:6">
      <c r="A567" s="41">
        <v>44649</v>
      </c>
      <c r="B567" s="39">
        <v>76.609817504882812</v>
      </c>
      <c r="C567" s="39">
        <v>76.937891484305837</v>
      </c>
      <c r="D567" s="39">
        <v>74.512143396194787</v>
      </c>
      <c r="E567" s="39">
        <v>75.546068686458113</v>
      </c>
      <c r="F567" s="39">
        <v>679200</v>
      </c>
    </row>
    <row r="568" spans="1:6">
      <c r="A568" s="41">
        <v>44650</v>
      </c>
      <c r="B568" s="39">
        <v>75.337295532226562</v>
      </c>
      <c r="C568" s="39">
        <v>77.693452832406123</v>
      </c>
      <c r="D568" s="39">
        <v>75.039052669242082</v>
      </c>
      <c r="E568" s="39">
        <v>76.947834297708994</v>
      </c>
      <c r="F568" s="39">
        <v>721300</v>
      </c>
    </row>
    <row r="569" spans="1:6">
      <c r="A569" s="41">
        <v>44651</v>
      </c>
      <c r="B569" s="39">
        <v>75.0191650390625</v>
      </c>
      <c r="C569" s="39">
        <v>76.043146610114562</v>
      </c>
      <c r="D569" s="39">
        <v>74.631444008951988</v>
      </c>
      <c r="E569" s="39">
        <v>75.546067588452473</v>
      </c>
      <c r="F569" s="39">
        <v>699000</v>
      </c>
    </row>
    <row r="570" spans="1:6">
      <c r="A570" s="41">
        <v>44652</v>
      </c>
      <c r="B570" s="39">
        <v>75.764785766601562</v>
      </c>
      <c r="C570" s="39">
        <v>77.246079170319675</v>
      </c>
      <c r="D570" s="39">
        <v>75.198115968882277</v>
      </c>
      <c r="E570" s="39">
        <v>75.55601348163384</v>
      </c>
      <c r="F570" s="39">
        <v>669100</v>
      </c>
    </row>
    <row r="571" spans="1:6">
      <c r="A571" s="41">
        <v>44655</v>
      </c>
      <c r="B571" s="39">
        <v>78.946090698242188</v>
      </c>
      <c r="C571" s="39">
        <v>79.244333548396469</v>
      </c>
      <c r="D571" s="39">
        <v>76.689347782807616</v>
      </c>
      <c r="E571" s="39">
        <v>77.017421744318597</v>
      </c>
      <c r="F571" s="39">
        <v>1393400</v>
      </c>
    </row>
    <row r="572" spans="1:6">
      <c r="A572" s="41">
        <v>44656</v>
      </c>
      <c r="B572" s="39">
        <v>76.898124694824219</v>
      </c>
      <c r="C572" s="39">
        <v>80.049603935764068</v>
      </c>
      <c r="D572" s="39">
        <v>76.589938122282675</v>
      </c>
      <c r="E572" s="39">
        <v>79.403407262347798</v>
      </c>
      <c r="F572" s="39">
        <v>2127600</v>
      </c>
    </row>
    <row r="573" spans="1:6">
      <c r="A573" s="41">
        <v>44657</v>
      </c>
      <c r="B573" s="39">
        <v>74.899864196777344</v>
      </c>
      <c r="C573" s="39">
        <v>76.550170208215434</v>
      </c>
      <c r="D573" s="39">
        <v>73.91564984642244</v>
      </c>
      <c r="E573" s="39">
        <v>75.615659209698734</v>
      </c>
      <c r="F573" s="39">
        <v>1180900</v>
      </c>
    </row>
    <row r="574" spans="1:6">
      <c r="A574" s="41">
        <v>44658</v>
      </c>
      <c r="B574" s="39">
        <v>74.114486694335938</v>
      </c>
      <c r="C574" s="39">
        <v>75.526189324652563</v>
      </c>
      <c r="D574" s="39">
        <v>72.653073126896913</v>
      </c>
      <c r="E574" s="39">
        <v>74.293435449222841</v>
      </c>
      <c r="F574" s="39">
        <v>812300</v>
      </c>
    </row>
    <row r="575" spans="1:6">
      <c r="A575" s="41">
        <v>44659</v>
      </c>
      <c r="B575" s="39">
        <v>72.285232543945312</v>
      </c>
      <c r="C575" s="39">
        <v>74.79051513423866</v>
      </c>
      <c r="D575" s="39">
        <v>72.195761958132636</v>
      </c>
      <c r="E575" s="39">
        <v>74.571799144708777</v>
      </c>
      <c r="F575" s="39">
        <v>778500</v>
      </c>
    </row>
    <row r="576" spans="1:6">
      <c r="A576" s="41">
        <v>44662</v>
      </c>
      <c r="B576" s="39">
        <v>71.798095703125</v>
      </c>
      <c r="C576" s="39">
        <v>73.001026035432403</v>
      </c>
      <c r="D576" s="39">
        <v>70.903351939682793</v>
      </c>
      <c r="E576" s="39">
        <v>71.420310789213843</v>
      </c>
      <c r="F576" s="39">
        <v>1157500</v>
      </c>
    </row>
    <row r="577" spans="1:6">
      <c r="A577" s="41">
        <v>44663</v>
      </c>
      <c r="B577" s="39">
        <v>71.291069030761719</v>
      </c>
      <c r="C577" s="39">
        <v>73.309208550422539</v>
      </c>
      <c r="D577" s="39">
        <v>71.171767340625266</v>
      </c>
      <c r="E577" s="39">
        <v>72.752482499432958</v>
      </c>
      <c r="F577" s="39">
        <v>851100</v>
      </c>
    </row>
    <row r="578" spans="1:6">
      <c r="A578" s="41">
        <v>44664</v>
      </c>
      <c r="B578" s="39">
        <v>72.573539733886719</v>
      </c>
      <c r="C578" s="39">
        <v>72.742544786881794</v>
      </c>
      <c r="D578" s="39">
        <v>70.734348805540733</v>
      </c>
      <c r="E578" s="39">
        <v>71.082302616067125</v>
      </c>
      <c r="F578" s="39">
        <v>609200</v>
      </c>
    </row>
    <row r="579" spans="1:6">
      <c r="A579" s="41">
        <v>44665</v>
      </c>
      <c r="B579" s="39">
        <v>71.619148254394531</v>
      </c>
      <c r="C579" s="39">
        <v>73.508050103869209</v>
      </c>
      <c r="D579" s="39">
        <v>71.579381021425959</v>
      </c>
      <c r="E579" s="39">
        <v>72.672953381177351</v>
      </c>
      <c r="F579" s="39">
        <v>867600</v>
      </c>
    </row>
    <row r="580" spans="1:6">
      <c r="A580" s="41">
        <v>44669</v>
      </c>
      <c r="B580" s="39">
        <v>71.241371154785156</v>
      </c>
      <c r="C580" s="39">
        <v>71.897511538883194</v>
      </c>
      <c r="D580" s="39">
        <v>70.754228237921993</v>
      </c>
      <c r="E580" s="39">
        <v>71.082302222383106</v>
      </c>
      <c r="F580" s="39">
        <v>1035300</v>
      </c>
    </row>
    <row r="581" spans="1:6">
      <c r="A581" s="41">
        <v>44670</v>
      </c>
      <c r="B581" s="39">
        <v>72.832023620605469</v>
      </c>
      <c r="C581" s="39">
        <v>73.030852204193792</v>
      </c>
      <c r="D581" s="39">
        <v>70.495753631733464</v>
      </c>
      <c r="E581" s="39">
        <v>71.122070496378527</v>
      </c>
      <c r="F581" s="39">
        <v>768100</v>
      </c>
    </row>
    <row r="582" spans="1:6">
      <c r="A582" s="41">
        <v>44671</v>
      </c>
      <c r="B582" s="39">
        <v>69.42205810546875</v>
      </c>
      <c r="C582" s="39">
        <v>73.080560014607215</v>
      </c>
      <c r="D582" s="39">
        <v>69.342523641507839</v>
      </c>
      <c r="E582" s="39">
        <v>72.682895279626607</v>
      </c>
      <c r="F582" s="39">
        <v>1177300</v>
      </c>
    </row>
    <row r="583" spans="1:6">
      <c r="A583" s="41">
        <v>44672</v>
      </c>
      <c r="B583" s="39">
        <v>64.630218505859375</v>
      </c>
      <c r="C583" s="39">
        <v>70.485808954151423</v>
      </c>
      <c r="D583" s="39">
        <v>64.441326044680864</v>
      </c>
      <c r="E583" s="39">
        <v>70.22732573119518</v>
      </c>
      <c r="F583" s="39">
        <v>2553300</v>
      </c>
    </row>
    <row r="584" spans="1:6">
      <c r="A584" s="41">
        <v>44673</v>
      </c>
      <c r="B584" s="39">
        <v>64.123199462890625</v>
      </c>
      <c r="C584" s="39">
        <v>66.369998963170701</v>
      </c>
      <c r="D584" s="39">
        <v>63.626120397286819</v>
      </c>
      <c r="E584" s="39">
        <v>64.948352532150835</v>
      </c>
      <c r="F584" s="39">
        <v>1948000</v>
      </c>
    </row>
    <row r="585" spans="1:6">
      <c r="A585" s="41">
        <v>44676</v>
      </c>
      <c r="B585" s="39">
        <v>63.596294403076172</v>
      </c>
      <c r="C585" s="39">
        <v>63.715588519911648</v>
      </c>
      <c r="D585" s="39">
        <v>61.985755562378451</v>
      </c>
      <c r="E585" s="39">
        <v>62.631959839593087</v>
      </c>
      <c r="F585" s="39">
        <v>2163500</v>
      </c>
    </row>
    <row r="586" spans="1:6">
      <c r="A586" s="41">
        <v>44677</v>
      </c>
      <c r="B586" s="39">
        <v>61.995697021484382</v>
      </c>
      <c r="C586" s="39">
        <v>63.705650092549497</v>
      </c>
      <c r="D586" s="39">
        <v>61.955929789038201</v>
      </c>
      <c r="E586" s="39">
        <v>63.109152983092997</v>
      </c>
      <c r="F586" s="39">
        <v>797200</v>
      </c>
    </row>
    <row r="587" spans="1:6">
      <c r="A587" s="41">
        <v>44678</v>
      </c>
      <c r="B587" s="39">
        <v>63.785186767578118</v>
      </c>
      <c r="C587" s="39">
        <v>65.773502949836939</v>
      </c>
      <c r="D587" s="39">
        <v>63.437229160235553</v>
      </c>
      <c r="E587" s="39">
        <v>63.67582877076795</v>
      </c>
      <c r="F587" s="39">
        <v>865500</v>
      </c>
    </row>
    <row r="588" spans="1:6">
      <c r="A588" s="41">
        <v>44679</v>
      </c>
      <c r="B588" s="39">
        <v>64.371734619140625</v>
      </c>
      <c r="C588" s="39">
        <v>65.147176695189302</v>
      </c>
      <c r="D588" s="39">
        <v>62.552423542365432</v>
      </c>
      <c r="E588" s="39">
        <v>64.391614443090347</v>
      </c>
      <c r="F588" s="39">
        <v>445900</v>
      </c>
    </row>
    <row r="589" spans="1:6">
      <c r="A589" s="41">
        <v>44680</v>
      </c>
      <c r="B589" s="39">
        <v>63.854774475097663</v>
      </c>
      <c r="C589" s="39">
        <v>66.071742664732142</v>
      </c>
      <c r="D589" s="39">
        <v>63.735472779333989</v>
      </c>
      <c r="E589" s="39">
        <v>64.371733320425648</v>
      </c>
      <c r="F589" s="39">
        <v>574200</v>
      </c>
    </row>
    <row r="590" spans="1:6">
      <c r="A590" s="41">
        <v>44683</v>
      </c>
      <c r="B590" s="39">
        <v>64.600395202636719</v>
      </c>
      <c r="C590" s="39">
        <v>64.6699859646573</v>
      </c>
      <c r="D590" s="39">
        <v>62.641898784300203</v>
      </c>
      <c r="E590" s="39">
        <v>63.049503444311597</v>
      </c>
      <c r="F590" s="39">
        <v>668800</v>
      </c>
    </row>
    <row r="591" spans="1:6">
      <c r="A591" s="41">
        <v>44684</v>
      </c>
      <c r="B591" s="39">
        <v>66.698066711425781</v>
      </c>
      <c r="C591" s="39">
        <v>67.22497690272084</v>
      </c>
      <c r="D591" s="39">
        <v>64.600399990805755</v>
      </c>
      <c r="E591" s="39">
        <v>64.669990757984394</v>
      </c>
      <c r="F591" s="39">
        <v>790700</v>
      </c>
    </row>
    <row r="592" spans="1:6">
      <c r="A592" s="41">
        <v>44685</v>
      </c>
      <c r="B592" s="39">
        <v>70.137847900390625</v>
      </c>
      <c r="C592" s="39">
        <v>70.306852935132923</v>
      </c>
      <c r="D592" s="39">
        <v>66.220863066814005</v>
      </c>
      <c r="E592" s="39">
        <v>66.33022105042923</v>
      </c>
      <c r="F592" s="39">
        <v>1282100</v>
      </c>
    </row>
    <row r="593" spans="1:6">
      <c r="A593" s="41">
        <v>44686</v>
      </c>
      <c r="B593" s="39">
        <v>67.0460205078125</v>
      </c>
      <c r="C593" s="39">
        <v>69.36240297181547</v>
      </c>
      <c r="D593" s="39">
        <v>65.783435552089742</v>
      </c>
      <c r="E593" s="39">
        <v>69.36240297181547</v>
      </c>
      <c r="F593" s="39">
        <v>889000</v>
      </c>
    </row>
    <row r="594" spans="1:6">
      <c r="A594" s="41">
        <v>44687</v>
      </c>
      <c r="B594" s="39">
        <v>64.391609191894531</v>
      </c>
      <c r="C594" s="39">
        <v>66.459459615938613</v>
      </c>
      <c r="D594" s="39">
        <v>63.805059622910278</v>
      </c>
      <c r="E594" s="39">
        <v>66.260631053359688</v>
      </c>
      <c r="F594" s="39">
        <v>749100</v>
      </c>
    </row>
    <row r="595" spans="1:6">
      <c r="A595" s="41">
        <v>44690</v>
      </c>
      <c r="B595" s="39">
        <v>59.560009002685547</v>
      </c>
      <c r="C595" s="39">
        <v>62.900380678720737</v>
      </c>
      <c r="D595" s="39">
        <v>59.082813590739377</v>
      </c>
      <c r="E595" s="39">
        <v>62.045404143496008</v>
      </c>
      <c r="F595" s="39">
        <v>1179200</v>
      </c>
    </row>
    <row r="596" spans="1:6">
      <c r="A596" s="41">
        <v>44691</v>
      </c>
      <c r="B596" s="39">
        <v>59.967613220214837</v>
      </c>
      <c r="C596" s="39">
        <v>62.194528918930523</v>
      </c>
      <c r="D596" s="39">
        <v>58.158245874188601</v>
      </c>
      <c r="E596" s="39">
        <v>61.091012877608719</v>
      </c>
      <c r="F596" s="39">
        <v>1473300</v>
      </c>
    </row>
    <row r="597" spans="1:6">
      <c r="A597" s="41">
        <v>44692</v>
      </c>
      <c r="B597" s="39">
        <v>57.452396392822273</v>
      </c>
      <c r="C597" s="39">
        <v>61.061187495163132</v>
      </c>
      <c r="D597" s="39">
        <v>57.343038397161237</v>
      </c>
      <c r="E597" s="39">
        <v>59.987498740080291</v>
      </c>
      <c r="F597" s="39">
        <v>1802800</v>
      </c>
    </row>
    <row r="598" spans="1:6">
      <c r="A598" s="41">
        <v>44693</v>
      </c>
      <c r="B598" s="39">
        <v>57.253559112548828</v>
      </c>
      <c r="C598" s="39">
        <v>58.814386862091077</v>
      </c>
      <c r="D598" s="39">
        <v>55.215535980255922</v>
      </c>
      <c r="E598" s="39">
        <v>56.239517502049281</v>
      </c>
      <c r="F598" s="39">
        <v>1050400</v>
      </c>
    </row>
    <row r="599" spans="1:6">
      <c r="A599" s="41">
        <v>44694</v>
      </c>
      <c r="B599" s="39">
        <v>61.349491119384773</v>
      </c>
      <c r="C599" s="39">
        <v>61.846570134370687</v>
      </c>
      <c r="D599" s="39">
        <v>58.943630507210578</v>
      </c>
      <c r="E599" s="39">
        <v>59.520240192540058</v>
      </c>
      <c r="F599" s="39">
        <v>1389800</v>
      </c>
    </row>
    <row r="600" spans="1:6">
      <c r="A600" s="41">
        <v>44697</v>
      </c>
      <c r="B600" s="39">
        <v>60.385162353515618</v>
      </c>
      <c r="C600" s="39">
        <v>61.697450691940382</v>
      </c>
      <c r="D600" s="39">
        <v>59.987497611757561</v>
      </c>
      <c r="E600" s="39">
        <v>60.752999774574008</v>
      </c>
      <c r="F600" s="39">
        <v>604100</v>
      </c>
    </row>
    <row r="601" spans="1:6">
      <c r="A601" s="41">
        <v>44698</v>
      </c>
      <c r="B601" s="39">
        <v>63.616176605224609</v>
      </c>
      <c r="C601" s="39">
        <v>63.645996341358142</v>
      </c>
      <c r="D601" s="39">
        <v>61.677567609106653</v>
      </c>
      <c r="E601" s="39">
        <v>62.771139969782382</v>
      </c>
      <c r="F601" s="39">
        <v>1247600</v>
      </c>
    </row>
    <row r="602" spans="1:6">
      <c r="A602" s="41">
        <v>44699</v>
      </c>
      <c r="B602" s="39">
        <v>63.467048645019531</v>
      </c>
      <c r="C602" s="39">
        <v>65.435481084929776</v>
      </c>
      <c r="D602" s="39">
        <v>62.602132222728343</v>
      </c>
      <c r="E602" s="39">
        <v>63.228449049691662</v>
      </c>
      <c r="F602" s="39">
        <v>1647100</v>
      </c>
    </row>
    <row r="603" spans="1:6">
      <c r="A603" s="41">
        <v>44700</v>
      </c>
      <c r="B603" s="39">
        <v>66.330223083496094</v>
      </c>
      <c r="C603" s="39">
        <v>67.23490292088708</v>
      </c>
      <c r="D603" s="39">
        <v>64.083423876022025</v>
      </c>
      <c r="E603" s="39">
        <v>64.172902040278586</v>
      </c>
      <c r="F603" s="39">
        <v>1614600</v>
      </c>
    </row>
    <row r="604" spans="1:6">
      <c r="A604" s="41">
        <v>44701</v>
      </c>
      <c r="B604" s="39">
        <v>66.7974853515625</v>
      </c>
      <c r="C604" s="39">
        <v>67.513280399121328</v>
      </c>
      <c r="D604" s="39">
        <v>64.848936380332574</v>
      </c>
      <c r="E604" s="39">
        <v>67.483449284786047</v>
      </c>
      <c r="F604" s="39">
        <v>1917600</v>
      </c>
    </row>
    <row r="605" spans="1:6">
      <c r="A605" s="41">
        <v>44704</v>
      </c>
      <c r="B605" s="39">
        <v>67.37408447265625</v>
      </c>
      <c r="C605" s="39">
        <v>67.652455084527745</v>
      </c>
      <c r="D605" s="39">
        <v>65.703898725545372</v>
      </c>
      <c r="E605" s="39">
        <v>67.274670189399671</v>
      </c>
      <c r="F605" s="39">
        <v>502400</v>
      </c>
    </row>
    <row r="606" spans="1:6">
      <c r="A606" s="41">
        <v>44705</v>
      </c>
      <c r="B606" s="39">
        <v>65.922615051269531</v>
      </c>
      <c r="C606" s="39">
        <v>66.588706680771509</v>
      </c>
      <c r="D606" s="39">
        <v>64.739572180005098</v>
      </c>
      <c r="E606" s="39">
        <v>66.588706680771509</v>
      </c>
      <c r="F606" s="39">
        <v>791700</v>
      </c>
    </row>
    <row r="607" spans="1:6">
      <c r="A607" s="41">
        <v>44706</v>
      </c>
      <c r="B607" s="39">
        <v>67.016197204589844</v>
      </c>
      <c r="C607" s="39">
        <v>67.562979576409191</v>
      </c>
      <c r="D607" s="39">
        <v>65.077584473165075</v>
      </c>
      <c r="E607" s="39">
        <v>65.435481974818146</v>
      </c>
      <c r="F607" s="39">
        <v>891600</v>
      </c>
    </row>
    <row r="608" spans="1:6">
      <c r="A608" s="41">
        <v>44707</v>
      </c>
      <c r="B608" s="39">
        <v>69.312705993652344</v>
      </c>
      <c r="C608" s="39">
        <v>69.680539647233644</v>
      </c>
      <c r="D608" s="39">
        <v>66.777599729814227</v>
      </c>
      <c r="E608" s="39">
        <v>67.403924205608718</v>
      </c>
      <c r="F608" s="39">
        <v>1507000</v>
      </c>
    </row>
    <row r="609" spans="1:6">
      <c r="A609" s="41">
        <v>44708</v>
      </c>
      <c r="B609" s="39">
        <v>70.86358642578125</v>
      </c>
      <c r="C609" s="39">
        <v>70.953064596707193</v>
      </c>
      <c r="D609" s="39">
        <v>69.054219031311945</v>
      </c>
      <c r="E609" s="39">
        <v>69.312702254757326</v>
      </c>
      <c r="F609" s="39">
        <v>873900</v>
      </c>
    </row>
    <row r="610" spans="1:6">
      <c r="A610" s="41">
        <v>44712</v>
      </c>
      <c r="B610" s="39">
        <v>70.684638977050781</v>
      </c>
      <c r="C610" s="39">
        <v>72.295177820109416</v>
      </c>
      <c r="D610" s="39">
        <v>70.306861631810804</v>
      </c>
      <c r="E610" s="39">
        <v>71.579382778750031</v>
      </c>
      <c r="F610" s="39">
        <v>983900</v>
      </c>
    </row>
    <row r="611" spans="1:6">
      <c r="A611" s="41">
        <v>44713</v>
      </c>
      <c r="B611" s="39">
        <v>69.809776306152344</v>
      </c>
      <c r="C611" s="39">
        <v>71.609199867581424</v>
      </c>
      <c r="D611" s="39">
        <v>69.422055291091098</v>
      </c>
      <c r="E611" s="39">
        <v>71.012706581704393</v>
      </c>
      <c r="F611" s="39">
        <v>613900</v>
      </c>
    </row>
    <row r="612" spans="1:6">
      <c r="A612" s="41">
        <v>44714</v>
      </c>
      <c r="B612" s="39">
        <v>73.637290954589844</v>
      </c>
      <c r="C612" s="39">
        <v>74.194017069426181</v>
      </c>
      <c r="D612" s="39">
        <v>70.23727203642602</v>
      </c>
      <c r="E612" s="39">
        <v>70.23727203642602</v>
      </c>
      <c r="F612" s="39">
        <v>1214300</v>
      </c>
    </row>
    <row r="613" spans="1:6">
      <c r="A613" s="41">
        <v>44715</v>
      </c>
      <c r="B613" s="39">
        <v>73.219749450683594</v>
      </c>
      <c r="C613" s="39">
        <v>74.532037908628126</v>
      </c>
      <c r="D613" s="39">
        <v>72.305125770715392</v>
      </c>
      <c r="E613" s="39">
        <v>72.583488839851384</v>
      </c>
      <c r="F613" s="39">
        <v>1285900</v>
      </c>
    </row>
    <row r="614" spans="1:6">
      <c r="A614" s="41">
        <v>44718</v>
      </c>
      <c r="B614" s="39">
        <v>76.341400146484375</v>
      </c>
      <c r="C614" s="39">
        <v>78.359539842532243</v>
      </c>
      <c r="D614" s="39">
        <v>75.804553871184936</v>
      </c>
      <c r="E614" s="39">
        <v>78.031465854600768</v>
      </c>
      <c r="F614" s="39">
        <v>3101200</v>
      </c>
    </row>
    <row r="615" spans="1:6">
      <c r="A615" s="41">
        <v>44719</v>
      </c>
      <c r="B615" s="39">
        <v>77.106895446777344</v>
      </c>
      <c r="C615" s="39">
        <v>77.206317319012371</v>
      </c>
      <c r="D615" s="39">
        <v>75.218001231495066</v>
      </c>
      <c r="E615" s="39">
        <v>75.764783604667954</v>
      </c>
      <c r="F615" s="39">
        <v>1287000</v>
      </c>
    </row>
    <row r="616" spans="1:6">
      <c r="A616" s="41">
        <v>44720</v>
      </c>
      <c r="B616" s="39">
        <v>76.063034057617188</v>
      </c>
      <c r="C616" s="39">
        <v>78.180587960450524</v>
      </c>
      <c r="D616" s="39">
        <v>75.585834859253538</v>
      </c>
      <c r="E616" s="39">
        <v>77.106895452750265</v>
      </c>
      <c r="F616" s="39">
        <v>1065500</v>
      </c>
    </row>
    <row r="617" spans="1:6">
      <c r="A617" s="41">
        <v>44721</v>
      </c>
      <c r="B617" s="39">
        <v>74.194015502929688</v>
      </c>
      <c r="C617" s="39">
        <v>76.440814909376911</v>
      </c>
      <c r="D617" s="39">
        <v>74.184079383106294</v>
      </c>
      <c r="E617" s="39">
        <v>75.66537281299162</v>
      </c>
      <c r="F617" s="39">
        <v>825700</v>
      </c>
    </row>
    <row r="618" spans="1:6">
      <c r="A618" s="41">
        <v>44722</v>
      </c>
      <c r="B618" s="39">
        <v>73.010971069335938</v>
      </c>
      <c r="C618" s="39">
        <v>74.561855230996954</v>
      </c>
      <c r="D618" s="39">
        <v>72.613306324472461</v>
      </c>
      <c r="E618" s="39">
        <v>73.030850893408257</v>
      </c>
      <c r="F618" s="39">
        <v>1900600</v>
      </c>
    </row>
    <row r="619" spans="1:6">
      <c r="A619" s="41">
        <v>44725</v>
      </c>
      <c r="B619" s="39">
        <v>68.427902221679688</v>
      </c>
      <c r="C619" s="39">
        <v>70.684637717874409</v>
      </c>
      <c r="D619" s="39">
        <v>67.483447498167763</v>
      </c>
      <c r="E619" s="39">
        <v>70.267093146127678</v>
      </c>
      <c r="F619" s="39">
        <v>1815400</v>
      </c>
    </row>
    <row r="620" spans="1:6">
      <c r="A620" s="41">
        <v>44726</v>
      </c>
      <c r="B620" s="39">
        <v>67.741928100585938</v>
      </c>
      <c r="C620" s="39">
        <v>69.173518102408408</v>
      </c>
      <c r="D620" s="39">
        <v>66.996309572107378</v>
      </c>
      <c r="E620" s="39">
        <v>68.785797074385471</v>
      </c>
      <c r="F620" s="39">
        <v>880700</v>
      </c>
    </row>
    <row r="621" spans="1:6">
      <c r="A621" s="41">
        <v>44727</v>
      </c>
      <c r="B621" s="39">
        <v>69.779960632324219</v>
      </c>
      <c r="C621" s="39">
        <v>70.575282574721214</v>
      </c>
      <c r="D621" s="39">
        <v>67.304501460880161</v>
      </c>
      <c r="E621" s="39">
        <v>68.547199106648449</v>
      </c>
      <c r="F621" s="39">
        <v>1051100</v>
      </c>
    </row>
    <row r="622" spans="1:6">
      <c r="A622" s="41">
        <v>44728</v>
      </c>
      <c r="B622" s="39">
        <v>65.823204040527344</v>
      </c>
      <c r="C622" s="39">
        <v>68.457724408411522</v>
      </c>
      <c r="D622" s="39">
        <v>65.326125012051989</v>
      </c>
      <c r="E622" s="39">
        <v>67.29456130213697</v>
      </c>
      <c r="F622" s="39">
        <v>1417000</v>
      </c>
    </row>
    <row r="623" spans="1:6">
      <c r="A623" s="41">
        <v>44729</v>
      </c>
      <c r="B623" s="39">
        <v>69.720298767089844</v>
      </c>
      <c r="C623" s="39">
        <v>70.277032412416773</v>
      </c>
      <c r="D623" s="39">
        <v>66.896893649024975</v>
      </c>
      <c r="E623" s="39">
        <v>67.026131460263585</v>
      </c>
      <c r="F623" s="39">
        <v>1440300</v>
      </c>
    </row>
    <row r="624" spans="1:6">
      <c r="A624" s="41">
        <v>44733</v>
      </c>
      <c r="B624" s="39">
        <v>71.0325927734375</v>
      </c>
      <c r="C624" s="39">
        <v>72.434359326516898</v>
      </c>
      <c r="D624" s="39">
        <v>70.823820483902679</v>
      </c>
      <c r="E624" s="39">
        <v>71.171774299794052</v>
      </c>
      <c r="F624" s="39">
        <v>1480400</v>
      </c>
    </row>
    <row r="625" spans="1:6">
      <c r="A625" s="41">
        <v>44734</v>
      </c>
      <c r="B625" s="39">
        <v>70.694580078125</v>
      </c>
      <c r="C625" s="39">
        <v>71.75832889629487</v>
      </c>
      <c r="D625" s="39">
        <v>69.412115273725504</v>
      </c>
      <c r="E625" s="39">
        <v>69.412115273725504</v>
      </c>
      <c r="F625" s="39">
        <v>1132000</v>
      </c>
    </row>
    <row r="626" spans="1:6">
      <c r="A626" s="41">
        <v>44735</v>
      </c>
      <c r="B626" s="39">
        <v>72.603363037109375</v>
      </c>
      <c r="C626" s="39">
        <v>72.951316846554761</v>
      </c>
      <c r="D626" s="39">
        <v>70.455985538229157</v>
      </c>
      <c r="E626" s="39">
        <v>70.982888104649916</v>
      </c>
      <c r="F626" s="39">
        <v>855400</v>
      </c>
    </row>
    <row r="627" spans="1:6">
      <c r="A627" s="41">
        <v>44736</v>
      </c>
      <c r="B627" s="39">
        <v>73.339035034179688</v>
      </c>
      <c r="C627" s="39">
        <v>74.452494765883188</v>
      </c>
      <c r="D627" s="39">
        <v>71.947219850580169</v>
      </c>
      <c r="E627" s="39">
        <v>74.412727534234079</v>
      </c>
      <c r="F627" s="39">
        <v>1171400</v>
      </c>
    </row>
    <row r="628" spans="1:6">
      <c r="A628" s="41">
        <v>44739</v>
      </c>
      <c r="B628" s="39">
        <v>74.601615905761719</v>
      </c>
      <c r="C628" s="39">
        <v>75.446648673794968</v>
      </c>
      <c r="D628" s="39">
        <v>73.060667999189022</v>
      </c>
      <c r="E628" s="39">
        <v>73.418565479621094</v>
      </c>
      <c r="F628" s="39">
        <v>1293300</v>
      </c>
    </row>
    <row r="629" spans="1:6">
      <c r="A629" s="41">
        <v>44740</v>
      </c>
      <c r="B629" s="39">
        <v>71.788154602050781</v>
      </c>
      <c r="C629" s="39">
        <v>75.337298671717775</v>
      </c>
      <c r="D629" s="39">
        <v>71.758331072991908</v>
      </c>
      <c r="E629" s="39">
        <v>75.337298671717775</v>
      </c>
      <c r="F629" s="39">
        <v>878200</v>
      </c>
    </row>
    <row r="630" spans="1:6">
      <c r="A630" s="41">
        <v>44741</v>
      </c>
      <c r="B630" s="39">
        <v>68.9150390625</v>
      </c>
      <c r="C630" s="39">
        <v>70.386396385130297</v>
      </c>
      <c r="D630" s="39">
        <v>68.149540664223508</v>
      </c>
      <c r="E630" s="39">
        <v>70.207447624064784</v>
      </c>
      <c r="F630" s="39">
        <v>1726100</v>
      </c>
    </row>
    <row r="631" spans="1:6">
      <c r="A631" s="41">
        <v>44742</v>
      </c>
      <c r="B631" s="39">
        <v>70.972946166992188</v>
      </c>
      <c r="C631" s="39">
        <v>71.51973615603579</v>
      </c>
      <c r="D631" s="39">
        <v>68.258898800928705</v>
      </c>
      <c r="E631" s="39">
        <v>68.427903857606054</v>
      </c>
      <c r="F631" s="39">
        <v>1177100</v>
      </c>
    </row>
    <row r="632" spans="1:6">
      <c r="A632" s="41">
        <v>44743</v>
      </c>
      <c r="B632" s="39">
        <v>71.579383850097656</v>
      </c>
      <c r="C632" s="39">
        <v>72.096342729470052</v>
      </c>
      <c r="D632" s="39">
        <v>70.386397153192476</v>
      </c>
      <c r="E632" s="39">
        <v>70.634936680449755</v>
      </c>
      <c r="F632" s="39">
        <v>843600</v>
      </c>
    </row>
    <row r="633" spans="1:6">
      <c r="A633" s="41">
        <v>44747</v>
      </c>
      <c r="B633" s="39">
        <v>71.201606750488281</v>
      </c>
      <c r="C633" s="39">
        <v>71.27119751497294</v>
      </c>
      <c r="D633" s="39">
        <v>68.19924500312267</v>
      </c>
      <c r="E633" s="39">
        <v>70.237272167754782</v>
      </c>
      <c r="F633" s="39">
        <v>907900</v>
      </c>
    </row>
    <row r="634" spans="1:6">
      <c r="A634" s="41">
        <v>44748</v>
      </c>
      <c r="B634" s="39">
        <v>70.644874572753906</v>
      </c>
      <c r="C634" s="39">
        <v>71.977050416382326</v>
      </c>
      <c r="D634" s="39">
        <v>69.849552616472806</v>
      </c>
      <c r="E634" s="39">
        <v>71.012715812859625</v>
      </c>
      <c r="F634" s="39">
        <v>649100</v>
      </c>
    </row>
    <row r="635" spans="1:6">
      <c r="A635" s="41">
        <v>44749</v>
      </c>
      <c r="B635" s="39">
        <v>74.581733703613281</v>
      </c>
      <c r="C635" s="39">
        <v>75.088756433747321</v>
      </c>
      <c r="D635" s="39">
        <v>71.380551148288347</v>
      </c>
      <c r="E635" s="39">
        <v>71.380551148288347</v>
      </c>
      <c r="F635" s="39">
        <v>1667000</v>
      </c>
    </row>
    <row r="636" spans="1:6">
      <c r="A636" s="41">
        <v>44750</v>
      </c>
      <c r="B636" s="39">
        <v>76.232040405273438</v>
      </c>
      <c r="C636" s="39">
        <v>76.560114385694078</v>
      </c>
      <c r="D636" s="39">
        <v>73.319156983746552</v>
      </c>
      <c r="E636" s="39">
        <v>74.124422585848052</v>
      </c>
      <c r="F636" s="39">
        <v>3004000</v>
      </c>
    </row>
    <row r="637" spans="1:6">
      <c r="A637" s="41">
        <v>44753</v>
      </c>
      <c r="B637" s="39">
        <v>72.623245239257812</v>
      </c>
      <c r="C637" s="39">
        <v>75.098696545914692</v>
      </c>
      <c r="D637" s="39">
        <v>72.344874626835633</v>
      </c>
      <c r="E637" s="39">
        <v>75.029105789015063</v>
      </c>
      <c r="F637" s="39">
        <v>1308500</v>
      </c>
    </row>
    <row r="638" spans="1:6">
      <c r="A638" s="41">
        <v>44754</v>
      </c>
      <c r="B638" s="39">
        <v>70.197502136230469</v>
      </c>
      <c r="C638" s="39">
        <v>72.93143683678241</v>
      </c>
      <c r="D638" s="39">
        <v>69.670599571150504</v>
      </c>
      <c r="E638" s="39">
        <v>72.672953614070366</v>
      </c>
      <c r="F638" s="39">
        <v>2139300</v>
      </c>
    </row>
    <row r="639" spans="1:6">
      <c r="A639" s="41">
        <v>44755</v>
      </c>
      <c r="B639" s="39">
        <v>70.704521179199219</v>
      </c>
      <c r="C639" s="39">
        <v>71.539610276066441</v>
      </c>
      <c r="D639" s="39">
        <v>68.616783267383624</v>
      </c>
      <c r="E639" s="39">
        <v>68.656550498399753</v>
      </c>
      <c r="F639" s="39">
        <v>1026300</v>
      </c>
    </row>
    <row r="640" spans="1:6">
      <c r="A640" s="41">
        <v>44756</v>
      </c>
      <c r="B640" s="39">
        <v>70.724403381347656</v>
      </c>
      <c r="C640" s="39">
        <v>70.933175662587217</v>
      </c>
      <c r="D640" s="39">
        <v>68.606849456068673</v>
      </c>
      <c r="E640" s="39">
        <v>69.958905016802603</v>
      </c>
      <c r="F640" s="39">
        <v>1024300</v>
      </c>
    </row>
    <row r="641" spans="1:6">
      <c r="A641" s="41">
        <v>44757</v>
      </c>
      <c r="B641" s="39">
        <v>69.302757263183594</v>
      </c>
      <c r="C641" s="39">
        <v>69.302757263183594</v>
      </c>
      <c r="D641" s="39">
        <v>65.515017492070058</v>
      </c>
      <c r="E641" s="39">
        <v>68.755974882571067</v>
      </c>
      <c r="F641" s="39">
        <v>2604800</v>
      </c>
    </row>
    <row r="642" spans="1:6">
      <c r="A642" s="41">
        <v>44760</v>
      </c>
      <c r="B642" s="39">
        <v>70.95306396484375</v>
      </c>
      <c r="C642" s="39">
        <v>72.464180889201771</v>
      </c>
      <c r="D642" s="39">
        <v>70.187558005832969</v>
      </c>
      <c r="E642" s="39">
        <v>70.187558005832969</v>
      </c>
      <c r="F642" s="39">
        <v>1063000</v>
      </c>
    </row>
    <row r="643" spans="1:6">
      <c r="A643" s="41">
        <v>44761</v>
      </c>
      <c r="B643" s="39">
        <v>72.185813903808594</v>
      </c>
      <c r="C643" s="39">
        <v>72.32499541879082</v>
      </c>
      <c r="D643" s="39">
        <v>70.565339073759162</v>
      </c>
      <c r="E643" s="39">
        <v>71.420307986582657</v>
      </c>
      <c r="F643" s="39">
        <v>653500</v>
      </c>
    </row>
    <row r="644" spans="1:6">
      <c r="A644" s="41">
        <v>44762</v>
      </c>
      <c r="B644" s="39">
        <v>72.921493530273438</v>
      </c>
      <c r="C644" s="39">
        <v>73.776470084443488</v>
      </c>
      <c r="D644" s="39">
        <v>72.18581867604253</v>
      </c>
      <c r="E644" s="39">
        <v>72.305120375981687</v>
      </c>
      <c r="F644" s="39">
        <v>788600</v>
      </c>
    </row>
    <row r="645" spans="1:6">
      <c r="A645" s="41">
        <v>44763</v>
      </c>
      <c r="B645" s="39">
        <v>72.692840576171875</v>
      </c>
      <c r="C645" s="39">
        <v>73.170032200742369</v>
      </c>
      <c r="D645" s="39">
        <v>71.251306828393226</v>
      </c>
      <c r="E645" s="39">
        <v>73.170032200742369</v>
      </c>
      <c r="F645" s="39">
        <v>1393400</v>
      </c>
    </row>
    <row r="646" spans="1:6">
      <c r="A646" s="41">
        <v>44764</v>
      </c>
      <c r="B646" s="39">
        <v>71.619148254394531</v>
      </c>
      <c r="C646" s="39">
        <v>73.925594672803072</v>
      </c>
      <c r="D646" s="39">
        <v>71.281130566573694</v>
      </c>
      <c r="E646" s="39">
        <v>72.971203836029616</v>
      </c>
      <c r="F646" s="39">
        <v>873100</v>
      </c>
    </row>
    <row r="647" spans="1:6">
      <c r="A647" s="41">
        <v>44767</v>
      </c>
      <c r="B647" s="39">
        <v>72.782310485839844</v>
      </c>
      <c r="C647" s="39">
        <v>72.931435711442859</v>
      </c>
      <c r="D647" s="39">
        <v>70.813881779317043</v>
      </c>
      <c r="E647" s="39">
        <v>71.788152428251834</v>
      </c>
      <c r="F647" s="39">
        <v>607100</v>
      </c>
    </row>
    <row r="648" spans="1:6">
      <c r="A648" s="41">
        <v>44768</v>
      </c>
      <c r="B648" s="39">
        <v>72.205696105957031</v>
      </c>
      <c r="C648" s="39">
        <v>73.219741559753686</v>
      </c>
      <c r="D648" s="39">
        <v>72.07645829059328</v>
      </c>
      <c r="E648" s="39">
        <v>73.120327272179736</v>
      </c>
      <c r="F648" s="39">
        <v>491600</v>
      </c>
    </row>
    <row r="649" spans="1:6">
      <c r="A649" s="41">
        <v>44769</v>
      </c>
      <c r="B649" s="39">
        <v>76.639640808105469</v>
      </c>
      <c r="C649" s="39">
        <v>76.838476969971012</v>
      </c>
      <c r="D649" s="39">
        <v>73.189918729008596</v>
      </c>
      <c r="E649" s="39">
        <v>73.836115396805525</v>
      </c>
      <c r="F649" s="39">
        <v>2841400</v>
      </c>
    </row>
    <row r="650" spans="1:6">
      <c r="A650" s="41">
        <v>44770</v>
      </c>
      <c r="B650" s="39">
        <v>82.395820617675781</v>
      </c>
      <c r="C650" s="39">
        <v>84.433847757105482</v>
      </c>
      <c r="D650" s="39">
        <v>79.651949722076239</v>
      </c>
      <c r="E650" s="39">
        <v>82.286462619863002</v>
      </c>
      <c r="F650" s="39">
        <v>6101900</v>
      </c>
    </row>
    <row r="651" spans="1:6">
      <c r="A651" s="41">
        <v>44771</v>
      </c>
      <c r="B651" s="39">
        <v>85.070098876953125</v>
      </c>
      <c r="C651" s="39">
        <v>85.507530819573475</v>
      </c>
      <c r="D651" s="39">
        <v>82.018034151905468</v>
      </c>
      <c r="E651" s="39">
        <v>82.246693826863435</v>
      </c>
      <c r="F651" s="39">
        <v>2728600</v>
      </c>
    </row>
    <row r="652" spans="1:6">
      <c r="A652" s="41">
        <v>44774</v>
      </c>
      <c r="B652" s="39">
        <v>82.863075256347656</v>
      </c>
      <c r="C652" s="39">
        <v>84.155483806837736</v>
      </c>
      <c r="D652" s="39">
        <v>82.216870981102616</v>
      </c>
      <c r="E652" s="39">
        <v>83.936767813540257</v>
      </c>
      <c r="F652" s="39">
        <v>1807000</v>
      </c>
    </row>
    <row r="653" spans="1:6">
      <c r="A653" s="41">
        <v>44775</v>
      </c>
      <c r="B653" s="39">
        <v>83.67828369140625</v>
      </c>
      <c r="C653" s="39">
        <v>84.891157761391952</v>
      </c>
      <c r="D653" s="39">
        <v>80.675929630065156</v>
      </c>
      <c r="E653" s="39">
        <v>80.954292678621044</v>
      </c>
      <c r="F653" s="39">
        <v>1943900</v>
      </c>
    </row>
    <row r="654" spans="1:6">
      <c r="A654" s="41">
        <v>44776</v>
      </c>
      <c r="B654" s="39">
        <v>81.292304992675781</v>
      </c>
      <c r="C654" s="39">
        <v>82.654304328472421</v>
      </c>
      <c r="D654" s="39">
        <v>79.383523249457795</v>
      </c>
      <c r="E654" s="39">
        <v>82.574769859632227</v>
      </c>
      <c r="F654" s="39">
        <v>1812400</v>
      </c>
    </row>
    <row r="655" spans="1:6">
      <c r="A655" s="41">
        <v>44777</v>
      </c>
      <c r="B655" s="39">
        <v>82.972427368164062</v>
      </c>
      <c r="C655" s="39">
        <v>83.429739146794674</v>
      </c>
      <c r="D655" s="39">
        <v>80.705748298071569</v>
      </c>
      <c r="E655" s="39">
        <v>81.540837393443013</v>
      </c>
      <c r="F655" s="39">
        <v>1212400</v>
      </c>
    </row>
    <row r="656" spans="1:6">
      <c r="A656" s="41">
        <v>44778</v>
      </c>
      <c r="B656" s="39">
        <v>84.274772644042969</v>
      </c>
      <c r="C656" s="39">
        <v>86.014549191965457</v>
      </c>
      <c r="D656" s="39">
        <v>82.713944844442608</v>
      </c>
      <c r="E656" s="39">
        <v>84.404018041890168</v>
      </c>
      <c r="F656" s="39">
        <v>2525300</v>
      </c>
    </row>
    <row r="657" spans="1:6">
      <c r="A657" s="41">
        <v>44781</v>
      </c>
      <c r="B657" s="39">
        <v>84.87127685546875</v>
      </c>
      <c r="C657" s="39">
        <v>88.231528389220117</v>
      </c>
      <c r="D657" s="39">
        <v>84.483555816375286</v>
      </c>
      <c r="E657" s="39">
        <v>86.501695477508974</v>
      </c>
      <c r="F657" s="39">
        <v>2115100</v>
      </c>
    </row>
    <row r="658" spans="1:6">
      <c r="A658" s="41">
        <v>44782</v>
      </c>
      <c r="B658" s="39">
        <v>85.348472595214844</v>
      </c>
      <c r="C658" s="39">
        <v>85.59701212378846</v>
      </c>
      <c r="D658" s="39">
        <v>82.813373954658658</v>
      </c>
      <c r="E658" s="39">
        <v>83.409867306270428</v>
      </c>
      <c r="F658" s="39">
        <v>1416100</v>
      </c>
    </row>
    <row r="659" spans="1:6">
      <c r="A659" s="41">
        <v>44783</v>
      </c>
      <c r="B659" s="39">
        <v>89.603462219238281</v>
      </c>
      <c r="C659" s="39">
        <v>89.643229451374239</v>
      </c>
      <c r="D659" s="39">
        <v>85.954904000034588</v>
      </c>
      <c r="E659" s="39">
        <v>87.545555361352712</v>
      </c>
      <c r="F659" s="39">
        <v>1848700</v>
      </c>
    </row>
    <row r="660" spans="1:6">
      <c r="A660" s="41">
        <v>44784</v>
      </c>
      <c r="B660" s="39">
        <v>87.41632080078125</v>
      </c>
      <c r="C660" s="39">
        <v>90.587687522098435</v>
      </c>
      <c r="D660" s="39">
        <v>87.227428337307401</v>
      </c>
      <c r="E660" s="39">
        <v>90.587687522098435</v>
      </c>
      <c r="F660" s="39">
        <v>1383900</v>
      </c>
    </row>
    <row r="661" spans="1:6">
      <c r="A661" s="41">
        <v>44785</v>
      </c>
      <c r="B661" s="39">
        <v>88.559600830078125</v>
      </c>
      <c r="C661" s="39">
        <v>88.698782350159746</v>
      </c>
      <c r="D661" s="39">
        <v>86.203443523283781</v>
      </c>
      <c r="E661" s="39">
        <v>87.018652820115008</v>
      </c>
      <c r="F661" s="39">
        <v>1074300</v>
      </c>
    </row>
    <row r="662" spans="1:6">
      <c r="A662" s="41">
        <v>44788</v>
      </c>
      <c r="B662" s="39">
        <v>88.370712280273438</v>
      </c>
      <c r="C662" s="39">
        <v>89.195865317823973</v>
      </c>
      <c r="D662" s="39">
        <v>87.008712962322221</v>
      </c>
      <c r="E662" s="39">
        <v>88.321001341693545</v>
      </c>
      <c r="F662" s="39">
        <v>1990000</v>
      </c>
    </row>
    <row r="663" spans="1:6">
      <c r="A663" s="41">
        <v>44789</v>
      </c>
      <c r="B663" s="39">
        <v>87.137954711914062</v>
      </c>
      <c r="C663" s="39">
        <v>88.330941339523989</v>
      </c>
      <c r="D663" s="39">
        <v>86.740289974436095</v>
      </c>
      <c r="E663" s="39">
        <v>87.933276602046007</v>
      </c>
      <c r="F663" s="39">
        <v>773400</v>
      </c>
    </row>
    <row r="664" spans="1:6">
      <c r="A664" s="41">
        <v>44790</v>
      </c>
      <c r="B664" s="39">
        <v>86.123908996582031</v>
      </c>
      <c r="C664" s="39">
        <v>86.790000653431605</v>
      </c>
      <c r="D664" s="39">
        <v>84.622735804671933</v>
      </c>
      <c r="E664" s="39">
        <v>85.696420732405727</v>
      </c>
      <c r="F664" s="39">
        <v>1448500</v>
      </c>
    </row>
    <row r="665" spans="1:6">
      <c r="A665" s="41">
        <v>44791</v>
      </c>
      <c r="B665" s="39">
        <v>87.157829284667969</v>
      </c>
      <c r="C665" s="39">
        <v>88.350823425228242</v>
      </c>
      <c r="D665" s="39">
        <v>86.630926762803853</v>
      </c>
      <c r="E665" s="39">
        <v>86.650814170132819</v>
      </c>
      <c r="F665" s="39">
        <v>873500</v>
      </c>
    </row>
    <row r="666" spans="1:6">
      <c r="A666" s="41">
        <v>44792</v>
      </c>
      <c r="B666" s="39">
        <v>84.324485778808594</v>
      </c>
      <c r="C666" s="39">
        <v>86.05431866782645</v>
      </c>
      <c r="D666" s="39">
        <v>83.807526928407214</v>
      </c>
      <c r="E666" s="39">
        <v>86.05431866782645</v>
      </c>
      <c r="F666" s="39">
        <v>1571100</v>
      </c>
    </row>
    <row r="667" spans="1:6">
      <c r="A667" s="41">
        <v>44795</v>
      </c>
      <c r="B667" s="39">
        <v>82.843193054199219</v>
      </c>
      <c r="C667" s="39">
        <v>83.459566197811512</v>
      </c>
      <c r="D667" s="39">
        <v>81.530904716902512</v>
      </c>
      <c r="E667" s="39">
        <v>82.087630803990791</v>
      </c>
      <c r="F667" s="39">
        <v>1769300</v>
      </c>
    </row>
    <row r="668" spans="1:6">
      <c r="A668" s="41">
        <v>44796</v>
      </c>
      <c r="B668" s="39">
        <v>83.429740905761719</v>
      </c>
      <c r="C668" s="39">
        <v>84.523313232919094</v>
      </c>
      <c r="D668" s="39">
        <v>82.694066079830236</v>
      </c>
      <c r="E668" s="39">
        <v>83.061907285207937</v>
      </c>
      <c r="F668" s="39">
        <v>718300</v>
      </c>
    </row>
    <row r="669" spans="1:6">
      <c r="A669" s="41">
        <v>44797</v>
      </c>
      <c r="B669" s="39">
        <v>85.149642944335938</v>
      </c>
      <c r="C669" s="39">
        <v>86.163680870946877</v>
      </c>
      <c r="D669" s="39">
        <v>82.972434274040438</v>
      </c>
      <c r="E669" s="39">
        <v>82.972434274040438</v>
      </c>
      <c r="F669" s="39">
        <v>1280500</v>
      </c>
    </row>
    <row r="670" spans="1:6">
      <c r="A670" s="41">
        <v>44798</v>
      </c>
      <c r="B670" s="39">
        <v>86.9788818359375</v>
      </c>
      <c r="C670" s="39">
        <v>86.988825539749811</v>
      </c>
      <c r="D670" s="39">
        <v>85.38823054303252</v>
      </c>
      <c r="E670" s="39">
        <v>86.660751577356493</v>
      </c>
      <c r="F670" s="39">
        <v>1010600</v>
      </c>
    </row>
    <row r="671" spans="1:6">
      <c r="A671" s="41">
        <v>44799</v>
      </c>
      <c r="B671" s="39">
        <v>85.219230651855469</v>
      </c>
      <c r="C671" s="39">
        <v>88.82802170177807</v>
      </c>
      <c r="D671" s="39">
        <v>85.099928953369727</v>
      </c>
      <c r="E671" s="39">
        <v>87.784160283118197</v>
      </c>
      <c r="F671" s="39">
        <v>1262700</v>
      </c>
    </row>
    <row r="672" spans="1:6">
      <c r="A672" s="41">
        <v>44802</v>
      </c>
      <c r="B672" s="39">
        <v>84.215126037597656</v>
      </c>
      <c r="C672" s="39">
        <v>86.064260585156376</v>
      </c>
      <c r="D672" s="39">
        <v>83.78763778015508</v>
      </c>
      <c r="E672" s="39">
        <v>83.887052066457656</v>
      </c>
      <c r="F672" s="39">
        <v>1151800</v>
      </c>
    </row>
    <row r="673" spans="1:6">
      <c r="A673" s="41">
        <v>44803</v>
      </c>
      <c r="B673" s="39">
        <v>83.141433715820312</v>
      </c>
      <c r="C673" s="39">
        <v>85.805777552350136</v>
      </c>
      <c r="D673" s="39">
        <v>81.888800053105271</v>
      </c>
      <c r="E673" s="39">
        <v>84.473609426497163</v>
      </c>
      <c r="F673" s="39">
        <v>1241400</v>
      </c>
    </row>
    <row r="674" spans="1:6">
      <c r="A674" s="41">
        <v>44804</v>
      </c>
      <c r="B674" s="39">
        <v>83.837348937988281</v>
      </c>
      <c r="C674" s="39">
        <v>84.63267081534137</v>
      </c>
      <c r="D674" s="39">
        <v>82.713945503801526</v>
      </c>
      <c r="E674" s="39">
        <v>84.056064919328136</v>
      </c>
      <c r="F674" s="39">
        <v>841200</v>
      </c>
    </row>
    <row r="675" spans="1:6">
      <c r="A675" s="41">
        <v>44805</v>
      </c>
      <c r="B675" s="39">
        <v>82.306350708007812</v>
      </c>
      <c r="C675" s="39">
        <v>83.071849114184616</v>
      </c>
      <c r="D675" s="39">
        <v>80.288210961444534</v>
      </c>
      <c r="E675" s="39">
        <v>82.057811180897559</v>
      </c>
      <c r="F675" s="39">
        <v>1512200</v>
      </c>
    </row>
    <row r="676" spans="1:6">
      <c r="A676" s="41">
        <v>44806</v>
      </c>
      <c r="B676" s="39">
        <v>80.367729187011719</v>
      </c>
      <c r="C676" s="39">
        <v>83.131494801968174</v>
      </c>
      <c r="D676" s="39">
        <v>79.970072054337578</v>
      </c>
      <c r="E676" s="39">
        <v>83.131494801968174</v>
      </c>
      <c r="F676" s="39">
        <v>943900</v>
      </c>
    </row>
    <row r="677" spans="1:6">
      <c r="A677" s="41">
        <v>44810</v>
      </c>
      <c r="B677" s="39">
        <v>81.868919372558594</v>
      </c>
      <c r="C677" s="39">
        <v>82.664248899647092</v>
      </c>
      <c r="D677" s="39">
        <v>79.771245140066569</v>
      </c>
      <c r="E677" s="39">
        <v>80.924472195862435</v>
      </c>
      <c r="F677" s="39">
        <v>1377000</v>
      </c>
    </row>
    <row r="678" spans="1:6">
      <c r="A678" s="41">
        <v>44811</v>
      </c>
      <c r="B678" s="39">
        <v>86.909294128417969</v>
      </c>
      <c r="C678" s="39">
        <v>87.326838685302121</v>
      </c>
      <c r="D678" s="39">
        <v>82.008094682638102</v>
      </c>
      <c r="E678" s="39">
        <v>82.296401424722077</v>
      </c>
      <c r="F678" s="39">
        <v>3826400</v>
      </c>
    </row>
    <row r="679" spans="1:6">
      <c r="A679" s="41">
        <v>44812</v>
      </c>
      <c r="B679" s="39">
        <v>87.237373352050781</v>
      </c>
      <c r="C679" s="39">
        <v>88.291178511837728</v>
      </c>
      <c r="D679" s="39">
        <v>85.577131143942253</v>
      </c>
      <c r="E679" s="39">
        <v>86.491754776392227</v>
      </c>
      <c r="F679" s="39">
        <v>1782900</v>
      </c>
    </row>
    <row r="680" spans="1:6">
      <c r="A680" s="41">
        <v>44813</v>
      </c>
      <c r="B680" s="39">
        <v>87.277137756347656</v>
      </c>
      <c r="C680" s="39">
        <v>87.9730453704681</v>
      </c>
      <c r="D680" s="39">
        <v>85.875371238845446</v>
      </c>
      <c r="E680" s="39">
        <v>87.913398313493246</v>
      </c>
      <c r="F680" s="39">
        <v>1224700</v>
      </c>
    </row>
    <row r="681" spans="1:6">
      <c r="A681" s="41">
        <v>44816</v>
      </c>
      <c r="B681" s="39">
        <v>87.684738159179688</v>
      </c>
      <c r="C681" s="39">
        <v>87.833863385656585</v>
      </c>
      <c r="D681" s="39">
        <v>86.024496013636195</v>
      </c>
      <c r="E681" s="39">
        <v>87.704625567949449</v>
      </c>
      <c r="F681" s="39">
        <v>1487300</v>
      </c>
    </row>
    <row r="682" spans="1:6">
      <c r="A682" s="41">
        <v>44817</v>
      </c>
      <c r="B682" s="39">
        <v>86.15374755859375</v>
      </c>
      <c r="C682" s="39">
        <v>87.615153644752567</v>
      </c>
      <c r="D682" s="39">
        <v>84.006362347803886</v>
      </c>
      <c r="E682" s="39">
        <v>84.463674179399959</v>
      </c>
      <c r="F682" s="39">
        <v>2437500</v>
      </c>
    </row>
    <row r="683" spans="1:6">
      <c r="A683" s="41">
        <v>44818</v>
      </c>
      <c r="B683" s="39">
        <v>87.8338623046875</v>
      </c>
      <c r="C683" s="39">
        <v>87.923340473402078</v>
      </c>
      <c r="D683" s="39">
        <v>84.851388151150928</v>
      </c>
      <c r="E683" s="39">
        <v>86.352568932181725</v>
      </c>
      <c r="F683" s="39">
        <v>2075100</v>
      </c>
    </row>
    <row r="684" spans="1:6">
      <c r="A684" s="41">
        <v>44819</v>
      </c>
      <c r="B684" s="39">
        <v>84.513374328613281</v>
      </c>
      <c r="C684" s="39">
        <v>86.849644128922122</v>
      </c>
      <c r="D684" s="39">
        <v>83.906937337343606</v>
      </c>
      <c r="E684" s="39">
        <v>86.034434866287697</v>
      </c>
      <c r="F684" s="39">
        <v>2205900</v>
      </c>
    </row>
    <row r="685" spans="1:6">
      <c r="A685" s="41">
        <v>44820</v>
      </c>
      <c r="B685" s="39">
        <v>84.483558654785156</v>
      </c>
      <c r="C685" s="39">
        <v>84.5034384794576</v>
      </c>
      <c r="D685" s="39">
        <v>82.316293693919036</v>
      </c>
      <c r="E685" s="39">
        <v>83.061912268737771</v>
      </c>
      <c r="F685" s="39">
        <v>1360400</v>
      </c>
    </row>
    <row r="686" spans="1:6">
      <c r="A686" s="41">
        <v>44823</v>
      </c>
      <c r="B686" s="39">
        <v>83.797584533691406</v>
      </c>
      <c r="C686" s="39">
        <v>84.334430801050232</v>
      </c>
      <c r="D686" s="39">
        <v>82.773602936345981</v>
      </c>
      <c r="E686" s="39">
        <v>82.823306288894088</v>
      </c>
      <c r="F686" s="39">
        <v>1365300</v>
      </c>
    </row>
    <row r="687" spans="1:6">
      <c r="A687" s="41">
        <v>44824</v>
      </c>
      <c r="B687" s="39">
        <v>81.182952880859375</v>
      </c>
      <c r="C687" s="39">
        <v>83.708107742706375</v>
      </c>
      <c r="D687" s="39">
        <v>81.023883946506416</v>
      </c>
      <c r="E687" s="39">
        <v>83.50927915958944</v>
      </c>
      <c r="F687" s="39">
        <v>1376600</v>
      </c>
    </row>
    <row r="688" spans="1:6">
      <c r="A688" s="41">
        <v>44825</v>
      </c>
      <c r="B688" s="39">
        <v>80.755462646484375</v>
      </c>
      <c r="C688" s="39">
        <v>83.121556101541756</v>
      </c>
      <c r="D688" s="39">
        <v>80.188792855008174</v>
      </c>
      <c r="E688" s="39">
        <v>81.600495481517441</v>
      </c>
      <c r="F688" s="39">
        <v>1082300</v>
      </c>
    </row>
    <row r="689" spans="1:6">
      <c r="A689" s="41">
        <v>44826</v>
      </c>
      <c r="B689" s="39">
        <v>78.011589050292969</v>
      </c>
      <c r="C689" s="39">
        <v>81.004007121393528</v>
      </c>
      <c r="D689" s="39">
        <v>77.355441049028755</v>
      </c>
      <c r="E689" s="39">
        <v>80.457217120340019</v>
      </c>
      <c r="F689" s="39">
        <v>1849200</v>
      </c>
    </row>
    <row r="690" spans="1:6">
      <c r="A690" s="41">
        <v>44827</v>
      </c>
      <c r="B690" s="39">
        <v>75.257766723632812</v>
      </c>
      <c r="C690" s="39">
        <v>76.450761019693644</v>
      </c>
      <c r="D690" s="39">
        <v>74.323263247600025</v>
      </c>
      <c r="E690" s="39">
        <v>75.854267664075493</v>
      </c>
      <c r="F690" s="39">
        <v>1746800</v>
      </c>
    </row>
    <row r="691" spans="1:6">
      <c r="A691" s="41">
        <v>44830</v>
      </c>
      <c r="B691" s="39">
        <v>73.9156494140625</v>
      </c>
      <c r="C691" s="39">
        <v>76.649584048364105</v>
      </c>
      <c r="D691" s="39">
        <v>73.766524189772156</v>
      </c>
      <c r="E691" s="39">
        <v>74.870040230767088</v>
      </c>
      <c r="F691" s="39">
        <v>1059400</v>
      </c>
    </row>
    <row r="692" spans="1:6">
      <c r="A692" s="41">
        <v>44831</v>
      </c>
      <c r="B692" s="39">
        <v>75.476478576660156</v>
      </c>
      <c r="C692" s="39">
        <v>77.017426613426707</v>
      </c>
      <c r="D692" s="39">
        <v>74.760683555318892</v>
      </c>
      <c r="E692" s="39">
        <v>75.884087024577752</v>
      </c>
      <c r="F692" s="39">
        <v>828600</v>
      </c>
    </row>
    <row r="693" spans="1:6">
      <c r="A693" s="41">
        <v>44832</v>
      </c>
      <c r="B693" s="39">
        <v>76.878250122070312</v>
      </c>
      <c r="C693" s="39">
        <v>77.256027481468152</v>
      </c>
      <c r="D693" s="39">
        <v>73.945479083524546</v>
      </c>
      <c r="E693" s="39">
        <v>75.327358279394474</v>
      </c>
      <c r="F693" s="39">
        <v>2524900</v>
      </c>
    </row>
    <row r="694" spans="1:6">
      <c r="A694" s="41">
        <v>44833</v>
      </c>
      <c r="B694" s="39">
        <v>72.841957092285156</v>
      </c>
      <c r="C694" s="39">
        <v>75.416830389644417</v>
      </c>
      <c r="D694" s="39">
        <v>72.016811674049421</v>
      </c>
      <c r="E694" s="39">
        <v>75.357183333701201</v>
      </c>
      <c r="F694" s="39">
        <v>1041600</v>
      </c>
    </row>
    <row r="695" spans="1:6">
      <c r="A695" s="41">
        <v>44834</v>
      </c>
      <c r="B695" s="39">
        <v>73.179969787597656</v>
      </c>
      <c r="C695" s="39">
        <v>74.730853815040021</v>
      </c>
      <c r="D695" s="39">
        <v>72.096333641246744</v>
      </c>
      <c r="E695" s="39">
        <v>72.573532810749356</v>
      </c>
      <c r="F695" s="39">
        <v>733800</v>
      </c>
    </row>
    <row r="696" spans="1:6">
      <c r="A696" s="41">
        <v>44837</v>
      </c>
      <c r="B696" s="39">
        <v>74.929695129394531</v>
      </c>
      <c r="C696" s="39">
        <v>75.536132148059224</v>
      </c>
      <c r="D696" s="39">
        <v>73.070616841131155</v>
      </c>
      <c r="E696" s="39">
        <v>73.746644620061105</v>
      </c>
      <c r="F696" s="39">
        <v>1758900</v>
      </c>
    </row>
    <row r="697" spans="1:6">
      <c r="A697" s="41">
        <v>44838</v>
      </c>
      <c r="B697" s="39">
        <v>77.9022216796875</v>
      </c>
      <c r="C697" s="39">
        <v>78.697551115586336</v>
      </c>
      <c r="D697" s="39">
        <v>77.106892243788664</v>
      </c>
      <c r="E697" s="39">
        <v>77.544324192015381</v>
      </c>
      <c r="F697" s="39">
        <v>766700</v>
      </c>
    </row>
    <row r="698" spans="1:6">
      <c r="A698" s="41">
        <v>44839</v>
      </c>
      <c r="B698" s="39">
        <v>74.820335388183594</v>
      </c>
      <c r="C698" s="39">
        <v>76.908065732171636</v>
      </c>
      <c r="D698" s="39">
        <v>73.41856892654269</v>
      </c>
      <c r="E698" s="39">
        <v>76.908065732171636</v>
      </c>
      <c r="F698" s="39">
        <v>1358200</v>
      </c>
    </row>
    <row r="699" spans="1:6">
      <c r="A699" s="41">
        <v>44840</v>
      </c>
      <c r="B699" s="39">
        <v>72.712715148925781</v>
      </c>
      <c r="C699" s="39">
        <v>75.943728632738512</v>
      </c>
      <c r="D699" s="39">
        <v>72.623244570089355</v>
      </c>
      <c r="E699" s="39">
        <v>74.720918546365965</v>
      </c>
      <c r="F699" s="39">
        <v>1037300</v>
      </c>
    </row>
    <row r="700" spans="1:6">
      <c r="A700" s="41">
        <v>44841</v>
      </c>
      <c r="B700" s="39">
        <v>70.634933471679688</v>
      </c>
      <c r="C700" s="39">
        <v>72.195761328557907</v>
      </c>
      <c r="D700" s="39">
        <v>70.217381320389237</v>
      </c>
      <c r="E700" s="39">
        <v>71.549557070079544</v>
      </c>
      <c r="F700" s="39">
        <v>1141000</v>
      </c>
    </row>
    <row r="701" spans="1:6">
      <c r="A701" s="41">
        <v>44844</v>
      </c>
      <c r="B701" s="39">
        <v>69.680534362792969</v>
      </c>
      <c r="C701" s="39">
        <v>70.237268030702509</v>
      </c>
      <c r="D701" s="39">
        <v>68.527314964283832</v>
      </c>
      <c r="E701" s="39">
        <v>70.038431869011944</v>
      </c>
      <c r="F701" s="39">
        <v>1488200</v>
      </c>
    </row>
    <row r="702" spans="1:6">
      <c r="A702" s="41">
        <v>44845</v>
      </c>
      <c r="B702" s="39">
        <v>68.716209411621094</v>
      </c>
      <c r="C702" s="39">
        <v>69.501595207188558</v>
      </c>
      <c r="D702" s="39">
        <v>67.175261349397402</v>
      </c>
      <c r="E702" s="39">
        <v>68.417958952860303</v>
      </c>
      <c r="F702" s="39">
        <v>1028900</v>
      </c>
    </row>
    <row r="703" spans="1:6">
      <c r="A703" s="41">
        <v>44846</v>
      </c>
      <c r="B703" s="39">
        <v>66.499229431152344</v>
      </c>
      <c r="C703" s="39">
        <v>68.636670693692921</v>
      </c>
      <c r="D703" s="39">
        <v>66.429638673061433</v>
      </c>
      <c r="E703" s="39">
        <v>68.39807489235605</v>
      </c>
      <c r="F703" s="39">
        <v>1022600</v>
      </c>
    </row>
    <row r="704" spans="1:6">
      <c r="A704" s="41">
        <v>44847</v>
      </c>
      <c r="B704" s="39">
        <v>67.175262451171875</v>
      </c>
      <c r="C704" s="39">
        <v>67.821466732536152</v>
      </c>
      <c r="D704" s="39">
        <v>64.073486451518008</v>
      </c>
      <c r="E704" s="39">
        <v>64.391616739829345</v>
      </c>
      <c r="F704" s="39">
        <v>1235800</v>
      </c>
    </row>
    <row r="705" spans="1:6">
      <c r="A705" s="41">
        <v>44848</v>
      </c>
      <c r="B705" s="39">
        <v>65.614425659179688</v>
      </c>
      <c r="C705" s="39">
        <v>69.412108780302901</v>
      </c>
      <c r="D705" s="39">
        <v>65.554778608451173</v>
      </c>
      <c r="E705" s="39">
        <v>68.626723078143016</v>
      </c>
      <c r="F705" s="39">
        <v>1457000</v>
      </c>
    </row>
    <row r="706" spans="1:6">
      <c r="A706" s="41">
        <v>44851</v>
      </c>
      <c r="B706" s="39">
        <v>66.220870971679688</v>
      </c>
      <c r="C706" s="39">
        <v>67.920880395143897</v>
      </c>
      <c r="D706" s="39">
        <v>65.654201163858289</v>
      </c>
      <c r="E706" s="39">
        <v>67.135494593983651</v>
      </c>
      <c r="F706" s="39">
        <v>1873000</v>
      </c>
    </row>
    <row r="707" spans="1:6">
      <c r="A707" s="41">
        <v>44852</v>
      </c>
      <c r="B707" s="39">
        <v>68.06005859375</v>
      </c>
      <c r="C707" s="39">
        <v>69.163574626322671</v>
      </c>
      <c r="D707" s="39">
        <v>66.886951801682841</v>
      </c>
      <c r="E707" s="39">
        <v>68.050114889586808</v>
      </c>
      <c r="F707" s="39">
        <v>1727800</v>
      </c>
    </row>
    <row r="708" spans="1:6">
      <c r="A708" s="41">
        <v>44853</v>
      </c>
      <c r="B708" s="39">
        <v>65.713844299316406</v>
      </c>
      <c r="C708" s="39">
        <v>66.956541837445783</v>
      </c>
      <c r="D708" s="39">
        <v>65.127294702034789</v>
      </c>
      <c r="E708" s="39">
        <v>66.956541837445783</v>
      </c>
      <c r="F708" s="39">
        <v>1398500</v>
      </c>
    </row>
    <row r="709" spans="1:6">
      <c r="A709" s="41">
        <v>44854</v>
      </c>
      <c r="B709" s="39">
        <v>64.988121032714844</v>
      </c>
      <c r="C709" s="39">
        <v>66.081693481367083</v>
      </c>
      <c r="D709" s="39">
        <v>64.202735183592623</v>
      </c>
      <c r="E709" s="39">
        <v>65.505079933683717</v>
      </c>
      <c r="F709" s="39">
        <v>1416600</v>
      </c>
    </row>
    <row r="710" spans="1:6">
      <c r="A710" s="41">
        <v>44855</v>
      </c>
      <c r="B710" s="39">
        <v>66.161224365234375</v>
      </c>
      <c r="C710" s="39">
        <v>66.340173126022307</v>
      </c>
      <c r="D710" s="39">
        <v>63.834890474991191</v>
      </c>
      <c r="E710" s="39">
        <v>64.620276281514677</v>
      </c>
      <c r="F710" s="39">
        <v>2051900</v>
      </c>
    </row>
    <row r="711" spans="1:6">
      <c r="A711" s="41">
        <v>44858</v>
      </c>
      <c r="B711" s="39">
        <v>64.481086730957031</v>
      </c>
      <c r="C711" s="39">
        <v>64.848927911477162</v>
      </c>
      <c r="D711" s="39">
        <v>62.602128768907207</v>
      </c>
      <c r="E711" s="39">
        <v>64.829040504517479</v>
      </c>
      <c r="F711" s="39">
        <v>1860800</v>
      </c>
    </row>
    <row r="712" spans="1:6">
      <c r="A712" s="41">
        <v>44859</v>
      </c>
      <c r="B712" s="39">
        <v>67.592803955078125</v>
      </c>
      <c r="C712" s="39">
        <v>67.930821637483447</v>
      </c>
      <c r="D712" s="39">
        <v>65.336068510242413</v>
      </c>
      <c r="E712" s="39">
        <v>65.336068510242413</v>
      </c>
      <c r="F712" s="39">
        <v>1270400</v>
      </c>
    </row>
    <row r="713" spans="1:6">
      <c r="A713" s="41">
        <v>44860</v>
      </c>
      <c r="B713" s="39">
        <v>70.416213989257812</v>
      </c>
      <c r="C713" s="39">
        <v>71.986985472567113</v>
      </c>
      <c r="D713" s="39">
        <v>69.27293075558778</v>
      </c>
      <c r="E713" s="39">
        <v>69.59106101684327</v>
      </c>
      <c r="F713" s="39">
        <v>1988300</v>
      </c>
    </row>
    <row r="714" spans="1:6">
      <c r="A714" s="41">
        <v>44861</v>
      </c>
      <c r="B714" s="39">
        <v>71.171775817871094</v>
      </c>
      <c r="C714" s="39">
        <v>72.016816283548792</v>
      </c>
      <c r="D714" s="39">
        <v>70.008612643585209</v>
      </c>
      <c r="E714" s="39">
        <v>70.903356464122226</v>
      </c>
      <c r="F714" s="39">
        <v>1781300</v>
      </c>
    </row>
    <row r="715" spans="1:6">
      <c r="A715" s="41">
        <v>44862</v>
      </c>
      <c r="B715" s="39">
        <v>70.465919494628906</v>
      </c>
      <c r="C715" s="39">
        <v>71.211538028331987</v>
      </c>
      <c r="D715" s="39">
        <v>69.103927827351939</v>
      </c>
      <c r="E715" s="39">
        <v>71.211538028331987</v>
      </c>
      <c r="F715" s="39">
        <v>1401200</v>
      </c>
    </row>
    <row r="716" spans="1:6">
      <c r="A716" s="41">
        <v>44865</v>
      </c>
      <c r="B716" s="39">
        <v>70.86358642578125</v>
      </c>
      <c r="C716" s="39">
        <v>71.330841934954918</v>
      </c>
      <c r="D716" s="39">
        <v>69.223224083831383</v>
      </c>
      <c r="E716" s="39">
        <v>69.601009006903297</v>
      </c>
      <c r="F716" s="39">
        <v>1045500</v>
      </c>
    </row>
    <row r="717" spans="1:6">
      <c r="A717" s="41">
        <v>44866</v>
      </c>
      <c r="B717" s="39">
        <v>71.330841064453125</v>
      </c>
      <c r="C717" s="39">
        <v>73.458338713805588</v>
      </c>
      <c r="D717" s="39">
        <v>71.30101753611649</v>
      </c>
      <c r="E717" s="39">
        <v>72.722663870480446</v>
      </c>
      <c r="F717" s="39">
        <v>559600</v>
      </c>
    </row>
    <row r="718" spans="1:6">
      <c r="A718" s="41">
        <v>44867</v>
      </c>
      <c r="B718" s="39">
        <v>69.521469116210938</v>
      </c>
      <c r="C718" s="39">
        <v>72.543710340860912</v>
      </c>
      <c r="D718" s="39">
        <v>69.47175818237244</v>
      </c>
      <c r="E718" s="39">
        <v>71.330836369507949</v>
      </c>
      <c r="F718" s="39">
        <v>832200</v>
      </c>
    </row>
    <row r="719" spans="1:6">
      <c r="A719" s="41">
        <v>44868</v>
      </c>
      <c r="B719" s="39">
        <v>72.096336364746094</v>
      </c>
      <c r="C719" s="39">
        <v>72.802195234488494</v>
      </c>
      <c r="D719" s="39">
        <v>69.362401806269972</v>
      </c>
      <c r="E719" s="39">
        <v>69.362401806269972</v>
      </c>
      <c r="F719" s="39">
        <v>937900</v>
      </c>
    </row>
    <row r="720" spans="1:6">
      <c r="A720" s="41">
        <v>44869</v>
      </c>
      <c r="B720" s="39">
        <v>71.937278747558594</v>
      </c>
      <c r="C720" s="39">
        <v>74.750747913665236</v>
      </c>
      <c r="D720" s="39">
        <v>70.376450876808207</v>
      </c>
      <c r="E720" s="39">
        <v>74.750747913665236</v>
      </c>
      <c r="F720" s="39">
        <v>991700</v>
      </c>
    </row>
    <row r="721" spans="1:6">
      <c r="A721" s="41">
        <v>44872</v>
      </c>
      <c r="B721" s="39">
        <v>70.992828369140625</v>
      </c>
      <c r="C721" s="39">
        <v>73.050735182227712</v>
      </c>
      <c r="D721" s="39">
        <v>70.286969495123273</v>
      </c>
      <c r="E721" s="39">
        <v>73.050735182227712</v>
      </c>
      <c r="F721" s="39">
        <v>694000</v>
      </c>
    </row>
    <row r="722" spans="1:6">
      <c r="A722" s="41">
        <v>44873</v>
      </c>
      <c r="B722" s="39">
        <v>73.458343505859375</v>
      </c>
      <c r="C722" s="39">
        <v>73.99518980541211</v>
      </c>
      <c r="D722" s="39">
        <v>72.20570214023634</v>
      </c>
      <c r="E722" s="39">
        <v>72.384650906753919</v>
      </c>
      <c r="F722" s="39">
        <v>821200</v>
      </c>
    </row>
    <row r="723" spans="1:6">
      <c r="A723" s="41">
        <v>44874</v>
      </c>
      <c r="B723" s="39">
        <v>74.154243469238281</v>
      </c>
      <c r="C723" s="39">
        <v>76.331451971871886</v>
      </c>
      <c r="D723" s="39">
        <v>73.329098072673915</v>
      </c>
      <c r="E723" s="39">
        <v>73.736698918954076</v>
      </c>
      <c r="F723" s="39">
        <v>1972700</v>
      </c>
    </row>
    <row r="724" spans="1:6">
      <c r="A724" s="41">
        <v>44875</v>
      </c>
      <c r="B724" s="39">
        <v>81.004005432128906</v>
      </c>
      <c r="C724" s="39">
        <v>81.749624008112022</v>
      </c>
      <c r="D724" s="39">
        <v>76.371225039304747</v>
      </c>
      <c r="E724" s="39">
        <v>77.812751252275703</v>
      </c>
      <c r="F724" s="39">
        <v>3224700</v>
      </c>
    </row>
    <row r="725" spans="1:6">
      <c r="A725" s="41">
        <v>44876</v>
      </c>
      <c r="B725" s="39">
        <v>79.01568603515625</v>
      </c>
      <c r="C725" s="39">
        <v>81.461313955333054</v>
      </c>
      <c r="D725" s="39">
        <v>78.916264161184969</v>
      </c>
      <c r="E725" s="39">
        <v>79.731473467910575</v>
      </c>
      <c r="F725" s="39">
        <v>1467300</v>
      </c>
    </row>
    <row r="726" spans="1:6">
      <c r="A726" s="41">
        <v>44879</v>
      </c>
      <c r="B726" s="39">
        <v>78.787025451660156</v>
      </c>
      <c r="C726" s="39">
        <v>79.801063325198086</v>
      </c>
      <c r="D726" s="39">
        <v>77.226197616767863</v>
      </c>
      <c r="E726" s="39">
        <v>78.796969155909508</v>
      </c>
      <c r="F726" s="39">
        <v>1444000</v>
      </c>
    </row>
    <row r="727" spans="1:6">
      <c r="A727" s="41">
        <v>44880</v>
      </c>
      <c r="B727" s="39">
        <v>81.342010498046875</v>
      </c>
      <c r="C727" s="39">
        <v>82.614531575184444</v>
      </c>
      <c r="D727" s="39">
        <v>80.844931478238522</v>
      </c>
      <c r="E727" s="39">
        <v>81.520959248570847</v>
      </c>
      <c r="F727" s="39">
        <v>1120400</v>
      </c>
    </row>
    <row r="728" spans="1:6">
      <c r="A728" s="41">
        <v>44881</v>
      </c>
      <c r="B728" s="39">
        <v>81.063652038574219</v>
      </c>
      <c r="C728" s="39">
        <v>82.11745719293765</v>
      </c>
      <c r="D728" s="39">
        <v>80.407504054655917</v>
      </c>
      <c r="E728" s="39">
        <v>80.675930988013164</v>
      </c>
      <c r="F728" s="39">
        <v>825100</v>
      </c>
    </row>
    <row r="729" spans="1:6">
      <c r="A729" s="41">
        <v>44882</v>
      </c>
      <c r="B729" s="39">
        <v>82.137344360351562</v>
      </c>
      <c r="C729" s="39">
        <v>82.236758652669948</v>
      </c>
      <c r="D729" s="39">
        <v>78.339660749124675</v>
      </c>
      <c r="E729" s="39">
        <v>78.568312862974523</v>
      </c>
      <c r="F729" s="39">
        <v>1129000</v>
      </c>
    </row>
    <row r="730" spans="1:6">
      <c r="A730" s="41">
        <v>44883</v>
      </c>
      <c r="B730" s="39">
        <v>81.033821105957031</v>
      </c>
      <c r="C730" s="39">
        <v>82.515114409558734</v>
      </c>
      <c r="D730" s="39">
        <v>80.009839574446332</v>
      </c>
      <c r="E730" s="39">
        <v>82.375932895653804</v>
      </c>
      <c r="F730" s="39">
        <v>1403300</v>
      </c>
    </row>
    <row r="731" spans="1:6">
      <c r="A731" s="41">
        <v>44886</v>
      </c>
      <c r="B731" s="39">
        <v>80.337913513183594</v>
      </c>
      <c r="C731" s="39">
        <v>80.765401798934448</v>
      </c>
      <c r="D731" s="39">
        <v>79.25428482652697</v>
      </c>
      <c r="E731" s="39">
        <v>80.467158920277058</v>
      </c>
      <c r="F731" s="39">
        <v>591000</v>
      </c>
    </row>
    <row r="732" spans="1:6">
      <c r="A732" s="41">
        <v>44887</v>
      </c>
      <c r="B732" s="39">
        <v>81.013938903808594</v>
      </c>
      <c r="C732" s="39">
        <v>81.173007835534236</v>
      </c>
      <c r="D732" s="39">
        <v>79.085277407992066</v>
      </c>
      <c r="E732" s="39">
        <v>80.516859869402168</v>
      </c>
      <c r="F732" s="39">
        <v>558100</v>
      </c>
    </row>
    <row r="733" spans="1:6">
      <c r="A733" s="41">
        <v>44888</v>
      </c>
      <c r="B733" s="39">
        <v>81.868919372558594</v>
      </c>
      <c r="C733" s="39">
        <v>81.968333667238525</v>
      </c>
      <c r="D733" s="39">
        <v>80.775346961430287</v>
      </c>
      <c r="E733" s="39">
        <v>81.133244490137656</v>
      </c>
      <c r="F733" s="39">
        <v>516600</v>
      </c>
    </row>
    <row r="734" spans="1:6">
      <c r="A734" s="41">
        <v>44890</v>
      </c>
      <c r="B734" s="39">
        <v>82.008094787597656</v>
      </c>
      <c r="C734" s="39">
        <v>82.534997336457806</v>
      </c>
      <c r="D734" s="39">
        <v>80.825051874911765</v>
      </c>
      <c r="E734" s="39">
        <v>81.133238440888704</v>
      </c>
      <c r="F734" s="39">
        <v>279400</v>
      </c>
    </row>
    <row r="735" spans="1:6">
      <c r="A735" s="41">
        <v>44893</v>
      </c>
      <c r="B735" s="39">
        <v>79.989952087402344</v>
      </c>
      <c r="C735" s="39">
        <v>81.192882361999466</v>
      </c>
      <c r="D735" s="39">
        <v>79.691709237112406</v>
      </c>
      <c r="E735" s="39">
        <v>80.725626886572556</v>
      </c>
      <c r="F735" s="39">
        <v>885900</v>
      </c>
    </row>
    <row r="736" spans="1:6">
      <c r="A736" s="41">
        <v>44894</v>
      </c>
      <c r="B736" s="39">
        <v>79.025619506835938</v>
      </c>
      <c r="C736" s="39">
        <v>80.765396055502777</v>
      </c>
      <c r="D736" s="39">
        <v>78.956028748282222</v>
      </c>
      <c r="E736" s="39">
        <v>80.158959051753001</v>
      </c>
      <c r="F736" s="39">
        <v>1423000</v>
      </c>
    </row>
    <row r="737" spans="1:6">
      <c r="A737" s="41">
        <v>44895</v>
      </c>
      <c r="B737" s="39">
        <v>83.489402770996094</v>
      </c>
      <c r="C737" s="39">
        <v>83.688231362295312</v>
      </c>
      <c r="D737" s="39">
        <v>80.288212391236641</v>
      </c>
      <c r="E737" s="39">
        <v>80.506928392560525</v>
      </c>
      <c r="F737" s="39">
        <v>2151200</v>
      </c>
    </row>
    <row r="738" spans="1:6">
      <c r="A738" s="41">
        <v>44896</v>
      </c>
      <c r="B738" s="39">
        <v>81.023880004882812</v>
      </c>
      <c r="C738" s="39">
        <v>83.320382642908243</v>
      </c>
      <c r="D738" s="39">
        <v>80.904578309921845</v>
      </c>
      <c r="E738" s="39">
        <v>83.022139782741661</v>
      </c>
      <c r="F738" s="39">
        <v>1883200</v>
      </c>
    </row>
    <row r="739" spans="1:6">
      <c r="A739" s="41">
        <v>44897</v>
      </c>
      <c r="B739" s="39">
        <v>83.270683288574219</v>
      </c>
      <c r="C739" s="39">
        <v>83.65840433477635</v>
      </c>
      <c r="D739" s="39">
        <v>79.880600579424382</v>
      </c>
      <c r="E739" s="39">
        <v>80.168907334132896</v>
      </c>
      <c r="F739" s="39">
        <v>1319100</v>
      </c>
    </row>
    <row r="740" spans="1:6">
      <c r="A740" s="41">
        <v>44900</v>
      </c>
      <c r="B740" s="39">
        <v>81.421546936035156</v>
      </c>
      <c r="C740" s="39">
        <v>82.614533578575418</v>
      </c>
      <c r="D740" s="39">
        <v>80.805166205989039</v>
      </c>
      <c r="E740" s="39">
        <v>82.515119289167743</v>
      </c>
      <c r="F740" s="39">
        <v>1510700</v>
      </c>
    </row>
    <row r="741" spans="1:6">
      <c r="A741" s="41">
        <v>44901</v>
      </c>
      <c r="B741" s="39">
        <v>78.627960205078125</v>
      </c>
      <c r="C741" s="39">
        <v>81.520963906373652</v>
      </c>
      <c r="D741" s="39">
        <v>77.872405512873073</v>
      </c>
      <c r="E741" s="39">
        <v>81.431493318411611</v>
      </c>
      <c r="F741" s="39">
        <v>1278900</v>
      </c>
    </row>
    <row r="742" spans="1:6">
      <c r="A742" s="41">
        <v>44902</v>
      </c>
      <c r="B742" s="39">
        <v>78.001640319824219</v>
      </c>
      <c r="C742" s="39">
        <v>79.353695885478402</v>
      </c>
      <c r="D742" s="39">
        <v>77.106896550667173</v>
      </c>
      <c r="E742" s="39">
        <v>78.369481531817684</v>
      </c>
      <c r="F742" s="39">
        <v>915400</v>
      </c>
    </row>
    <row r="743" spans="1:6">
      <c r="A743" s="41">
        <v>44903</v>
      </c>
      <c r="B743" s="39">
        <v>78.627960205078125</v>
      </c>
      <c r="C743" s="39">
        <v>79.532647713535283</v>
      </c>
      <c r="D743" s="39">
        <v>77.991699630155793</v>
      </c>
      <c r="E743" s="39">
        <v>78.458955149044712</v>
      </c>
      <c r="F743" s="39">
        <v>470400</v>
      </c>
    </row>
    <row r="744" spans="1:6">
      <c r="A744" s="41">
        <v>44904</v>
      </c>
      <c r="B744" s="39">
        <v>78.160713195800781</v>
      </c>
      <c r="C744" s="39">
        <v>79.502825124881511</v>
      </c>
      <c r="D744" s="39">
        <v>78.101058551629251</v>
      </c>
      <c r="E744" s="39">
        <v>78.73731913407974</v>
      </c>
      <c r="F744" s="39">
        <v>874900</v>
      </c>
    </row>
    <row r="745" spans="1:6">
      <c r="A745" s="41">
        <v>44907</v>
      </c>
      <c r="B745" s="39">
        <v>78.995796203613281</v>
      </c>
      <c r="C745" s="39">
        <v>79.30398276596469</v>
      </c>
      <c r="D745" s="39">
        <v>77.941991118290019</v>
      </c>
      <c r="E745" s="39">
        <v>78.538484419702741</v>
      </c>
      <c r="F745" s="39">
        <v>834100</v>
      </c>
    </row>
    <row r="746" spans="1:6">
      <c r="A746" s="41">
        <v>44908</v>
      </c>
      <c r="B746" s="39">
        <v>80.675926208496094</v>
      </c>
      <c r="C746" s="39">
        <v>82.02798174541735</v>
      </c>
      <c r="D746" s="39">
        <v>79.840829513421724</v>
      </c>
      <c r="E746" s="39">
        <v>81.182948931047534</v>
      </c>
      <c r="F746" s="39">
        <v>1165000</v>
      </c>
    </row>
    <row r="747" spans="1:6">
      <c r="A747" s="41">
        <v>44909</v>
      </c>
      <c r="B747" s="39">
        <v>82.2467041015625</v>
      </c>
      <c r="C747" s="39">
        <v>82.972435277219205</v>
      </c>
      <c r="D747" s="39">
        <v>80.566574461901268</v>
      </c>
      <c r="E747" s="39">
        <v>80.566574461901268</v>
      </c>
      <c r="F747" s="39">
        <v>1362100</v>
      </c>
    </row>
    <row r="748" spans="1:6">
      <c r="A748" s="41">
        <v>44910</v>
      </c>
      <c r="B748" s="39">
        <v>79.771240234375</v>
      </c>
      <c r="C748" s="39">
        <v>82.793481632698231</v>
      </c>
      <c r="D748" s="39">
        <v>79.6221150091136</v>
      </c>
      <c r="E748" s="39">
        <v>80.924467219250886</v>
      </c>
      <c r="F748" s="39">
        <v>1546300</v>
      </c>
    </row>
    <row r="749" spans="1:6">
      <c r="A749" s="41">
        <v>44911</v>
      </c>
      <c r="B749" s="39">
        <v>77.971817016601562</v>
      </c>
      <c r="C749" s="39">
        <v>79.254281825289169</v>
      </c>
      <c r="D749" s="39">
        <v>76.281751347070085</v>
      </c>
      <c r="E749" s="39">
        <v>78.747259090500094</v>
      </c>
      <c r="F749" s="39">
        <v>2063500</v>
      </c>
    </row>
    <row r="750" spans="1:6">
      <c r="A750" s="41">
        <v>44914</v>
      </c>
      <c r="B750" s="39">
        <v>76.947837829589844</v>
      </c>
      <c r="C750" s="39">
        <v>78.787028782629591</v>
      </c>
      <c r="D750" s="39">
        <v>76.599884014391677</v>
      </c>
      <c r="E750" s="39">
        <v>78.349596795052278</v>
      </c>
      <c r="F750" s="39">
        <v>685000</v>
      </c>
    </row>
    <row r="751" spans="1:6">
      <c r="A751" s="41">
        <v>44915</v>
      </c>
      <c r="B751" s="39">
        <v>76.361274719238281</v>
      </c>
      <c r="C751" s="39">
        <v>77.792864688248685</v>
      </c>
      <c r="D751" s="39">
        <v>75.058930146489146</v>
      </c>
      <c r="E751" s="39">
        <v>76.053088161674438</v>
      </c>
      <c r="F751" s="39">
        <v>1065800</v>
      </c>
    </row>
    <row r="752" spans="1:6">
      <c r="A752" s="41">
        <v>44916</v>
      </c>
      <c r="B752" s="39">
        <v>77.961875915527344</v>
      </c>
      <c r="C752" s="39">
        <v>78.190535614482968</v>
      </c>
      <c r="D752" s="39">
        <v>75.048992396549778</v>
      </c>
      <c r="E752" s="39">
        <v>76.361280777310952</v>
      </c>
      <c r="F752" s="39">
        <v>644100</v>
      </c>
    </row>
    <row r="753" spans="1:6">
      <c r="A753" s="41">
        <v>44917</v>
      </c>
      <c r="B753" s="39">
        <v>75.416831970214844</v>
      </c>
      <c r="C753" s="39">
        <v>77.405148114781909</v>
      </c>
      <c r="D753" s="39">
        <v>74.382906664861068</v>
      </c>
      <c r="E753" s="39">
        <v>76.987603544780626</v>
      </c>
      <c r="F753" s="39">
        <v>1075900</v>
      </c>
    </row>
    <row r="754" spans="1:6">
      <c r="A754" s="41">
        <v>44918</v>
      </c>
      <c r="B754" s="39">
        <v>74.42266845703125</v>
      </c>
      <c r="C754" s="39">
        <v>75.754836535783312</v>
      </c>
      <c r="D754" s="39">
        <v>73.766520536578255</v>
      </c>
      <c r="E754" s="39">
        <v>75.754836535783312</v>
      </c>
      <c r="F754" s="39">
        <v>499300</v>
      </c>
    </row>
    <row r="755" spans="1:6">
      <c r="A755" s="41">
        <v>44922</v>
      </c>
      <c r="B755" s="39">
        <v>72.653068542480469</v>
      </c>
      <c r="C755" s="39">
        <v>75.148399664228052</v>
      </c>
      <c r="D755" s="39">
        <v>72.593413904732984</v>
      </c>
      <c r="E755" s="39">
        <v>75.148399664228052</v>
      </c>
      <c r="F755" s="39">
        <v>1072600</v>
      </c>
    </row>
    <row r="756" spans="1:6">
      <c r="A756" s="41">
        <v>44923</v>
      </c>
      <c r="B756" s="39">
        <v>71.410377502441406</v>
      </c>
      <c r="C756" s="39">
        <v>73.30921551229045</v>
      </c>
      <c r="D756" s="39">
        <v>71.330843034797397</v>
      </c>
      <c r="E756" s="39">
        <v>72.931438168217809</v>
      </c>
      <c r="F756" s="39">
        <v>884900</v>
      </c>
    </row>
    <row r="757" spans="1:6">
      <c r="A757" s="41">
        <v>44924</v>
      </c>
      <c r="B757" s="39">
        <v>72.653068542480469</v>
      </c>
      <c r="C757" s="39">
        <v>73.47822150377084</v>
      </c>
      <c r="D757" s="39">
        <v>71.917386160575901</v>
      </c>
      <c r="E757" s="39">
        <v>72.106278607932964</v>
      </c>
      <c r="F757" s="39">
        <v>564900</v>
      </c>
    </row>
    <row r="758" spans="1:6">
      <c r="A758" s="41">
        <v>44925</v>
      </c>
      <c r="B758" s="39">
        <v>72.513885498046875</v>
      </c>
      <c r="C758" s="39">
        <v>72.653067008479624</v>
      </c>
      <c r="D758" s="39">
        <v>71.440193059145571</v>
      </c>
      <c r="E758" s="39">
        <v>71.808034242331246</v>
      </c>
      <c r="F758" s="39">
        <v>478900</v>
      </c>
    </row>
    <row r="759" spans="1:6">
      <c r="A759" s="41">
        <v>44929</v>
      </c>
      <c r="B759" s="39">
        <v>71.748382568359375</v>
      </c>
      <c r="C759" s="39">
        <v>74.154243159262521</v>
      </c>
      <c r="D759" s="39">
        <v>71.320894315858098</v>
      </c>
      <c r="E759" s="39">
        <v>73.468279282326989</v>
      </c>
      <c r="F759" s="39">
        <v>489000</v>
      </c>
    </row>
    <row r="760" spans="1:6">
      <c r="A760" s="41">
        <v>44930</v>
      </c>
      <c r="B760" s="39">
        <v>72.871788024902344</v>
      </c>
      <c r="C760" s="39">
        <v>73.001025840734414</v>
      </c>
      <c r="D760" s="39">
        <v>71.808039215875922</v>
      </c>
      <c r="E760" s="39">
        <v>72.086402256021302</v>
      </c>
      <c r="F760" s="39">
        <v>680400</v>
      </c>
    </row>
    <row r="761" spans="1:6">
      <c r="A761" s="41">
        <v>44931</v>
      </c>
      <c r="B761" s="39">
        <v>70.495750427246094</v>
      </c>
      <c r="C761" s="39">
        <v>71.94722025897012</v>
      </c>
      <c r="D761" s="39">
        <v>70.356561323272174</v>
      </c>
      <c r="E761" s="39">
        <v>71.94722025897012</v>
      </c>
      <c r="F761" s="39">
        <v>676600</v>
      </c>
    </row>
    <row r="762" spans="1:6">
      <c r="A762" s="41">
        <v>44932</v>
      </c>
      <c r="B762" s="39">
        <v>73.438461303710938</v>
      </c>
      <c r="C762" s="39">
        <v>73.66711341835672</v>
      </c>
      <c r="D762" s="39">
        <v>71.002769416898133</v>
      </c>
      <c r="E762" s="39">
        <v>72.175876273917012</v>
      </c>
      <c r="F762" s="39">
        <v>1200200</v>
      </c>
    </row>
    <row r="763" spans="1:6">
      <c r="A763" s="41">
        <v>44935</v>
      </c>
      <c r="B763" s="39">
        <v>74.273544311523438</v>
      </c>
      <c r="C763" s="39">
        <v>75.605719994315763</v>
      </c>
      <c r="D763" s="39">
        <v>74.213897257830425</v>
      </c>
      <c r="E763" s="39">
        <v>74.551907341855753</v>
      </c>
      <c r="F763" s="39">
        <v>978300</v>
      </c>
    </row>
    <row r="764" spans="1:6">
      <c r="A764" s="41">
        <v>44936</v>
      </c>
      <c r="B764" s="39">
        <v>76.589942932128906</v>
      </c>
      <c r="C764" s="39">
        <v>76.599886637139122</v>
      </c>
      <c r="D764" s="39">
        <v>74.015069441851253</v>
      </c>
      <c r="E764" s="39">
        <v>74.174138382716464</v>
      </c>
      <c r="F764" s="39">
        <v>651400</v>
      </c>
    </row>
    <row r="765" spans="1:6">
      <c r="A765" s="41">
        <v>44937</v>
      </c>
      <c r="B765" s="39">
        <v>79.741416931152344</v>
      </c>
      <c r="C765" s="39">
        <v>79.900485861166146</v>
      </c>
      <c r="D765" s="39">
        <v>77.116840264517066</v>
      </c>
      <c r="E765" s="39">
        <v>77.246078081535245</v>
      </c>
      <c r="F765" s="39">
        <v>1226100</v>
      </c>
    </row>
    <row r="766" spans="1:6">
      <c r="A766" s="41">
        <v>44938</v>
      </c>
      <c r="B766" s="39">
        <v>81.202835083007812</v>
      </c>
      <c r="C766" s="39">
        <v>81.202835083007812</v>
      </c>
      <c r="D766" s="39">
        <v>78.965979325733898</v>
      </c>
      <c r="E766" s="39">
        <v>80.029728204688951</v>
      </c>
      <c r="F766" s="39">
        <v>600400</v>
      </c>
    </row>
    <row r="767" spans="1:6">
      <c r="A767" s="41">
        <v>44939</v>
      </c>
      <c r="B767" s="39">
        <v>81.262474060058594</v>
      </c>
      <c r="C767" s="39">
        <v>81.938501813965246</v>
      </c>
      <c r="D767" s="39">
        <v>79.602231994595869</v>
      </c>
      <c r="E767" s="39">
        <v>79.602231994595869</v>
      </c>
      <c r="F767" s="39">
        <v>655500</v>
      </c>
    </row>
    <row r="768" spans="1:6">
      <c r="A768" s="41">
        <v>44943</v>
      </c>
      <c r="B768" s="39">
        <v>81.80926513671875</v>
      </c>
      <c r="C768" s="39">
        <v>82.634418121349512</v>
      </c>
      <c r="D768" s="39">
        <v>81.073590318828408</v>
      </c>
      <c r="E768" s="39">
        <v>81.123293669396332</v>
      </c>
      <c r="F768" s="39">
        <v>929400</v>
      </c>
    </row>
    <row r="769" spans="1:6">
      <c r="A769" s="41">
        <v>44944</v>
      </c>
      <c r="B769" s="39">
        <v>81.312187194824219</v>
      </c>
      <c r="C769" s="39">
        <v>83.191145288099179</v>
      </c>
      <c r="D769" s="39">
        <v>80.626215718451974</v>
      </c>
      <c r="E769" s="39">
        <v>82.346112469057758</v>
      </c>
      <c r="F769" s="39">
        <v>604800</v>
      </c>
    </row>
    <row r="770" spans="1:6">
      <c r="A770" s="41">
        <v>44945</v>
      </c>
      <c r="B770" s="39">
        <v>77.504554748535156</v>
      </c>
      <c r="C770" s="39">
        <v>80.825046326046419</v>
      </c>
      <c r="D770" s="39">
        <v>77.067122812799639</v>
      </c>
      <c r="E770" s="39">
        <v>80.705744638621255</v>
      </c>
      <c r="F770" s="39">
        <v>1332900</v>
      </c>
    </row>
    <row r="771" spans="1:6">
      <c r="A771" s="41">
        <v>44946</v>
      </c>
      <c r="B771" s="39">
        <v>79.005744934082031</v>
      </c>
      <c r="C771" s="39">
        <v>79.353698749974583</v>
      </c>
      <c r="D771" s="39">
        <v>77.792870845978598</v>
      </c>
      <c r="E771" s="39">
        <v>78.498722182453278</v>
      </c>
      <c r="F771" s="39">
        <v>1177100</v>
      </c>
    </row>
    <row r="772" spans="1:6">
      <c r="A772" s="41">
        <v>44949</v>
      </c>
      <c r="B772" s="39">
        <v>81.13323974609375</v>
      </c>
      <c r="C772" s="39">
        <v>82.047863339388257</v>
      </c>
      <c r="D772" s="39">
        <v>78.618021072121806</v>
      </c>
      <c r="E772" s="39">
        <v>79.632058954283281</v>
      </c>
      <c r="F772" s="39">
        <v>1045000</v>
      </c>
    </row>
    <row r="773" spans="1:6">
      <c r="A773" s="41">
        <v>44950</v>
      </c>
      <c r="B773" s="39">
        <v>80.20867919921875</v>
      </c>
      <c r="C773" s="39">
        <v>80.934417980194965</v>
      </c>
      <c r="D773" s="39">
        <v>79.43323706203779</v>
      </c>
      <c r="E773" s="39">
        <v>80.218622904389576</v>
      </c>
      <c r="F773" s="39">
        <v>609000</v>
      </c>
    </row>
    <row r="774" spans="1:6">
      <c r="A774" s="41">
        <v>44951</v>
      </c>
      <c r="B774" s="39">
        <v>78.737319946289062</v>
      </c>
      <c r="C774" s="39">
        <v>78.975923355787614</v>
      </c>
      <c r="D774" s="39">
        <v>76.818594474312462</v>
      </c>
      <c r="E774" s="39">
        <v>78.419189651782162</v>
      </c>
      <c r="F774" s="39">
        <v>1566500</v>
      </c>
    </row>
    <row r="775" spans="1:6">
      <c r="A775" s="41">
        <v>44952</v>
      </c>
      <c r="B775" s="39">
        <v>79.01568603515625</v>
      </c>
      <c r="C775" s="39">
        <v>79.950189454928861</v>
      </c>
      <c r="D775" s="39">
        <v>77.892282571803008</v>
      </c>
      <c r="E775" s="39">
        <v>79.681770115749003</v>
      </c>
      <c r="F775" s="39">
        <v>629300</v>
      </c>
    </row>
    <row r="776" spans="1:6">
      <c r="A776" s="41">
        <v>44953</v>
      </c>
      <c r="B776" s="39">
        <v>79.681770324707031</v>
      </c>
      <c r="C776" s="39">
        <v>80.417445168114483</v>
      </c>
      <c r="D776" s="39">
        <v>77.882339071680249</v>
      </c>
      <c r="E776" s="39">
        <v>78.55836685840778</v>
      </c>
      <c r="F776" s="39">
        <v>968800</v>
      </c>
    </row>
    <row r="777" spans="1:6">
      <c r="A777" s="41">
        <v>44956</v>
      </c>
      <c r="B777" s="39">
        <v>77.763046264648438</v>
      </c>
      <c r="C777" s="39">
        <v>79.482935496287283</v>
      </c>
      <c r="D777" s="39">
        <v>77.574153802223378</v>
      </c>
      <c r="E777" s="39">
        <v>78.985856456073293</v>
      </c>
      <c r="F777" s="39">
        <v>781200</v>
      </c>
    </row>
    <row r="778" spans="1:6">
      <c r="A778" s="41">
        <v>44957</v>
      </c>
      <c r="B778" s="39">
        <v>80.327972412109375</v>
      </c>
      <c r="C778" s="39">
        <v>80.35779593964331</v>
      </c>
      <c r="D778" s="39">
        <v>77.842577319962714</v>
      </c>
      <c r="E778" s="39">
        <v>78.478837856766347</v>
      </c>
      <c r="F778" s="39">
        <v>797700</v>
      </c>
    </row>
    <row r="779" spans="1:6">
      <c r="A779" s="41">
        <v>44958</v>
      </c>
      <c r="B779" s="39">
        <v>82.14727783203125</v>
      </c>
      <c r="C779" s="39">
        <v>83.071845131953168</v>
      </c>
      <c r="D779" s="39">
        <v>79.950189427877874</v>
      </c>
      <c r="E779" s="39">
        <v>80.506923099597188</v>
      </c>
      <c r="F779" s="39">
        <v>787800</v>
      </c>
    </row>
    <row r="780" spans="1:6">
      <c r="A780" s="41">
        <v>44959</v>
      </c>
      <c r="B780" s="39">
        <v>81.222709655761719</v>
      </c>
      <c r="C780" s="39">
        <v>83.479452676893501</v>
      </c>
      <c r="D780" s="39">
        <v>80.715694511305699</v>
      </c>
      <c r="E780" s="39">
        <v>83.310447628741485</v>
      </c>
      <c r="F780" s="39">
        <v>906000</v>
      </c>
    </row>
    <row r="781" spans="1:6">
      <c r="A781" s="41">
        <v>44960</v>
      </c>
      <c r="B781" s="39">
        <v>79.26422119140625</v>
      </c>
      <c r="C781" s="39">
        <v>80.457207765214164</v>
      </c>
      <c r="D781" s="39">
        <v>78.826789241425644</v>
      </c>
      <c r="E781" s="39">
        <v>79.731469083184848</v>
      </c>
      <c r="F781" s="39">
        <v>760100</v>
      </c>
    </row>
    <row r="782" spans="1:6">
      <c r="A782" s="41">
        <v>44963</v>
      </c>
      <c r="B782" s="39">
        <v>78.697555541992188</v>
      </c>
      <c r="C782" s="39">
        <v>79.244337923206174</v>
      </c>
      <c r="D782" s="39">
        <v>77.743157131303249</v>
      </c>
      <c r="E782" s="39">
        <v>78.130878167285104</v>
      </c>
      <c r="F782" s="39">
        <v>677300</v>
      </c>
    </row>
    <row r="783" spans="1:6">
      <c r="A783" s="41">
        <v>44964</v>
      </c>
      <c r="B783" s="39">
        <v>78.458946228027344</v>
      </c>
      <c r="C783" s="39">
        <v>78.796963886484903</v>
      </c>
      <c r="D783" s="39">
        <v>77.047243711984734</v>
      </c>
      <c r="E783" s="39">
        <v>78.796963886484903</v>
      </c>
      <c r="F783" s="39">
        <v>1459700</v>
      </c>
    </row>
    <row r="784" spans="1:6">
      <c r="A784" s="41">
        <v>44965</v>
      </c>
      <c r="B784" s="39">
        <v>77.564208984375</v>
      </c>
      <c r="C784" s="39">
        <v>80.308087370723612</v>
      </c>
      <c r="D784" s="39">
        <v>77.355436700660576</v>
      </c>
      <c r="E784" s="39">
        <v>80.298143666311276</v>
      </c>
      <c r="F784" s="39">
        <v>1181500</v>
      </c>
    </row>
    <row r="785" spans="1:6">
      <c r="A785" s="41">
        <v>44966</v>
      </c>
      <c r="B785" s="39">
        <v>75.95367431640625</v>
      </c>
      <c r="C785" s="39">
        <v>79.234391234597808</v>
      </c>
      <c r="D785" s="39">
        <v>75.476475129034938</v>
      </c>
      <c r="E785" s="39">
        <v>78.6279542350415</v>
      </c>
      <c r="F785" s="39">
        <v>1364200</v>
      </c>
    </row>
    <row r="786" spans="1:6">
      <c r="A786" s="41">
        <v>44967</v>
      </c>
      <c r="B786" s="39">
        <v>75.436714172363281</v>
      </c>
      <c r="C786" s="39">
        <v>76.2320436891913</v>
      </c>
      <c r="D786" s="39">
        <v>74.363029184917181</v>
      </c>
      <c r="E786" s="39">
        <v>74.959522530125994</v>
      </c>
      <c r="F786" s="39">
        <v>1065900</v>
      </c>
    </row>
    <row r="787" spans="1:6">
      <c r="A787" s="41">
        <v>44970</v>
      </c>
      <c r="B787" s="39">
        <v>76.629707336425781</v>
      </c>
      <c r="C787" s="39">
        <v>77.355438494045217</v>
      </c>
      <c r="D787" s="39">
        <v>75.058935735121054</v>
      </c>
      <c r="E787" s="39">
        <v>75.476480312230123</v>
      </c>
      <c r="F787" s="39">
        <v>827100</v>
      </c>
    </row>
    <row r="788" spans="1:6">
      <c r="A788" s="41">
        <v>44971</v>
      </c>
      <c r="B788" s="39">
        <v>76.082916259765625</v>
      </c>
      <c r="C788" s="39">
        <v>76.311575954318997</v>
      </c>
      <c r="D788" s="39">
        <v>74.372963157337878</v>
      </c>
      <c r="E788" s="39">
        <v>75.128525418024964</v>
      </c>
      <c r="F788" s="39">
        <v>887400</v>
      </c>
    </row>
    <row r="789" spans="1:6">
      <c r="A789" s="41">
        <v>44972</v>
      </c>
      <c r="B789" s="39">
        <v>78.578254699707031</v>
      </c>
      <c r="C789" s="39">
        <v>78.697556398547661</v>
      </c>
      <c r="D789" s="39">
        <v>74.939632525721294</v>
      </c>
      <c r="E789" s="39">
        <v>75.615660316169922</v>
      </c>
      <c r="F789" s="39">
        <v>1021300</v>
      </c>
    </row>
    <row r="790" spans="1:6">
      <c r="A790" s="41">
        <v>44973</v>
      </c>
      <c r="B790" s="39">
        <v>75.784675598144531</v>
      </c>
      <c r="C790" s="39">
        <v>78.210416213996737</v>
      </c>
      <c r="D790" s="39">
        <v>75.784675598144531</v>
      </c>
      <c r="E790" s="39">
        <v>77.41509428176586</v>
      </c>
      <c r="F790" s="39">
        <v>725700</v>
      </c>
    </row>
    <row r="791" spans="1:6">
      <c r="A791" s="41">
        <v>44974</v>
      </c>
      <c r="B791" s="39">
        <v>75.257766723632812</v>
      </c>
      <c r="C791" s="39">
        <v>75.446659193761292</v>
      </c>
      <c r="D791" s="39">
        <v>74.49226830780735</v>
      </c>
      <c r="E791" s="39">
        <v>75.03905830827162</v>
      </c>
      <c r="F791" s="39">
        <v>989500</v>
      </c>
    </row>
    <row r="792" spans="1:6">
      <c r="A792" s="41">
        <v>44978</v>
      </c>
      <c r="B792" s="39">
        <v>73.65716552734375</v>
      </c>
      <c r="C792" s="39">
        <v>75.188169818799594</v>
      </c>
      <c r="D792" s="39">
        <v>73.557751240329509</v>
      </c>
      <c r="E792" s="39">
        <v>74.561852984268342</v>
      </c>
      <c r="F792" s="39">
        <v>718200</v>
      </c>
    </row>
    <row r="793" spans="1:6">
      <c r="A793" s="41">
        <v>44979</v>
      </c>
      <c r="B793" s="39">
        <v>73.65716552734375</v>
      </c>
      <c r="C793" s="39">
        <v>74.005126909129459</v>
      </c>
      <c r="D793" s="39">
        <v>72.792252887013532</v>
      </c>
      <c r="E793" s="39">
        <v>73.428513425693382</v>
      </c>
      <c r="F793" s="39">
        <v>803000</v>
      </c>
    </row>
    <row r="794" spans="1:6">
      <c r="A794" s="41">
        <v>44980</v>
      </c>
      <c r="B794" s="39">
        <v>74.213905334472656</v>
      </c>
      <c r="C794" s="39">
        <v>75.227943281729338</v>
      </c>
      <c r="D794" s="39">
        <v>73.10044550714268</v>
      </c>
      <c r="E794" s="39">
        <v>74.661273455504372</v>
      </c>
      <c r="F794" s="39">
        <v>1006400</v>
      </c>
    </row>
    <row r="795" spans="1:6">
      <c r="A795" s="41">
        <v>44981</v>
      </c>
      <c r="B795" s="39">
        <v>72.165931701660156</v>
      </c>
      <c r="C795" s="39">
        <v>73.130266257043644</v>
      </c>
      <c r="D795" s="39">
        <v>71.698683773271853</v>
      </c>
      <c r="E795" s="39">
        <v>73.130266257043644</v>
      </c>
      <c r="F795" s="39">
        <v>666900</v>
      </c>
    </row>
    <row r="796" spans="1:6">
      <c r="A796" s="41">
        <v>44984</v>
      </c>
      <c r="B796" s="39">
        <v>73.786415100097656</v>
      </c>
      <c r="C796" s="39">
        <v>74.194015975356763</v>
      </c>
      <c r="D796" s="39">
        <v>72.633188067999995</v>
      </c>
      <c r="E796" s="39">
        <v>72.812136828676387</v>
      </c>
      <c r="F796" s="39">
        <v>677300</v>
      </c>
    </row>
    <row r="797" spans="1:6">
      <c r="A797" s="41">
        <v>44985</v>
      </c>
      <c r="B797" s="39">
        <v>73.856002807617188</v>
      </c>
      <c r="C797" s="39">
        <v>74.223844018461449</v>
      </c>
      <c r="D797" s="39">
        <v>72.861844752731756</v>
      </c>
      <c r="E797" s="39">
        <v>72.911548104581613</v>
      </c>
      <c r="F797" s="39">
        <v>373900</v>
      </c>
    </row>
    <row r="798" spans="1:6">
      <c r="A798" s="41">
        <v>44986</v>
      </c>
      <c r="B798" s="39">
        <v>76.102806091308594</v>
      </c>
      <c r="C798" s="39">
        <v>76.818593556781266</v>
      </c>
      <c r="D798" s="39">
        <v>74.860108458105145</v>
      </c>
      <c r="E798" s="39">
        <v>75.068880750304402</v>
      </c>
      <c r="F798" s="39">
        <v>845900</v>
      </c>
    </row>
    <row r="799" spans="1:6">
      <c r="A799" s="41">
        <v>44987</v>
      </c>
      <c r="B799" s="39">
        <v>75.804550170898438</v>
      </c>
      <c r="C799" s="39">
        <v>75.874140929957449</v>
      </c>
      <c r="D799" s="39">
        <v>74.432614813096151</v>
      </c>
      <c r="E799" s="39">
        <v>75.556010662141389</v>
      </c>
      <c r="F799" s="39">
        <v>742400</v>
      </c>
    </row>
    <row r="800" spans="1:6">
      <c r="A800" s="41">
        <v>44988</v>
      </c>
      <c r="B800" s="39">
        <v>77.743156433105469</v>
      </c>
      <c r="C800" s="39">
        <v>78.389360682213137</v>
      </c>
      <c r="D800" s="39">
        <v>75.804551270606439</v>
      </c>
      <c r="E800" s="39">
        <v>75.834374798518127</v>
      </c>
      <c r="F800" s="39">
        <v>1207000</v>
      </c>
    </row>
    <row r="801" spans="1:6">
      <c r="A801" s="41">
        <v>44991</v>
      </c>
      <c r="B801" s="39">
        <v>79.254287719726562</v>
      </c>
      <c r="C801" s="39">
        <v>79.970082790353587</v>
      </c>
      <c r="D801" s="39">
        <v>77.932055580086342</v>
      </c>
      <c r="E801" s="39">
        <v>77.932055580086342</v>
      </c>
      <c r="F801" s="39">
        <v>1308300</v>
      </c>
    </row>
    <row r="802" spans="1:6">
      <c r="A802" s="41">
        <v>44992</v>
      </c>
      <c r="B802" s="39">
        <v>78.319770812988281</v>
      </c>
      <c r="C802" s="39">
        <v>79.681770086764189</v>
      </c>
      <c r="D802" s="39">
        <v>77.84257919132564</v>
      </c>
      <c r="E802" s="39">
        <v>79.532644860685593</v>
      </c>
      <c r="F802" s="39">
        <v>549900</v>
      </c>
    </row>
    <row r="803" spans="1:6">
      <c r="A803" s="41">
        <v>44993</v>
      </c>
      <c r="B803" s="39">
        <v>77.892280578613281</v>
      </c>
      <c r="C803" s="39">
        <v>78.458950355558287</v>
      </c>
      <c r="D803" s="39">
        <v>76.808651960436848</v>
      </c>
      <c r="E803" s="39">
        <v>78.389359596453602</v>
      </c>
      <c r="F803" s="39">
        <v>1070700</v>
      </c>
    </row>
    <row r="804" spans="1:6">
      <c r="A804" s="41">
        <v>44994</v>
      </c>
      <c r="B804" s="39">
        <v>76.570053100585938</v>
      </c>
      <c r="C804" s="39">
        <v>79.055448336820319</v>
      </c>
      <c r="D804" s="39">
        <v>76.420935454271344</v>
      </c>
      <c r="E804" s="39">
        <v>77.584098604471194</v>
      </c>
      <c r="F804" s="39">
        <v>584300</v>
      </c>
    </row>
    <row r="805" spans="1:6">
      <c r="A805" s="41">
        <v>44995</v>
      </c>
      <c r="B805" s="39">
        <v>74.621498107910156</v>
      </c>
      <c r="C805" s="39">
        <v>76.739059532136906</v>
      </c>
      <c r="D805" s="39">
        <v>73.667107324595108</v>
      </c>
      <c r="E805" s="39">
        <v>76.102799009926883</v>
      </c>
      <c r="F805" s="39">
        <v>1122800</v>
      </c>
    </row>
    <row r="806" spans="1:6">
      <c r="A806" s="41">
        <v>44998</v>
      </c>
      <c r="B806" s="39">
        <v>74.691093444824219</v>
      </c>
      <c r="C806" s="39">
        <v>75.774729690691657</v>
      </c>
      <c r="D806" s="39">
        <v>72.593419299771128</v>
      </c>
      <c r="E806" s="39">
        <v>73.060674808596815</v>
      </c>
      <c r="F806" s="39">
        <v>596600</v>
      </c>
    </row>
    <row r="807" spans="1:6">
      <c r="A807" s="41">
        <v>44999</v>
      </c>
      <c r="B807" s="39">
        <v>75.178230285644531</v>
      </c>
      <c r="C807" s="39">
        <v>77.236137031168198</v>
      </c>
      <c r="D807" s="39">
        <v>74.402780678569087</v>
      </c>
      <c r="E807" s="39">
        <v>76.291682385360645</v>
      </c>
      <c r="F807" s="39">
        <v>616700</v>
      </c>
    </row>
    <row r="808" spans="1:6">
      <c r="A808" s="41">
        <v>45000</v>
      </c>
      <c r="B808" s="39">
        <v>72.802192687988281</v>
      </c>
      <c r="C808" s="39">
        <v>73.71681621520149</v>
      </c>
      <c r="D808" s="39">
        <v>71.102175856445626</v>
      </c>
      <c r="E808" s="39">
        <v>73.01096495497238</v>
      </c>
      <c r="F808" s="39">
        <v>818700</v>
      </c>
    </row>
    <row r="809" spans="1:6">
      <c r="A809" s="41">
        <v>45001</v>
      </c>
      <c r="B809" s="39">
        <v>71.827919006347656</v>
      </c>
      <c r="C809" s="39">
        <v>72.384645086381212</v>
      </c>
      <c r="D809" s="39">
        <v>70.455983629911827</v>
      </c>
      <c r="E809" s="39">
        <v>72.384645086381212</v>
      </c>
      <c r="F809" s="39">
        <v>957900</v>
      </c>
    </row>
    <row r="810" spans="1:6">
      <c r="A810" s="41">
        <v>45002</v>
      </c>
      <c r="B810" s="39">
        <v>69.0045166015625</v>
      </c>
      <c r="C810" s="39">
        <v>71.639029469681233</v>
      </c>
      <c r="D810" s="39">
        <v>68.199243391752816</v>
      </c>
      <c r="E810" s="39">
        <v>71.579382411482101</v>
      </c>
      <c r="F810" s="39">
        <v>1416700</v>
      </c>
    </row>
    <row r="811" spans="1:6">
      <c r="A811" s="41">
        <v>45005</v>
      </c>
      <c r="B811" s="39">
        <v>70.09808349609375</v>
      </c>
      <c r="C811" s="39">
        <v>70.823814596795728</v>
      </c>
      <c r="D811" s="39">
        <v>68.55713554474643</v>
      </c>
      <c r="E811" s="39">
        <v>69.203339769015429</v>
      </c>
      <c r="F811" s="39">
        <v>594500</v>
      </c>
    </row>
    <row r="812" spans="1:6">
      <c r="A812" s="41">
        <v>45006</v>
      </c>
      <c r="B812" s="39">
        <v>73.647232055664062</v>
      </c>
      <c r="C812" s="39">
        <v>74.094600155723157</v>
      </c>
      <c r="D812" s="39">
        <v>71.698683137803002</v>
      </c>
      <c r="E812" s="39">
        <v>71.728506666497054</v>
      </c>
      <c r="F812" s="39">
        <v>1151400</v>
      </c>
    </row>
    <row r="813" spans="1:6">
      <c r="A813" s="41">
        <v>45007</v>
      </c>
      <c r="B813" s="39">
        <v>72.066520690917969</v>
      </c>
      <c r="C813" s="39">
        <v>74.213905891568729</v>
      </c>
      <c r="D813" s="39">
        <v>71.967106394922936</v>
      </c>
      <c r="E813" s="39">
        <v>73.498110824685142</v>
      </c>
      <c r="F813" s="39">
        <v>573400</v>
      </c>
    </row>
    <row r="814" spans="1:6">
      <c r="A814" s="41">
        <v>45008</v>
      </c>
      <c r="B814" s="39">
        <v>73.150154113769531</v>
      </c>
      <c r="C814" s="39">
        <v>75.734963631907561</v>
      </c>
      <c r="D814" s="39">
        <v>72.424415370437174</v>
      </c>
      <c r="E814" s="39">
        <v>72.692842302353313</v>
      </c>
      <c r="F814" s="39">
        <v>716300</v>
      </c>
    </row>
    <row r="815" spans="1:6">
      <c r="A815" s="41">
        <v>45009</v>
      </c>
      <c r="B815" s="39">
        <v>72.553665161132812</v>
      </c>
      <c r="C815" s="39">
        <v>72.961266058730729</v>
      </c>
      <c r="D815" s="39">
        <v>71.440205302030989</v>
      </c>
      <c r="E815" s="39">
        <v>72.1758802096533</v>
      </c>
      <c r="F815" s="39">
        <v>698900</v>
      </c>
    </row>
    <row r="816" spans="1:6">
      <c r="A816" s="41">
        <v>45012</v>
      </c>
      <c r="B816" s="39">
        <v>72.494003295898438</v>
      </c>
      <c r="C816" s="39">
        <v>73.458337819436935</v>
      </c>
      <c r="D816" s="39">
        <v>71.509788948652258</v>
      </c>
      <c r="E816" s="39">
        <v>73.458337819436935</v>
      </c>
      <c r="F816" s="39">
        <v>486900</v>
      </c>
    </row>
    <row r="817" spans="1:6">
      <c r="A817" s="41">
        <v>45013</v>
      </c>
      <c r="B817" s="39">
        <v>72.136100769042969</v>
      </c>
      <c r="C817" s="39">
        <v>72.633179760196398</v>
      </c>
      <c r="D817" s="39">
        <v>71.748379762729172</v>
      </c>
      <c r="E817" s="39">
        <v>72.215635227985146</v>
      </c>
      <c r="F817" s="39">
        <v>274600</v>
      </c>
    </row>
    <row r="818" spans="1:6">
      <c r="A818" s="41">
        <v>45014</v>
      </c>
      <c r="B818" s="39">
        <v>73.766525268554688</v>
      </c>
      <c r="C818" s="39">
        <v>74.104542954210984</v>
      </c>
      <c r="D818" s="39">
        <v>71.629091500155994</v>
      </c>
      <c r="E818" s="39">
        <v>72.59341845037828</v>
      </c>
      <c r="F818" s="39">
        <v>780200</v>
      </c>
    </row>
    <row r="819" spans="1:6">
      <c r="A819" s="41">
        <v>45015</v>
      </c>
      <c r="B819" s="39">
        <v>75.307472229003906</v>
      </c>
      <c r="C819" s="39">
        <v>76.957778231437516</v>
      </c>
      <c r="D819" s="39">
        <v>75.009221780305978</v>
      </c>
      <c r="E819" s="39">
        <v>76.14256134963972</v>
      </c>
      <c r="F819" s="39">
        <v>795600</v>
      </c>
    </row>
    <row r="820" spans="1:6">
      <c r="A820" s="41">
        <v>45016</v>
      </c>
      <c r="B820" s="39">
        <v>77.176483154296875</v>
      </c>
      <c r="C820" s="39">
        <v>77.872398308300475</v>
      </c>
      <c r="D820" s="39">
        <v>75.665366324867421</v>
      </c>
      <c r="E820" s="39">
        <v>75.665366324867421</v>
      </c>
      <c r="F820" s="39">
        <v>645700</v>
      </c>
    </row>
    <row r="821" spans="1:6">
      <c r="A821" s="41">
        <v>45019</v>
      </c>
      <c r="B821" s="39">
        <v>75.913909912109375</v>
      </c>
      <c r="C821" s="39">
        <v>77.912169732346499</v>
      </c>
      <c r="D821" s="39">
        <v>75.367119946305365</v>
      </c>
      <c r="E821" s="39">
        <v>77.444914231536529</v>
      </c>
      <c r="F821" s="39">
        <v>565600</v>
      </c>
    </row>
    <row r="822" spans="1:6">
      <c r="A822" s="41">
        <v>45020</v>
      </c>
      <c r="B822" s="39">
        <v>75.387008666992188</v>
      </c>
      <c r="C822" s="39">
        <v>75.903967528802468</v>
      </c>
      <c r="D822" s="39">
        <v>74.75074810561452</v>
      </c>
      <c r="E822" s="39">
        <v>75.903967528802468</v>
      </c>
      <c r="F822" s="39">
        <v>335600</v>
      </c>
    </row>
    <row r="823" spans="1:6">
      <c r="A823" s="41">
        <v>45021</v>
      </c>
      <c r="B823" s="39">
        <v>73.259513854980469</v>
      </c>
      <c r="C823" s="39">
        <v>75.347244377620086</v>
      </c>
      <c r="D823" s="39">
        <v>72.364770035327922</v>
      </c>
      <c r="E823" s="39">
        <v>74.61156949693887</v>
      </c>
      <c r="F823" s="39">
        <v>572300</v>
      </c>
    </row>
    <row r="824" spans="1:6">
      <c r="A824" s="41">
        <v>45022</v>
      </c>
      <c r="B824" s="39">
        <v>73.249565124511719</v>
      </c>
      <c r="C824" s="39">
        <v>73.567695395803312</v>
      </c>
      <c r="D824" s="39">
        <v>72.523826413690031</v>
      </c>
      <c r="E824" s="39">
        <v>72.951314676815358</v>
      </c>
      <c r="F824" s="39">
        <v>535200</v>
      </c>
    </row>
    <row r="825" spans="1:6">
      <c r="A825" s="41">
        <v>45026</v>
      </c>
      <c r="B825" s="39">
        <v>74.750747680664062</v>
      </c>
      <c r="C825" s="39">
        <v>74.800451033249772</v>
      </c>
      <c r="D825" s="39">
        <v>72.692840779976862</v>
      </c>
      <c r="E825" s="39">
        <v>72.73260801293992</v>
      </c>
      <c r="F825" s="39">
        <v>372100</v>
      </c>
    </row>
    <row r="826" spans="1:6">
      <c r="A826" s="41">
        <v>45027</v>
      </c>
      <c r="B826" s="39">
        <v>75.27764892578125</v>
      </c>
      <c r="C826" s="39">
        <v>75.605722903363372</v>
      </c>
      <c r="D826" s="39">
        <v>74.273547169313517</v>
      </c>
      <c r="E826" s="39">
        <v>74.760682491138382</v>
      </c>
      <c r="F826" s="39">
        <v>605100</v>
      </c>
    </row>
    <row r="827" spans="1:6">
      <c r="A827" s="41">
        <v>45028</v>
      </c>
      <c r="B827" s="39">
        <v>74.203956604003906</v>
      </c>
      <c r="C827" s="39">
        <v>76.132625657473056</v>
      </c>
      <c r="D827" s="39">
        <v>74.154245667333953</v>
      </c>
      <c r="E827" s="39">
        <v>75.685249981915518</v>
      </c>
      <c r="F827" s="39">
        <v>563100</v>
      </c>
    </row>
    <row r="828" spans="1:6">
      <c r="A828" s="41">
        <v>45029</v>
      </c>
      <c r="B828" s="39">
        <v>76.540229797363281</v>
      </c>
      <c r="C828" s="39">
        <v>77.007485316727141</v>
      </c>
      <c r="D828" s="39">
        <v>74.959522063165707</v>
      </c>
      <c r="E828" s="39">
        <v>75.039056531317939</v>
      </c>
      <c r="F828" s="39">
        <v>635300</v>
      </c>
    </row>
    <row r="829" spans="1:6">
      <c r="A829" s="41">
        <v>45030</v>
      </c>
      <c r="B829" s="39">
        <v>75.884086608886719</v>
      </c>
      <c r="C829" s="39">
        <v>76.967715254552616</v>
      </c>
      <c r="D829" s="39">
        <v>75.019166365366686</v>
      </c>
      <c r="E829" s="39">
        <v>76.798710204557324</v>
      </c>
      <c r="F829" s="39">
        <v>369000</v>
      </c>
    </row>
    <row r="830" spans="1:6">
      <c r="A830" s="41">
        <v>45033</v>
      </c>
      <c r="B830" s="39">
        <v>77.9022216796875</v>
      </c>
      <c r="C830" s="39">
        <v>78.627952773983338</v>
      </c>
      <c r="D830" s="39">
        <v>76.212156109432001</v>
      </c>
      <c r="E830" s="39">
        <v>76.241979635934072</v>
      </c>
      <c r="F830" s="39">
        <v>1431000</v>
      </c>
    </row>
    <row r="831" spans="1:6">
      <c r="A831" s="41">
        <v>45034</v>
      </c>
      <c r="B831" s="39">
        <v>77.941993713378906</v>
      </c>
      <c r="C831" s="39">
        <v>78.538487034651951</v>
      </c>
      <c r="D831" s="39">
        <v>77.285845750601695</v>
      </c>
      <c r="E831" s="39">
        <v>78.389361808127674</v>
      </c>
      <c r="F831" s="39">
        <v>605700</v>
      </c>
    </row>
    <row r="832" spans="1:6">
      <c r="A832" s="41">
        <v>45035</v>
      </c>
      <c r="B832" s="39">
        <v>77.325607299804688</v>
      </c>
      <c r="C832" s="39">
        <v>77.544323271321204</v>
      </c>
      <c r="D832" s="39">
        <v>76.858351830623675</v>
      </c>
      <c r="E832" s="39">
        <v>77.236136721360765</v>
      </c>
      <c r="F832" s="39">
        <v>541400</v>
      </c>
    </row>
    <row r="833" spans="1:6">
      <c r="A833" s="41">
        <v>45036</v>
      </c>
      <c r="B833" s="39">
        <v>77.176483154296875</v>
      </c>
      <c r="C833" s="39">
        <v>77.594035280628489</v>
      </c>
      <c r="D833" s="39">
        <v>75.804547838703414</v>
      </c>
      <c r="E833" s="39">
        <v>75.983496582895924</v>
      </c>
      <c r="F833" s="39">
        <v>482400</v>
      </c>
    </row>
    <row r="834" spans="1:6">
      <c r="A834" s="41">
        <v>45037</v>
      </c>
      <c r="B834" s="39">
        <v>77.265960693359375</v>
      </c>
      <c r="C834" s="39">
        <v>77.81274304048226</v>
      </c>
      <c r="D834" s="39">
        <v>76.003375790437047</v>
      </c>
      <c r="E834" s="39">
        <v>77.285840515964892</v>
      </c>
      <c r="F834" s="39">
        <v>1004200</v>
      </c>
    </row>
    <row r="835" spans="1:6">
      <c r="A835" s="41">
        <v>45040</v>
      </c>
      <c r="B835" s="39">
        <v>77.2261962890625</v>
      </c>
      <c r="C835" s="39">
        <v>77.335554279453248</v>
      </c>
      <c r="D835" s="39">
        <v>75.804549998806678</v>
      </c>
      <c r="E835" s="39">
        <v>77.305730752041924</v>
      </c>
      <c r="F835" s="39">
        <v>514300</v>
      </c>
    </row>
    <row r="836" spans="1:6">
      <c r="A836" s="41">
        <v>45041</v>
      </c>
      <c r="B836" s="39">
        <v>75.178230285644531</v>
      </c>
      <c r="C836" s="39">
        <v>76.37121684528995</v>
      </c>
      <c r="D836" s="39">
        <v>75.11857564828577</v>
      </c>
      <c r="E836" s="39">
        <v>76.261858859093039</v>
      </c>
      <c r="F836" s="39">
        <v>436800</v>
      </c>
    </row>
    <row r="837" spans="1:6">
      <c r="A837" s="41">
        <v>45042</v>
      </c>
      <c r="B837" s="39">
        <v>71.0325927734375</v>
      </c>
      <c r="C837" s="39">
        <v>73.030852665877021</v>
      </c>
      <c r="D837" s="39">
        <v>70.565344840568699</v>
      </c>
      <c r="E837" s="39">
        <v>72.464182855761251</v>
      </c>
      <c r="F837" s="39">
        <v>1273900</v>
      </c>
    </row>
    <row r="838" spans="1:6">
      <c r="A838" s="41">
        <v>45043</v>
      </c>
      <c r="B838" s="39">
        <v>72.324996948242188</v>
      </c>
      <c r="C838" s="39">
        <v>72.971201187081292</v>
      </c>
      <c r="D838" s="39">
        <v>71.301015387151608</v>
      </c>
      <c r="E838" s="39">
        <v>71.301015387151608</v>
      </c>
      <c r="F838" s="39">
        <v>711000</v>
      </c>
    </row>
    <row r="839" spans="1:6">
      <c r="A839" s="41">
        <v>45044</v>
      </c>
      <c r="B839" s="39">
        <v>71.569435119628906</v>
      </c>
      <c r="C839" s="39">
        <v>71.629089759662307</v>
      </c>
      <c r="D839" s="39">
        <v>69.451881226628927</v>
      </c>
      <c r="E839" s="39">
        <v>71.092243508305145</v>
      </c>
      <c r="F839" s="39">
        <v>705200</v>
      </c>
    </row>
    <row r="840" spans="1:6">
      <c r="A840" s="41">
        <v>45047</v>
      </c>
      <c r="B840" s="39">
        <v>70.714454650878906</v>
      </c>
      <c r="C840" s="39">
        <v>72.136100870979618</v>
      </c>
      <c r="D840" s="39">
        <v>70.356557169956801</v>
      </c>
      <c r="E840" s="39">
        <v>71.440193316310797</v>
      </c>
      <c r="F840" s="39">
        <v>643400</v>
      </c>
    </row>
    <row r="841" spans="1:6">
      <c r="A841" s="41">
        <v>45048</v>
      </c>
      <c r="B841" s="39">
        <v>68.408012390136719</v>
      </c>
      <c r="C841" s="39">
        <v>69.998671323969532</v>
      </c>
      <c r="D841" s="39">
        <v>68.239007343484758</v>
      </c>
      <c r="E841" s="39">
        <v>69.998671323969532</v>
      </c>
      <c r="F841" s="39">
        <v>993100</v>
      </c>
    </row>
    <row r="842" spans="1:6">
      <c r="A842" s="41">
        <v>45049</v>
      </c>
      <c r="B842" s="39">
        <v>68.308601379394531</v>
      </c>
      <c r="C842" s="39">
        <v>69.292815763672806</v>
      </c>
      <c r="D842" s="39">
        <v>67.761818981384053</v>
      </c>
      <c r="E842" s="39">
        <v>68.358312317770157</v>
      </c>
      <c r="F842" s="39">
        <v>536900</v>
      </c>
    </row>
    <row r="843" spans="1:6">
      <c r="A843" s="41">
        <v>45050</v>
      </c>
      <c r="B843" s="39">
        <v>67.871170043945312</v>
      </c>
      <c r="C843" s="39">
        <v>69.591066891588724</v>
      </c>
      <c r="D843" s="39">
        <v>67.582870870039883</v>
      </c>
      <c r="E843" s="39">
        <v>69.113867667009401</v>
      </c>
      <c r="F843" s="39">
        <v>566000</v>
      </c>
    </row>
    <row r="844" spans="1:6">
      <c r="A844" s="41">
        <v>45051</v>
      </c>
      <c r="B844" s="39">
        <v>69.799835205078125</v>
      </c>
      <c r="C844" s="39">
        <v>70.008607483678688</v>
      </c>
      <c r="D844" s="39">
        <v>68.308598142367885</v>
      </c>
      <c r="E844" s="39">
        <v>68.72614269956901</v>
      </c>
      <c r="F844" s="39">
        <v>480100</v>
      </c>
    </row>
    <row r="845" spans="1:6">
      <c r="A845" s="41">
        <v>45054</v>
      </c>
      <c r="B845" s="39">
        <v>69.541351318359375</v>
      </c>
      <c r="C845" s="39">
        <v>70.157732028859073</v>
      </c>
      <c r="D845" s="39">
        <v>69.143694173339043</v>
      </c>
      <c r="E845" s="39">
        <v>70.048374038531321</v>
      </c>
      <c r="F845" s="39">
        <v>636100</v>
      </c>
    </row>
    <row r="846" spans="1:6">
      <c r="A846" s="41">
        <v>45055</v>
      </c>
      <c r="B846" s="39">
        <v>68.845451354980469</v>
      </c>
      <c r="C846" s="39">
        <v>69.233172423695464</v>
      </c>
      <c r="D846" s="39">
        <v>68.079952922724488</v>
      </c>
      <c r="E846" s="39">
        <v>69.233172423695464</v>
      </c>
      <c r="F846" s="39">
        <v>536200</v>
      </c>
    </row>
    <row r="847" spans="1:6">
      <c r="A847" s="41">
        <v>45056</v>
      </c>
      <c r="B847" s="39">
        <v>69.481704711914062</v>
      </c>
      <c r="C847" s="39">
        <v>69.839602212600852</v>
      </c>
      <c r="D847" s="39">
        <v>68.905091229160476</v>
      </c>
      <c r="E847" s="39">
        <v>69.223221498123849</v>
      </c>
      <c r="F847" s="39">
        <v>626900</v>
      </c>
    </row>
    <row r="848" spans="1:6">
      <c r="A848" s="41">
        <v>45057</v>
      </c>
      <c r="B848" s="39">
        <v>69.402175903320312</v>
      </c>
      <c r="C848" s="39">
        <v>69.82966419814862</v>
      </c>
      <c r="D848" s="39">
        <v>68.924984253405881</v>
      </c>
      <c r="E848" s="39">
        <v>68.964751488369501</v>
      </c>
      <c r="F848" s="39">
        <v>489500</v>
      </c>
    </row>
    <row r="849" spans="1:6">
      <c r="A849" s="41">
        <v>45058</v>
      </c>
      <c r="B849" s="39">
        <v>71.519729614257812</v>
      </c>
      <c r="C849" s="39">
        <v>73.627339739629846</v>
      </c>
      <c r="D849" s="39">
        <v>70.664753119496964</v>
      </c>
      <c r="E849" s="39">
        <v>70.833758160715732</v>
      </c>
      <c r="F849" s="39">
        <v>1412400</v>
      </c>
    </row>
    <row r="850" spans="1:6">
      <c r="A850" s="41">
        <v>45061</v>
      </c>
      <c r="B850" s="39">
        <v>72.265357971191406</v>
      </c>
      <c r="C850" s="39">
        <v>73.219748880001092</v>
      </c>
      <c r="D850" s="39">
        <v>71.569442718950683</v>
      </c>
      <c r="E850" s="39">
        <v>72.315061327535574</v>
      </c>
      <c r="F850" s="39">
        <v>533200</v>
      </c>
    </row>
    <row r="851" spans="1:6">
      <c r="A851" s="41">
        <v>45062</v>
      </c>
      <c r="B851" s="39">
        <v>70.575279235839844</v>
      </c>
      <c r="C851" s="39">
        <v>72.315055857607476</v>
      </c>
      <c r="D851" s="39">
        <v>70.565343116217406</v>
      </c>
      <c r="E851" s="39">
        <v>71.986989459111925</v>
      </c>
      <c r="F851" s="39">
        <v>572500</v>
      </c>
    </row>
    <row r="852" spans="1:6">
      <c r="A852" s="41">
        <v>45063</v>
      </c>
      <c r="B852" s="39">
        <v>71.241371154785156</v>
      </c>
      <c r="C852" s="39">
        <v>71.519734201664576</v>
      </c>
      <c r="D852" s="39">
        <v>70.088144149342781</v>
      </c>
      <c r="E852" s="39">
        <v>70.57527948138177</v>
      </c>
      <c r="F852" s="39">
        <v>474500</v>
      </c>
    </row>
    <row r="853" spans="1:6">
      <c r="A853" s="41">
        <v>45064</v>
      </c>
      <c r="B853" s="39">
        <v>70.3565673828125</v>
      </c>
      <c r="C853" s="39">
        <v>71.241375094790925</v>
      </c>
      <c r="D853" s="39">
        <v>69.68053955236438</v>
      </c>
      <c r="E853" s="39">
        <v>71.241375094790925</v>
      </c>
      <c r="F853" s="39">
        <v>328100</v>
      </c>
    </row>
    <row r="854" spans="1:6">
      <c r="A854" s="41">
        <v>45065</v>
      </c>
      <c r="B854" s="39">
        <v>69.700424194335938</v>
      </c>
      <c r="C854" s="39">
        <v>71.2711957945872</v>
      </c>
      <c r="D854" s="39">
        <v>69.322646851227418</v>
      </c>
      <c r="E854" s="39">
        <v>70.197503238606018</v>
      </c>
      <c r="F854" s="39">
        <v>324100</v>
      </c>
    </row>
    <row r="855" spans="1:6">
      <c r="A855" s="41">
        <v>45068</v>
      </c>
      <c r="B855" s="39">
        <v>70.923233032226562</v>
      </c>
      <c r="C855" s="39">
        <v>71.231427191429432</v>
      </c>
      <c r="D855" s="39">
        <v>69.720302678398454</v>
      </c>
      <c r="E855" s="39">
        <v>69.809780848755452</v>
      </c>
      <c r="F855" s="39">
        <v>600100</v>
      </c>
    </row>
    <row r="856" spans="1:6">
      <c r="A856" s="41">
        <v>45069</v>
      </c>
      <c r="B856" s="39">
        <v>70.724403381347656</v>
      </c>
      <c r="C856" s="39">
        <v>72.006868181668409</v>
      </c>
      <c r="D856" s="39">
        <v>70.41621681163555</v>
      </c>
      <c r="E856" s="39">
        <v>71.112124415767411</v>
      </c>
      <c r="F856" s="39">
        <v>279800</v>
      </c>
    </row>
    <row r="857" spans="1:6">
      <c r="A857" s="41">
        <v>45070</v>
      </c>
      <c r="B857" s="39">
        <v>70.406272888183594</v>
      </c>
      <c r="C857" s="39">
        <v>70.873528385856559</v>
      </c>
      <c r="D857" s="39">
        <v>69.551296357297758</v>
      </c>
      <c r="E857" s="39">
        <v>70.376449360217066</v>
      </c>
      <c r="F857" s="39">
        <v>315000</v>
      </c>
    </row>
    <row r="858" spans="1:6">
      <c r="A858" s="41">
        <v>45071</v>
      </c>
      <c r="B858" s="39">
        <v>70.207443237304688</v>
      </c>
      <c r="C858" s="39">
        <v>70.446039042209122</v>
      </c>
      <c r="D858" s="39">
        <v>69.392233951125988</v>
      </c>
      <c r="E858" s="39">
        <v>70.316801228057528</v>
      </c>
      <c r="F858" s="39">
        <v>467000</v>
      </c>
    </row>
    <row r="859" spans="1:6">
      <c r="A859" s="41">
        <v>45072</v>
      </c>
      <c r="B859" s="39">
        <v>70.3565673828125</v>
      </c>
      <c r="C859" s="39">
        <v>70.734352325748688</v>
      </c>
      <c r="D859" s="39">
        <v>69.491654665720873</v>
      </c>
      <c r="E859" s="39">
        <v>70.197506026437722</v>
      </c>
      <c r="F859" s="39">
        <v>274700</v>
      </c>
    </row>
    <row r="860" spans="1:6">
      <c r="A860" s="41">
        <v>45076</v>
      </c>
      <c r="B860" s="39">
        <v>70.396331787109375</v>
      </c>
      <c r="C860" s="39">
        <v>71.847801685471765</v>
      </c>
      <c r="D860" s="39">
        <v>69.601009867570355</v>
      </c>
      <c r="E860" s="39">
        <v>70.475866254510564</v>
      </c>
      <c r="F860" s="39">
        <v>770600</v>
      </c>
    </row>
    <row r="861" spans="1:6">
      <c r="A861" s="41">
        <v>45077</v>
      </c>
      <c r="B861" s="39">
        <v>69.571182250976562</v>
      </c>
      <c r="C861" s="39">
        <v>70.15773184774406</v>
      </c>
      <c r="D861" s="39">
        <v>68.417955295887893</v>
      </c>
      <c r="E861" s="39">
        <v>69.690476360245157</v>
      </c>
      <c r="F861" s="39">
        <v>718500</v>
      </c>
    </row>
    <row r="862" spans="1:6">
      <c r="A862" s="41">
        <v>45078</v>
      </c>
      <c r="B862" s="39">
        <v>71.062423706054688</v>
      </c>
      <c r="C862" s="39">
        <v>71.658917043891719</v>
      </c>
      <c r="D862" s="39">
        <v>69.064163818717546</v>
      </c>
      <c r="E862" s="39">
        <v>69.262992403055122</v>
      </c>
      <c r="F862" s="39">
        <v>666200</v>
      </c>
    </row>
    <row r="863" spans="1:6">
      <c r="A863" s="41">
        <v>45079</v>
      </c>
      <c r="B863" s="39">
        <v>71.648971557617188</v>
      </c>
      <c r="C863" s="39">
        <v>72.802198555607248</v>
      </c>
      <c r="D863" s="39">
        <v>71.042534530195539</v>
      </c>
      <c r="E863" s="39">
        <v>72.623249800223419</v>
      </c>
      <c r="F863" s="39">
        <v>925100</v>
      </c>
    </row>
    <row r="864" spans="1:6">
      <c r="A864" s="41">
        <v>45082</v>
      </c>
      <c r="B864" s="39">
        <v>71.390487670898438</v>
      </c>
      <c r="C864" s="39">
        <v>71.907454108220008</v>
      </c>
      <c r="D864" s="39">
        <v>70.69458006468561</v>
      </c>
      <c r="E864" s="39">
        <v>71.350720438425697</v>
      </c>
      <c r="F864" s="39">
        <v>454200</v>
      </c>
    </row>
    <row r="865" spans="1:6">
      <c r="A865" s="41">
        <v>45083</v>
      </c>
      <c r="B865" s="39">
        <v>70.823822021484375</v>
      </c>
      <c r="C865" s="39">
        <v>71.728509547266995</v>
      </c>
      <c r="D865" s="39">
        <v>70.127914374593502</v>
      </c>
      <c r="E865" s="39">
        <v>70.694584197011636</v>
      </c>
      <c r="F865" s="39">
        <v>409000</v>
      </c>
    </row>
    <row r="866" spans="1:6">
      <c r="A866" s="41">
        <v>45084</v>
      </c>
      <c r="B866" s="39">
        <v>70.6051025390625</v>
      </c>
      <c r="C866" s="39">
        <v>71.827920298068491</v>
      </c>
      <c r="D866" s="39">
        <v>70.356563022460193</v>
      </c>
      <c r="E866" s="39">
        <v>70.694580709147871</v>
      </c>
      <c r="F866" s="39">
        <v>550800</v>
      </c>
    </row>
    <row r="867" spans="1:6">
      <c r="A867" s="41">
        <v>45085</v>
      </c>
      <c r="B867" s="39">
        <v>70.406272888183594</v>
      </c>
      <c r="C867" s="39">
        <v>70.943119146053121</v>
      </c>
      <c r="D867" s="39">
        <v>69.879370334577587</v>
      </c>
      <c r="E867" s="39">
        <v>70.475863648380169</v>
      </c>
      <c r="F867" s="39">
        <v>521800</v>
      </c>
    </row>
    <row r="868" spans="1:6">
      <c r="A868" s="41">
        <v>45086</v>
      </c>
      <c r="B868" s="39">
        <v>69.978790283203125</v>
      </c>
      <c r="C868" s="39">
        <v>71.549561951638637</v>
      </c>
      <c r="D868" s="39">
        <v>69.948966752824219</v>
      </c>
      <c r="E868" s="39">
        <v>70.615050880701759</v>
      </c>
      <c r="F868" s="39">
        <v>486200</v>
      </c>
    </row>
    <row r="869" spans="1:6">
      <c r="A869" s="41">
        <v>45089</v>
      </c>
      <c r="B869" s="39">
        <v>71.1220703125</v>
      </c>
      <c r="C869" s="39">
        <v>71.251308133015854</v>
      </c>
      <c r="D869" s="39">
        <v>69.392237368316231</v>
      </c>
      <c r="E869" s="39">
        <v>70.157735756458848</v>
      </c>
      <c r="F869" s="39">
        <v>706300</v>
      </c>
    </row>
    <row r="870" spans="1:6">
      <c r="A870" s="41">
        <v>45090</v>
      </c>
      <c r="B870" s="39">
        <v>71.8875732421875</v>
      </c>
      <c r="C870" s="39">
        <v>73.060680160015707</v>
      </c>
      <c r="D870" s="39">
        <v>71.291079870456571</v>
      </c>
      <c r="E870" s="39">
        <v>71.609210174368044</v>
      </c>
      <c r="F870" s="39">
        <v>665100</v>
      </c>
    </row>
    <row r="871" spans="1:6">
      <c r="A871" s="41">
        <v>45091</v>
      </c>
      <c r="B871" s="39">
        <v>71.201606750488281</v>
      </c>
      <c r="C871" s="39">
        <v>72.15599762834556</v>
      </c>
      <c r="D871" s="39">
        <v>70.734351224023641</v>
      </c>
      <c r="E871" s="39">
        <v>72.076463158984666</v>
      </c>
      <c r="F871" s="39">
        <v>910300</v>
      </c>
    </row>
    <row r="872" spans="1:6">
      <c r="A872" s="41">
        <v>45092</v>
      </c>
      <c r="B872" s="39">
        <v>72.772369384765625</v>
      </c>
      <c r="C872" s="39">
        <v>72.921494615703224</v>
      </c>
      <c r="D872" s="39">
        <v>70.903354900177419</v>
      </c>
      <c r="E872" s="39">
        <v>70.953065838764729</v>
      </c>
      <c r="F872" s="39">
        <v>680000</v>
      </c>
    </row>
    <row r="873" spans="1:6">
      <c r="A873" s="41">
        <v>45093</v>
      </c>
      <c r="B873" s="39">
        <v>72.364768981933594</v>
      </c>
      <c r="C873" s="39">
        <v>73.846062426625068</v>
      </c>
      <c r="D873" s="39">
        <v>71.837866402703867</v>
      </c>
      <c r="E873" s="39">
        <v>73.20980184965056</v>
      </c>
      <c r="F873" s="39">
        <v>687000</v>
      </c>
    </row>
    <row r="874" spans="1:6">
      <c r="A874" s="41">
        <v>45097</v>
      </c>
      <c r="B874" s="39">
        <v>70.088142395019531</v>
      </c>
      <c r="C874" s="39">
        <v>71.977044203481299</v>
      </c>
      <c r="D874" s="39">
        <v>69.750132299361894</v>
      </c>
      <c r="E874" s="39">
        <v>71.559499643613407</v>
      </c>
      <c r="F874" s="39">
        <v>767100</v>
      </c>
    </row>
    <row r="875" spans="1:6">
      <c r="A875" s="41">
        <v>45098</v>
      </c>
      <c r="B875" s="39">
        <v>69.233161926269531</v>
      </c>
      <c r="C875" s="39">
        <v>69.958900597439253</v>
      </c>
      <c r="D875" s="39">
        <v>68.994566132042905</v>
      </c>
      <c r="E875" s="39">
        <v>69.6904736922137</v>
      </c>
      <c r="F875" s="39">
        <v>521400</v>
      </c>
    </row>
    <row r="876" spans="1:6">
      <c r="A876" s="41">
        <v>45099</v>
      </c>
      <c r="B876" s="39">
        <v>68.527313232421875</v>
      </c>
      <c r="C876" s="39">
        <v>69.133750236809803</v>
      </c>
      <c r="D876" s="39">
        <v>67.553035026820723</v>
      </c>
      <c r="E876" s="39">
        <v>69.034335950888988</v>
      </c>
      <c r="F876" s="39">
        <v>806500</v>
      </c>
    </row>
    <row r="877" spans="1:6">
      <c r="A877" s="41">
        <v>45100</v>
      </c>
      <c r="B877" s="39">
        <v>67.64251708984375</v>
      </c>
      <c r="C877" s="39">
        <v>68.000414607633203</v>
      </c>
      <c r="D877" s="39">
        <v>67.006256521512327</v>
      </c>
      <c r="E877" s="39">
        <v>67.751875086102984</v>
      </c>
      <c r="F877" s="39">
        <v>949200</v>
      </c>
    </row>
    <row r="878" spans="1:6">
      <c r="A878" s="41">
        <v>45103</v>
      </c>
      <c r="B878" s="39">
        <v>68.010353088378906</v>
      </c>
      <c r="C878" s="39">
        <v>69.392232115159047</v>
      </c>
      <c r="D878" s="39">
        <v>67.682279124800516</v>
      </c>
      <c r="E878" s="39">
        <v>67.682279124800516</v>
      </c>
      <c r="F878" s="39">
        <v>562700</v>
      </c>
    </row>
    <row r="879" spans="1:6">
      <c r="A879" s="41">
        <v>45104</v>
      </c>
      <c r="B879" s="39">
        <v>68.795738220214844</v>
      </c>
      <c r="C879" s="39">
        <v>68.89516009913531</v>
      </c>
      <c r="D879" s="39">
        <v>67.950705343162056</v>
      </c>
      <c r="E879" s="39">
        <v>68.378193634116926</v>
      </c>
      <c r="F879" s="39">
        <v>738700</v>
      </c>
    </row>
    <row r="880" spans="1:6">
      <c r="A880" s="41">
        <v>45105</v>
      </c>
      <c r="B880" s="39">
        <v>69.223228454589844</v>
      </c>
      <c r="C880" s="39">
        <v>69.839609231008936</v>
      </c>
      <c r="D880" s="39">
        <v>68.398082964085233</v>
      </c>
      <c r="E880" s="39">
        <v>68.577031732411768</v>
      </c>
      <c r="F880" s="39">
        <v>442000</v>
      </c>
    </row>
    <row r="881" spans="1:6">
      <c r="A881" s="41">
        <v>45106</v>
      </c>
      <c r="B881" s="39">
        <v>68.517372131347656</v>
      </c>
      <c r="C881" s="39">
        <v>69.86942770874181</v>
      </c>
      <c r="D881" s="39">
        <v>68.139594796567323</v>
      </c>
      <c r="E881" s="39">
        <v>68.954804107805799</v>
      </c>
      <c r="F881" s="39">
        <v>831600</v>
      </c>
    </row>
    <row r="882" spans="1:6">
      <c r="A882" s="41">
        <v>45107</v>
      </c>
      <c r="B882" s="39">
        <v>71.002761840820312</v>
      </c>
      <c r="C882" s="39">
        <v>71.122063530182615</v>
      </c>
      <c r="D882" s="39">
        <v>69.213282009326861</v>
      </c>
      <c r="E882" s="39">
        <v>69.650706367341598</v>
      </c>
      <c r="F882" s="39">
        <v>822800</v>
      </c>
    </row>
    <row r="883" spans="1:6">
      <c r="A883" s="41">
        <v>45110</v>
      </c>
      <c r="B883" s="39">
        <v>71.002761840820312</v>
      </c>
      <c r="C883" s="39">
        <v>72.354817314299027</v>
      </c>
      <c r="D883" s="39">
        <v>70.774109750571967</v>
      </c>
      <c r="E883" s="39">
        <v>71.002761840820312</v>
      </c>
      <c r="F883" s="39">
        <v>304000</v>
      </c>
    </row>
    <row r="884" spans="1:6">
      <c r="A884" s="41">
        <v>45112</v>
      </c>
      <c r="B884" s="39">
        <v>69.382293701171875</v>
      </c>
      <c r="C884" s="39">
        <v>70.346628257733627</v>
      </c>
      <c r="D884" s="39">
        <v>69.054219712580377</v>
      </c>
      <c r="E884" s="39">
        <v>70.346628257733627</v>
      </c>
      <c r="F884" s="39">
        <v>666100</v>
      </c>
    </row>
    <row r="885" spans="1:6">
      <c r="A885" s="41">
        <v>45113</v>
      </c>
      <c r="B885" s="39">
        <v>66.966484069824219</v>
      </c>
      <c r="C885" s="39">
        <v>68.547191662871185</v>
      </c>
      <c r="D885" s="39">
        <v>66.34016725490774</v>
      </c>
      <c r="E885" s="39">
        <v>68.547191662871185</v>
      </c>
      <c r="F885" s="39">
        <v>929300</v>
      </c>
    </row>
    <row r="886" spans="1:6">
      <c r="A886" s="41">
        <v>45114</v>
      </c>
      <c r="B886" s="39">
        <v>67.6524658203125</v>
      </c>
      <c r="C886" s="39">
        <v>68.527322270554649</v>
      </c>
      <c r="D886" s="39">
        <v>66.986374088661549</v>
      </c>
      <c r="E886" s="39">
        <v>67.175266566200989</v>
      </c>
      <c r="F886" s="39">
        <v>557900</v>
      </c>
    </row>
    <row r="887" spans="1:6">
      <c r="A887" s="41">
        <v>45117</v>
      </c>
      <c r="B887" s="39">
        <v>68.964744567871094</v>
      </c>
      <c r="C887" s="39">
        <v>69.193396664936415</v>
      </c>
      <c r="D887" s="39">
        <v>67.046019286158185</v>
      </c>
      <c r="E887" s="39">
        <v>67.324382318145751</v>
      </c>
      <c r="F887" s="39">
        <v>728300</v>
      </c>
    </row>
    <row r="888" spans="1:6">
      <c r="A888" s="41">
        <v>45118</v>
      </c>
      <c r="B888" s="39">
        <v>68.954803466796875</v>
      </c>
      <c r="C888" s="39">
        <v>69.143695924843129</v>
      </c>
      <c r="D888" s="39">
        <v>68.24895215623458</v>
      </c>
      <c r="E888" s="39">
        <v>68.82556564987388</v>
      </c>
      <c r="F888" s="39">
        <v>312700</v>
      </c>
    </row>
    <row r="889" spans="1:6">
      <c r="A889" s="41">
        <v>45119</v>
      </c>
      <c r="B889" s="39">
        <v>70.903350830078125</v>
      </c>
      <c r="C889" s="39">
        <v>71.171770162498149</v>
      </c>
      <c r="D889" s="39">
        <v>69.988727257239091</v>
      </c>
      <c r="E889" s="39">
        <v>70.35656087630268</v>
      </c>
      <c r="F889" s="39">
        <v>476700</v>
      </c>
    </row>
    <row r="890" spans="1:6">
      <c r="A890" s="41">
        <v>45120</v>
      </c>
      <c r="B890" s="39">
        <v>71.698684692382812</v>
      </c>
      <c r="C890" s="39">
        <v>71.877633453251278</v>
      </c>
      <c r="D890" s="39">
        <v>71.191661939118106</v>
      </c>
      <c r="E890" s="39">
        <v>71.191661939118106</v>
      </c>
      <c r="F890" s="39">
        <v>587000</v>
      </c>
    </row>
    <row r="891" spans="1:6">
      <c r="A891" s="41">
        <v>45121</v>
      </c>
      <c r="B891" s="39">
        <v>70.306861877441406</v>
      </c>
      <c r="C891" s="39">
        <v>71.74838808506442</v>
      </c>
      <c r="D891" s="39">
        <v>70.16768035056019</v>
      </c>
      <c r="E891" s="39">
        <v>71.450145206672261</v>
      </c>
      <c r="F891" s="39">
        <v>565500</v>
      </c>
    </row>
    <row r="892" spans="1:6">
      <c r="A892" s="41">
        <v>45124</v>
      </c>
      <c r="B892" s="39">
        <v>73.120330810546875</v>
      </c>
      <c r="C892" s="39">
        <v>73.687000620446526</v>
      </c>
      <c r="D892" s="39">
        <v>69.968843889698661</v>
      </c>
      <c r="E892" s="39">
        <v>70.257150646991363</v>
      </c>
      <c r="F892" s="39">
        <v>1147900</v>
      </c>
    </row>
    <row r="893" spans="1:6">
      <c r="A893" s="41">
        <v>45125</v>
      </c>
      <c r="B893" s="39">
        <v>72.464179992675781</v>
      </c>
      <c r="C893" s="39">
        <v>74.273547348646531</v>
      </c>
      <c r="D893" s="39">
        <v>72.404532936543745</v>
      </c>
      <c r="E893" s="39">
        <v>73.448394342974538</v>
      </c>
      <c r="F893" s="39">
        <v>1369700</v>
      </c>
    </row>
    <row r="894" spans="1:6">
      <c r="A894" s="41">
        <v>45126</v>
      </c>
      <c r="B894" s="39">
        <v>72.583480834960938</v>
      </c>
      <c r="C894" s="39">
        <v>73.597518701383578</v>
      </c>
      <c r="D894" s="39">
        <v>72.354821147774302</v>
      </c>
      <c r="E894" s="39">
        <v>73.13026320765465</v>
      </c>
      <c r="F894" s="39">
        <v>623100</v>
      </c>
    </row>
    <row r="895" spans="1:6">
      <c r="A895" s="41">
        <v>45127</v>
      </c>
      <c r="B895" s="39">
        <v>71.022659301757812</v>
      </c>
      <c r="C895" s="39">
        <v>71.678799724071823</v>
      </c>
      <c r="D895" s="39">
        <v>70.684641593128177</v>
      </c>
      <c r="E895" s="39">
        <v>71.579385427942384</v>
      </c>
      <c r="F895" s="39">
        <v>939000</v>
      </c>
    </row>
    <row r="896" spans="1:6">
      <c r="A896" s="41">
        <v>45128</v>
      </c>
      <c r="B896" s="39">
        <v>70.734352111816406</v>
      </c>
      <c r="C896" s="39">
        <v>71.340789174861811</v>
      </c>
      <c r="D896" s="39">
        <v>70.326743639844267</v>
      </c>
      <c r="E896" s="39">
        <v>71.022658878249842</v>
      </c>
      <c r="F896" s="39">
        <v>431400</v>
      </c>
    </row>
    <row r="897" spans="1:6">
      <c r="A897" s="41">
        <v>45131</v>
      </c>
      <c r="B897" s="39">
        <v>70.505691528320312</v>
      </c>
      <c r="C897" s="39">
        <v>71.022657994396639</v>
      </c>
      <c r="D897" s="39">
        <v>69.799840178522345</v>
      </c>
      <c r="E897" s="39">
        <v>70.475867998512925</v>
      </c>
      <c r="F897" s="39">
        <v>906800</v>
      </c>
    </row>
    <row r="898" spans="1:6">
      <c r="A898" s="41">
        <v>45132</v>
      </c>
      <c r="B898" s="39">
        <v>70.624992370605469</v>
      </c>
      <c r="C898" s="39">
        <v>71.320900007034652</v>
      </c>
      <c r="D898" s="39">
        <v>70.495754548075581</v>
      </c>
      <c r="E898" s="39">
        <v>70.64487219529299</v>
      </c>
      <c r="F898" s="39">
        <v>263300</v>
      </c>
    </row>
    <row r="899" spans="1:6">
      <c r="A899" s="41">
        <v>45133</v>
      </c>
      <c r="B899" s="39">
        <v>69.610939025878906</v>
      </c>
      <c r="C899" s="39">
        <v>70.16767265718633</v>
      </c>
      <c r="D899" s="39">
        <v>68.497486932911102</v>
      </c>
      <c r="E899" s="39">
        <v>68.59690121480844</v>
      </c>
      <c r="F899" s="39">
        <v>742800</v>
      </c>
    </row>
    <row r="900" spans="1:6">
      <c r="A900" s="41">
        <v>45134</v>
      </c>
      <c r="B900" s="39">
        <v>67.731986999511719</v>
      </c>
      <c r="C900" s="39">
        <v>69.610945156703352</v>
      </c>
      <c r="D900" s="39">
        <v>67.165317199482885</v>
      </c>
      <c r="E900" s="39">
        <v>69.591065332502424</v>
      </c>
      <c r="F900" s="39">
        <v>902500</v>
      </c>
    </row>
    <row r="901" spans="1:6">
      <c r="A901" s="41">
        <v>45135</v>
      </c>
      <c r="B901" s="39">
        <v>67.861228942871094</v>
      </c>
      <c r="C901" s="39">
        <v>68.159471799620178</v>
      </c>
      <c r="D901" s="39">
        <v>66.568820475820317</v>
      </c>
      <c r="E901" s="39">
        <v>67.821461711673123</v>
      </c>
      <c r="F901" s="39">
        <v>808400</v>
      </c>
    </row>
    <row r="902" spans="1:6">
      <c r="A902" s="41">
        <v>45138</v>
      </c>
      <c r="B902" s="39">
        <v>68.139595031738281</v>
      </c>
      <c r="C902" s="39">
        <v>69.034338811752477</v>
      </c>
      <c r="D902" s="39">
        <v>67.602748763729764</v>
      </c>
      <c r="E902" s="39">
        <v>67.741930286751511</v>
      </c>
      <c r="F902" s="39">
        <v>527400</v>
      </c>
    </row>
    <row r="903" spans="1:6">
      <c r="A903" s="41">
        <v>45139</v>
      </c>
      <c r="B903" s="39">
        <v>66.668235778808594</v>
      </c>
      <c r="C903" s="39">
        <v>67.403918189962411</v>
      </c>
      <c r="D903" s="39">
        <v>66.568821491708434</v>
      </c>
      <c r="E903" s="39">
        <v>66.708003010613439</v>
      </c>
      <c r="F903" s="39">
        <v>412100</v>
      </c>
    </row>
    <row r="904" spans="1:6">
      <c r="A904" s="41">
        <v>45140</v>
      </c>
      <c r="B904" s="39">
        <v>63.009738922119141</v>
      </c>
      <c r="C904" s="39">
        <v>64.471148691883542</v>
      </c>
      <c r="D904" s="39">
        <v>62.671725029929078</v>
      </c>
      <c r="E904" s="39">
        <v>64.441325163647136</v>
      </c>
      <c r="F904" s="39">
        <v>1732200</v>
      </c>
    </row>
    <row r="905" spans="1:6">
      <c r="A905" s="41">
        <v>45141</v>
      </c>
      <c r="B905" s="39">
        <v>63.258277893066413</v>
      </c>
      <c r="C905" s="39">
        <v>64.600393538340853</v>
      </c>
      <c r="D905" s="39">
        <v>63.119096372610983</v>
      </c>
      <c r="E905" s="39">
        <v>63.288101421046292</v>
      </c>
      <c r="F905" s="39">
        <v>755400</v>
      </c>
    </row>
    <row r="906" spans="1:6">
      <c r="A906" s="41">
        <v>45142</v>
      </c>
      <c r="B906" s="39">
        <v>62.353595733642578</v>
      </c>
      <c r="C906" s="39">
        <v>63.824945438464127</v>
      </c>
      <c r="D906" s="39">
        <v>62.224354121900973</v>
      </c>
      <c r="E906" s="39">
        <v>63.705651323644332</v>
      </c>
      <c r="F906" s="39">
        <v>1348000</v>
      </c>
    </row>
    <row r="907" spans="1:6">
      <c r="A907" s="41">
        <v>45145</v>
      </c>
      <c r="B907" s="39">
        <v>61.846569061279297</v>
      </c>
      <c r="C907" s="39">
        <v>62.433122440481966</v>
      </c>
      <c r="D907" s="39">
        <v>61.598029558098709</v>
      </c>
      <c r="E907" s="39">
        <v>62.423182529015961</v>
      </c>
      <c r="F907" s="39">
        <v>983700</v>
      </c>
    </row>
    <row r="908" spans="1:6">
      <c r="A908" s="41">
        <v>45146</v>
      </c>
      <c r="B908" s="39">
        <v>61.677566528320312</v>
      </c>
      <c r="C908" s="39">
        <v>61.727273672495983</v>
      </c>
      <c r="D908" s="39">
        <v>60.792766467792468</v>
      </c>
      <c r="E908" s="39">
        <v>61.04130598108285</v>
      </c>
      <c r="F908" s="39">
        <v>614500</v>
      </c>
    </row>
    <row r="909" spans="1:6">
      <c r="A909" s="41">
        <v>45147</v>
      </c>
      <c r="B909" s="39">
        <v>63.029624938964837</v>
      </c>
      <c r="C909" s="39">
        <v>63.556527517406508</v>
      </c>
      <c r="D909" s="39">
        <v>62.134881133675052</v>
      </c>
      <c r="E909" s="39">
        <v>62.32376980705304</v>
      </c>
      <c r="F909" s="39">
        <v>1249200</v>
      </c>
    </row>
    <row r="910" spans="1:6">
      <c r="A910" s="41">
        <v>45148</v>
      </c>
      <c r="B910" s="39">
        <v>62.413242340087891</v>
      </c>
      <c r="C910" s="39">
        <v>63.755354215882562</v>
      </c>
      <c r="D910" s="39">
        <v>62.154762910884408</v>
      </c>
      <c r="E910" s="39">
        <v>63.029623073225231</v>
      </c>
      <c r="F910" s="39">
        <v>713600</v>
      </c>
    </row>
    <row r="911" spans="1:6">
      <c r="A911" s="41">
        <v>45149</v>
      </c>
      <c r="B911" s="39">
        <v>61.458850860595703</v>
      </c>
      <c r="C911" s="39">
        <v>61.757097519602731</v>
      </c>
      <c r="D911" s="39">
        <v>60.941888215191248</v>
      </c>
      <c r="E911" s="39">
        <v>61.64773952640401</v>
      </c>
      <c r="F911" s="39">
        <v>769800</v>
      </c>
    </row>
    <row r="912" spans="1:6">
      <c r="A912" s="41">
        <v>45152</v>
      </c>
      <c r="B912" s="39">
        <v>61.657680511474609</v>
      </c>
      <c r="C912" s="39">
        <v>61.816745642090638</v>
      </c>
      <c r="D912" s="39">
        <v>59.748895151670382</v>
      </c>
      <c r="E912" s="39">
        <v>60.772880485397202</v>
      </c>
      <c r="F912" s="39">
        <v>1022900</v>
      </c>
    </row>
    <row r="913" spans="1:6">
      <c r="A913" s="41">
        <v>45153</v>
      </c>
      <c r="B913" s="39">
        <v>59.231937408447273</v>
      </c>
      <c r="C913" s="39">
        <v>61.021421108819553</v>
      </c>
      <c r="D913" s="39">
        <v>59.112635713987032</v>
      </c>
      <c r="E913" s="39">
        <v>60.723174457492817</v>
      </c>
      <c r="F913" s="39">
        <v>1572400</v>
      </c>
    </row>
    <row r="914" spans="1:6">
      <c r="A914" s="41">
        <v>45154</v>
      </c>
      <c r="B914" s="39">
        <v>57.850055694580078</v>
      </c>
      <c r="C914" s="39">
        <v>59.033106203889417</v>
      </c>
      <c r="D914" s="39">
        <v>57.740701494459763</v>
      </c>
      <c r="E914" s="39">
        <v>58.65532508216284</v>
      </c>
      <c r="F914" s="39">
        <v>967500</v>
      </c>
    </row>
    <row r="915" spans="1:6">
      <c r="A915" s="41">
        <v>45155</v>
      </c>
      <c r="B915" s="39">
        <v>56.935432434082031</v>
      </c>
      <c r="C915" s="39">
        <v>58.257660679105832</v>
      </c>
      <c r="D915" s="39">
        <v>56.806190824672719</v>
      </c>
      <c r="E915" s="39">
        <v>58.148306478357057</v>
      </c>
      <c r="F915" s="39">
        <v>1160300</v>
      </c>
    </row>
    <row r="916" spans="1:6">
      <c r="A916" s="41">
        <v>45156</v>
      </c>
      <c r="B916" s="39">
        <v>56.676948547363281</v>
      </c>
      <c r="C916" s="39">
        <v>57.034846050794847</v>
      </c>
      <c r="D916" s="39">
        <v>55.74244134916794</v>
      </c>
      <c r="E916" s="39">
        <v>56.090395148386428</v>
      </c>
      <c r="F916" s="39">
        <v>1246800</v>
      </c>
    </row>
    <row r="917" spans="1:6">
      <c r="A917" s="41">
        <v>45159</v>
      </c>
      <c r="B917" s="39">
        <v>56.050632476806641</v>
      </c>
      <c r="C917" s="39">
        <v>56.68689302833139</v>
      </c>
      <c r="D917" s="39">
        <v>55.61320050332435</v>
      </c>
      <c r="E917" s="39">
        <v>56.68689302833139</v>
      </c>
      <c r="F917" s="39">
        <v>568400</v>
      </c>
    </row>
    <row r="918" spans="1:6">
      <c r="A918" s="41">
        <v>45160</v>
      </c>
      <c r="B918" s="39">
        <v>55.464080810546882</v>
      </c>
      <c r="C918" s="39">
        <v>56.468178813858493</v>
      </c>
      <c r="D918" s="39">
        <v>55.046532440246366</v>
      </c>
      <c r="E918" s="39">
        <v>56.468178813858493</v>
      </c>
      <c r="F918" s="39">
        <v>669800</v>
      </c>
    </row>
    <row r="919" spans="1:6">
      <c r="A919" s="41">
        <v>45161</v>
      </c>
      <c r="B919" s="39">
        <v>56.428409576416023</v>
      </c>
      <c r="C919" s="39">
        <v>56.726660027074367</v>
      </c>
      <c r="D919" s="39">
        <v>55.374604464451501</v>
      </c>
      <c r="E919" s="39">
        <v>55.414371696860883</v>
      </c>
      <c r="F919" s="39">
        <v>397400</v>
      </c>
    </row>
    <row r="920" spans="1:6">
      <c r="A920" s="41">
        <v>45162</v>
      </c>
      <c r="B920" s="39">
        <v>55.175773620605469</v>
      </c>
      <c r="C920" s="39">
        <v>56.696834274412439</v>
      </c>
      <c r="D920" s="39">
        <v>55.116122770341853</v>
      </c>
      <c r="E920" s="39">
        <v>56.696834274412439</v>
      </c>
      <c r="F920" s="39">
        <v>513900</v>
      </c>
    </row>
    <row r="921" spans="1:6">
      <c r="A921" s="41">
        <v>45163</v>
      </c>
      <c r="B921" s="39">
        <v>55.84185791015625</v>
      </c>
      <c r="C921" s="39">
        <v>56.16993189912845</v>
      </c>
      <c r="D921" s="39">
        <v>55.12606666656513</v>
      </c>
      <c r="E921" s="39">
        <v>55.205597341447643</v>
      </c>
      <c r="F921" s="39">
        <v>446200</v>
      </c>
    </row>
    <row r="922" spans="1:6">
      <c r="A922" s="41">
        <v>45166</v>
      </c>
      <c r="B922" s="39">
        <v>56.150047302246087</v>
      </c>
      <c r="C922" s="39">
        <v>56.557651958986362</v>
      </c>
      <c r="D922" s="39">
        <v>55.81203340696792</v>
      </c>
      <c r="E922" s="39">
        <v>56.269345208693657</v>
      </c>
      <c r="F922" s="39">
        <v>395800</v>
      </c>
    </row>
    <row r="923" spans="1:6">
      <c r="A923" s="41">
        <v>45167</v>
      </c>
      <c r="B923" s="39">
        <v>58.376960754394531</v>
      </c>
      <c r="C923" s="39">
        <v>58.65532378931438</v>
      </c>
      <c r="D923" s="39">
        <v>56.229579560583907</v>
      </c>
      <c r="E923" s="39">
        <v>56.229579560583907</v>
      </c>
      <c r="F923" s="39">
        <v>1321700</v>
      </c>
    </row>
    <row r="924" spans="1:6">
      <c r="A924" s="41">
        <v>45168</v>
      </c>
      <c r="B924" s="39">
        <v>57.939533233642578</v>
      </c>
      <c r="C924" s="39">
        <v>58.545970285397672</v>
      </c>
      <c r="D924" s="39">
        <v>57.700937411831802</v>
      </c>
      <c r="E924" s="39">
        <v>58.287490846367277</v>
      </c>
      <c r="F924" s="39">
        <v>519300</v>
      </c>
    </row>
    <row r="925" spans="1:6">
      <c r="A925" s="41">
        <v>45169</v>
      </c>
      <c r="B925" s="39">
        <v>57.889823913574219</v>
      </c>
      <c r="C925" s="39">
        <v>58.426670181113209</v>
      </c>
      <c r="D925" s="39">
        <v>57.770526007147353</v>
      </c>
      <c r="E925" s="39">
        <v>57.959414675024227</v>
      </c>
      <c r="F925" s="39">
        <v>554900</v>
      </c>
    </row>
    <row r="926" spans="1:6">
      <c r="A926" s="41">
        <v>45170</v>
      </c>
      <c r="B926" s="39">
        <v>58.068771362304688</v>
      </c>
      <c r="C926" s="39">
        <v>59.112636552969718</v>
      </c>
      <c r="D926" s="39">
        <v>57.869938994460867</v>
      </c>
      <c r="E926" s="39">
        <v>58.257660025929717</v>
      </c>
      <c r="F926" s="39">
        <v>359000</v>
      </c>
    </row>
    <row r="927" spans="1:6">
      <c r="A927" s="41">
        <v>45174</v>
      </c>
      <c r="B927" s="39">
        <v>57.681049346923828</v>
      </c>
      <c r="C927" s="39">
        <v>58.188068273485527</v>
      </c>
      <c r="D927" s="39">
        <v>57.521984213844483</v>
      </c>
      <c r="E927" s="39">
        <v>57.859998095689583</v>
      </c>
      <c r="F927" s="39">
        <v>469400</v>
      </c>
    </row>
    <row r="928" spans="1:6">
      <c r="A928" s="41">
        <v>45175</v>
      </c>
      <c r="B928" s="39">
        <v>56.478118896484382</v>
      </c>
      <c r="C928" s="39">
        <v>57.661165583709433</v>
      </c>
      <c r="D928" s="39">
        <v>56.080454168597477</v>
      </c>
      <c r="E928" s="39">
        <v>57.343035318364677</v>
      </c>
      <c r="F928" s="39">
        <v>553200</v>
      </c>
    </row>
    <row r="929" spans="1:6">
      <c r="A929" s="41">
        <v>45176</v>
      </c>
      <c r="B929" s="39">
        <v>55.235420227050781</v>
      </c>
      <c r="C929" s="39">
        <v>55.364658037407573</v>
      </c>
      <c r="D929" s="39">
        <v>54.40032734958222</v>
      </c>
      <c r="E929" s="39">
        <v>55.245360138458288</v>
      </c>
      <c r="F929" s="39">
        <v>664900</v>
      </c>
    </row>
    <row r="930" spans="1:6">
      <c r="A930" s="41">
        <v>45177</v>
      </c>
      <c r="B930" s="39">
        <v>55.245365142822273</v>
      </c>
      <c r="C930" s="39">
        <v>55.414373991354132</v>
      </c>
      <c r="D930" s="39">
        <v>54.748286094358917</v>
      </c>
      <c r="E930" s="39">
        <v>55.324899610934239</v>
      </c>
      <c r="F930" s="39">
        <v>658400</v>
      </c>
    </row>
    <row r="931" spans="1:6">
      <c r="A931" s="41">
        <v>45180</v>
      </c>
      <c r="B931" s="39">
        <v>55.404426574707031</v>
      </c>
      <c r="C931" s="39">
        <v>56.110277866056173</v>
      </c>
      <c r="D931" s="39">
        <v>55.225477825856267</v>
      </c>
      <c r="E931" s="39">
        <v>55.672849697983168</v>
      </c>
      <c r="F931" s="39">
        <v>270700</v>
      </c>
    </row>
    <row r="932" spans="1:6">
      <c r="A932" s="41">
        <v>45181</v>
      </c>
      <c r="B932" s="39">
        <v>56.458236694335938</v>
      </c>
      <c r="C932" s="39">
        <v>56.627241742851332</v>
      </c>
      <c r="D932" s="39">
        <v>55.006766848310043</v>
      </c>
      <c r="E932" s="39">
        <v>55.165831984964768</v>
      </c>
      <c r="F932" s="39">
        <v>620900</v>
      </c>
    </row>
    <row r="933" spans="1:6">
      <c r="A933" s="41">
        <v>45182</v>
      </c>
      <c r="B933" s="39">
        <v>55.295070648193359</v>
      </c>
      <c r="C933" s="39">
        <v>56.667009843112517</v>
      </c>
      <c r="D933" s="39">
        <v>55.036591219324677</v>
      </c>
      <c r="E933" s="39">
        <v>56.338935860505117</v>
      </c>
      <c r="F933" s="39">
        <v>432100</v>
      </c>
    </row>
    <row r="934" spans="1:6">
      <c r="A934" s="41">
        <v>45183</v>
      </c>
      <c r="B934" s="39">
        <v>56.766422271728523</v>
      </c>
      <c r="C934" s="39">
        <v>56.885723966444502</v>
      </c>
      <c r="D934" s="39">
        <v>55.295068835272133</v>
      </c>
      <c r="E934" s="39">
        <v>55.533668432292167</v>
      </c>
      <c r="F934" s="39">
        <v>586400</v>
      </c>
    </row>
    <row r="935" spans="1:6">
      <c r="A935" s="41">
        <v>45184</v>
      </c>
      <c r="B935" s="39">
        <v>55.593315124511719</v>
      </c>
      <c r="C935" s="39">
        <v>56.617300472543803</v>
      </c>
      <c r="D935" s="39">
        <v>55.275184858835317</v>
      </c>
      <c r="E935" s="39">
        <v>56.070514315438231</v>
      </c>
      <c r="F935" s="39">
        <v>529600</v>
      </c>
    </row>
    <row r="936" spans="1:6">
      <c r="A936" s="41">
        <v>45187</v>
      </c>
      <c r="B936" s="39">
        <v>53.923137664794922</v>
      </c>
      <c r="C936" s="39">
        <v>55.225482364401373</v>
      </c>
      <c r="D936" s="39">
        <v>53.853543107934051</v>
      </c>
      <c r="E936" s="39">
        <v>55.225482364401373</v>
      </c>
      <c r="F936" s="39">
        <v>979000</v>
      </c>
    </row>
    <row r="937" spans="1:6">
      <c r="A937" s="41">
        <v>45188</v>
      </c>
      <c r="B937" s="39">
        <v>54.281024932861328</v>
      </c>
      <c r="C937" s="39">
        <v>54.986879990540743</v>
      </c>
      <c r="D937" s="39">
        <v>53.923131240796067</v>
      </c>
      <c r="E937" s="39">
        <v>53.923131240796067</v>
      </c>
      <c r="F937" s="39">
        <v>468700</v>
      </c>
    </row>
    <row r="938" spans="1:6">
      <c r="A938" s="41">
        <v>45189</v>
      </c>
      <c r="B938" s="39">
        <v>54.221382141113281</v>
      </c>
      <c r="C938" s="39">
        <v>55.285130974447483</v>
      </c>
      <c r="D938" s="39">
        <v>54.072256913392309</v>
      </c>
      <c r="E938" s="39">
        <v>54.678693943919903</v>
      </c>
      <c r="F938" s="39">
        <v>614900</v>
      </c>
    </row>
    <row r="939" spans="1:6">
      <c r="A939" s="41">
        <v>45190</v>
      </c>
      <c r="B939" s="39">
        <v>53.276931762695312</v>
      </c>
      <c r="C939" s="39">
        <v>53.744187274777538</v>
      </c>
      <c r="D939" s="39">
        <v>52.928977950982237</v>
      </c>
      <c r="E939" s="39">
        <v>53.644769191136582</v>
      </c>
      <c r="F939" s="39">
        <v>899700</v>
      </c>
    </row>
    <row r="940" spans="1:6">
      <c r="A940" s="41">
        <v>45191</v>
      </c>
      <c r="B940" s="39">
        <v>52.511428833007812</v>
      </c>
      <c r="C940" s="39">
        <v>53.783949946103753</v>
      </c>
      <c r="D940" s="39">
        <v>52.501488920992017</v>
      </c>
      <c r="E940" s="39">
        <v>53.684535656297648</v>
      </c>
      <c r="F940" s="39">
        <v>737100</v>
      </c>
    </row>
    <row r="941" spans="1:6">
      <c r="A941" s="41">
        <v>45194</v>
      </c>
      <c r="B941" s="39">
        <v>52.262886047363281</v>
      </c>
      <c r="C941" s="39">
        <v>53.088039012311548</v>
      </c>
      <c r="D941" s="39">
        <v>51.765807044597857</v>
      </c>
      <c r="E941" s="39">
        <v>51.865221328186223</v>
      </c>
      <c r="F941" s="39">
        <v>691300</v>
      </c>
    </row>
    <row r="942" spans="1:6">
      <c r="A942" s="41">
        <v>45195</v>
      </c>
      <c r="B942" s="39">
        <v>51.437740325927727</v>
      </c>
      <c r="C942" s="39">
        <v>52.163475263567399</v>
      </c>
      <c r="D942" s="39">
        <v>51.358205859791397</v>
      </c>
      <c r="E942" s="39">
        <v>51.427796621454647</v>
      </c>
      <c r="F942" s="39">
        <v>652100</v>
      </c>
    </row>
    <row r="943" spans="1:6">
      <c r="A943" s="41">
        <v>45196</v>
      </c>
      <c r="B943" s="39">
        <v>51.378089904785163</v>
      </c>
      <c r="C943" s="39">
        <v>52.421955130851138</v>
      </c>
      <c r="D943" s="39">
        <v>51.079843239110893</v>
      </c>
      <c r="E943" s="39">
        <v>51.805578182802712</v>
      </c>
      <c r="F943" s="39">
        <v>659000</v>
      </c>
    </row>
    <row r="944" spans="1:6">
      <c r="A944" s="41">
        <v>45197</v>
      </c>
      <c r="B944" s="39">
        <v>51.547092437744141</v>
      </c>
      <c r="C944" s="39">
        <v>51.805575649792303</v>
      </c>
      <c r="D944" s="39">
        <v>50.364045745035497</v>
      </c>
      <c r="E944" s="39">
        <v>51.606743284927227</v>
      </c>
      <c r="F944" s="39">
        <v>956800</v>
      </c>
    </row>
    <row r="945" spans="1:6">
      <c r="A945" s="41">
        <v>45198</v>
      </c>
      <c r="B945" s="39">
        <v>51.487445831298828</v>
      </c>
      <c r="C945" s="39">
        <v>53.217278698139907</v>
      </c>
      <c r="D945" s="39">
        <v>51.169315561709382</v>
      </c>
      <c r="E945" s="39">
        <v>52.213180745825483</v>
      </c>
      <c r="F945" s="39">
        <v>836700</v>
      </c>
    </row>
    <row r="946" spans="1:6">
      <c r="A946" s="41">
        <v>45201</v>
      </c>
      <c r="B946" s="39">
        <v>49.1412353515625</v>
      </c>
      <c r="C946" s="39">
        <v>51.030137264876203</v>
      </c>
      <c r="D946" s="39">
        <v>48.952346677195997</v>
      </c>
      <c r="E946" s="39">
        <v>50.900895649566387</v>
      </c>
      <c r="F946" s="39">
        <v>939000</v>
      </c>
    </row>
    <row r="947" spans="1:6">
      <c r="A947" s="41">
        <v>45202</v>
      </c>
      <c r="B947" s="39">
        <v>47.311985015869141</v>
      </c>
      <c r="C947" s="39">
        <v>48.604389811566648</v>
      </c>
      <c r="D947" s="39">
        <v>46.89443663400278</v>
      </c>
      <c r="E947" s="39">
        <v>48.604389811566648</v>
      </c>
      <c r="F947" s="39">
        <v>1624300</v>
      </c>
    </row>
    <row r="948" spans="1:6">
      <c r="A948" s="41">
        <v>45203</v>
      </c>
      <c r="B948" s="39">
        <v>47.620174407958977</v>
      </c>
      <c r="C948" s="39">
        <v>47.799123168979911</v>
      </c>
      <c r="D948" s="39">
        <v>46.099109939281107</v>
      </c>
      <c r="E948" s="39">
        <v>47.530700027448518</v>
      </c>
      <c r="F948" s="39">
        <v>1440900</v>
      </c>
    </row>
    <row r="949" spans="1:6">
      <c r="A949" s="41">
        <v>45204</v>
      </c>
      <c r="B949" s="39">
        <v>46.387413024902337</v>
      </c>
      <c r="C949" s="39">
        <v>47.620170637390878</v>
      </c>
      <c r="D949" s="39">
        <v>46.039459235141642</v>
      </c>
      <c r="E949" s="39">
        <v>47.321920197696713</v>
      </c>
      <c r="F949" s="39">
        <v>671000</v>
      </c>
    </row>
    <row r="950" spans="1:6">
      <c r="A950" s="41">
        <v>45205</v>
      </c>
      <c r="B950" s="39">
        <v>47.451164245605469</v>
      </c>
      <c r="C950" s="39">
        <v>47.759354612701081</v>
      </c>
      <c r="D950" s="39">
        <v>45.562266187272691</v>
      </c>
      <c r="E950" s="39">
        <v>45.731271238884688</v>
      </c>
      <c r="F950" s="39">
        <v>866700</v>
      </c>
    </row>
    <row r="951" spans="1:6">
      <c r="A951" s="41">
        <v>45208</v>
      </c>
      <c r="B951" s="39">
        <v>46.814903259277337</v>
      </c>
      <c r="C951" s="39">
        <v>47.182740680090546</v>
      </c>
      <c r="D951" s="39">
        <v>46.138875474186463</v>
      </c>
      <c r="E951" s="39">
        <v>46.546480127631369</v>
      </c>
      <c r="F951" s="39">
        <v>425200</v>
      </c>
    </row>
    <row r="952" spans="1:6">
      <c r="A952" s="41">
        <v>45209</v>
      </c>
      <c r="B952" s="39">
        <v>49.469303131103523</v>
      </c>
      <c r="C952" s="39">
        <v>49.67807920481475</v>
      </c>
      <c r="D952" s="39">
        <v>46.924260938323613</v>
      </c>
      <c r="E952" s="39">
        <v>47.152916835805428</v>
      </c>
      <c r="F952" s="39">
        <v>3135700</v>
      </c>
    </row>
    <row r="953" spans="1:6">
      <c r="A953" s="41">
        <v>45210</v>
      </c>
      <c r="B953" s="39">
        <v>50.105567932128913</v>
      </c>
      <c r="C953" s="39">
        <v>50.900893624680847</v>
      </c>
      <c r="D953" s="39">
        <v>49.479247290063981</v>
      </c>
      <c r="E953" s="39">
        <v>50.503228882198847</v>
      </c>
      <c r="F953" s="39">
        <v>839500</v>
      </c>
    </row>
    <row r="954" spans="1:6">
      <c r="A954" s="41">
        <v>45211</v>
      </c>
      <c r="B954" s="39">
        <v>48.7137451171875</v>
      </c>
      <c r="C954" s="39">
        <v>50.16521497988807</v>
      </c>
      <c r="D954" s="39">
        <v>48.117251795982668</v>
      </c>
      <c r="E954" s="39">
        <v>50.105567923214807</v>
      </c>
      <c r="F954" s="39">
        <v>465900</v>
      </c>
    </row>
    <row r="955" spans="1:6">
      <c r="A955" s="41">
        <v>45212</v>
      </c>
      <c r="B955" s="39">
        <v>48.047660827636719</v>
      </c>
      <c r="C955" s="39">
        <v>49.051758798895797</v>
      </c>
      <c r="D955" s="39">
        <v>47.868712073564879</v>
      </c>
      <c r="E955" s="39">
        <v>48.912577277375931</v>
      </c>
      <c r="F955" s="39">
        <v>423400</v>
      </c>
    </row>
    <row r="956" spans="1:6">
      <c r="A956" s="41">
        <v>45215</v>
      </c>
      <c r="B956" s="39">
        <v>48.683921813964837</v>
      </c>
      <c r="C956" s="39">
        <v>48.872810481656977</v>
      </c>
      <c r="D956" s="39">
        <v>47.351749850862873</v>
      </c>
      <c r="E956" s="39">
        <v>47.838885180536508</v>
      </c>
      <c r="F956" s="39">
        <v>454000</v>
      </c>
    </row>
    <row r="957" spans="1:6">
      <c r="A957" s="41">
        <v>45216</v>
      </c>
      <c r="B957" s="39">
        <v>49.3897705078125</v>
      </c>
      <c r="C957" s="39">
        <v>50.055854557764007</v>
      </c>
      <c r="D957" s="39">
        <v>47.898533484732198</v>
      </c>
      <c r="E957" s="39">
        <v>47.898533484732198</v>
      </c>
      <c r="F957" s="39">
        <v>558000</v>
      </c>
    </row>
    <row r="958" spans="1:6">
      <c r="A958" s="41">
        <v>45217</v>
      </c>
      <c r="B958" s="39">
        <v>47.9482421875</v>
      </c>
      <c r="C958" s="39">
        <v>48.84298594743246</v>
      </c>
      <c r="D958" s="39">
        <v>47.709646379792673</v>
      </c>
      <c r="E958" s="39">
        <v>48.84298594743246</v>
      </c>
      <c r="F958" s="39">
        <v>331700</v>
      </c>
    </row>
    <row r="959" spans="1:6">
      <c r="A959" s="41">
        <v>45218</v>
      </c>
      <c r="B959" s="39">
        <v>46.476890563964837</v>
      </c>
      <c r="C959" s="39">
        <v>47.789178935319107</v>
      </c>
      <c r="D959" s="39">
        <v>46.347648950788582</v>
      </c>
      <c r="E959" s="39">
        <v>47.580406647242782</v>
      </c>
      <c r="F959" s="39">
        <v>1054600</v>
      </c>
    </row>
    <row r="960" spans="1:6">
      <c r="A960" s="41">
        <v>45219</v>
      </c>
      <c r="B960" s="39">
        <v>43.663421630859382</v>
      </c>
      <c r="C960" s="39">
        <v>44.409040200723062</v>
      </c>
      <c r="D960" s="39">
        <v>42.540025716134849</v>
      </c>
      <c r="E960" s="39">
        <v>42.599672774580164</v>
      </c>
      <c r="F960" s="39">
        <v>2242600</v>
      </c>
    </row>
    <row r="961" spans="1:6">
      <c r="A961" s="41">
        <v>45222</v>
      </c>
      <c r="B961" s="39">
        <v>43.424823760986328</v>
      </c>
      <c r="C961" s="39">
        <v>44.041200687748983</v>
      </c>
      <c r="D961" s="39">
        <v>42.30142410691591</v>
      </c>
      <c r="E961" s="39">
        <v>42.937684649691803</v>
      </c>
      <c r="F961" s="39">
        <v>786500</v>
      </c>
    </row>
    <row r="962" spans="1:6">
      <c r="A962" s="41">
        <v>45223</v>
      </c>
      <c r="B962" s="39">
        <v>44.001434326171882</v>
      </c>
      <c r="C962" s="39">
        <v>44.896178102408037</v>
      </c>
      <c r="D962" s="39">
        <v>43.653480520086731</v>
      </c>
      <c r="E962" s="39">
        <v>43.693247752899907</v>
      </c>
      <c r="F962" s="39">
        <v>639800</v>
      </c>
    </row>
    <row r="963" spans="1:6">
      <c r="A963" s="41">
        <v>45224</v>
      </c>
      <c r="B963" s="39">
        <v>42.390895843505859</v>
      </c>
      <c r="C963" s="39">
        <v>43.136514331726282</v>
      </c>
      <c r="D963" s="39">
        <v>41.794402569894217</v>
      </c>
      <c r="E963" s="39">
        <v>42.96750929475396</v>
      </c>
      <c r="F963" s="39">
        <v>1036000</v>
      </c>
    </row>
    <row r="964" spans="1:6">
      <c r="A964" s="41">
        <v>45225</v>
      </c>
      <c r="B964" s="39">
        <v>42.798503875732422</v>
      </c>
      <c r="C964" s="39">
        <v>43.434764429594523</v>
      </c>
      <c r="D964" s="39">
        <v>42.271601315642627</v>
      </c>
      <c r="E964" s="39">
        <v>42.271601315642627</v>
      </c>
      <c r="F964" s="39">
        <v>788000</v>
      </c>
    </row>
    <row r="965" spans="1:6">
      <c r="A965" s="41">
        <v>45226</v>
      </c>
      <c r="B965" s="39">
        <v>40.710773468017578</v>
      </c>
      <c r="C965" s="39">
        <v>42.092652569809282</v>
      </c>
      <c r="D965" s="39">
        <v>40.651122618925747</v>
      </c>
      <c r="E965" s="39">
        <v>41.754638676446334</v>
      </c>
      <c r="F965" s="39">
        <v>1843300</v>
      </c>
    </row>
    <row r="966" spans="1:6">
      <c r="A966" s="41">
        <v>45229</v>
      </c>
      <c r="B966" s="39">
        <v>41.108432769775391</v>
      </c>
      <c r="C966" s="39">
        <v>42.341190388026902</v>
      </c>
      <c r="D966" s="39">
        <v>40.581530230699741</v>
      </c>
      <c r="E966" s="39">
        <v>41.386799595297163</v>
      </c>
      <c r="F966" s="39">
        <v>1007000</v>
      </c>
    </row>
    <row r="967" spans="1:6">
      <c r="A967" s="41">
        <v>45230</v>
      </c>
      <c r="B967" s="39">
        <v>41.734756469726562</v>
      </c>
      <c r="C967" s="39">
        <v>41.774523703797641</v>
      </c>
      <c r="D967" s="39">
        <v>40.959314367401447</v>
      </c>
      <c r="E967" s="39">
        <v>41.108435806549721</v>
      </c>
      <c r="F967" s="39">
        <v>762400</v>
      </c>
    </row>
    <row r="968" spans="1:6">
      <c r="A968" s="41">
        <v>45231</v>
      </c>
      <c r="B968" s="39">
        <v>41.277442932128913</v>
      </c>
      <c r="C968" s="39">
        <v>41.913703481058427</v>
      </c>
      <c r="D968" s="39">
        <v>40.502000862172551</v>
      </c>
      <c r="E968" s="39">
        <v>41.774521960031599</v>
      </c>
      <c r="F968" s="39">
        <v>715800</v>
      </c>
    </row>
    <row r="969" spans="1:6">
      <c r="A969" s="41">
        <v>45232</v>
      </c>
      <c r="B969" s="39">
        <v>42.788566589355469</v>
      </c>
      <c r="C969" s="39">
        <v>43.186227563714567</v>
      </c>
      <c r="D969" s="39">
        <v>41.436510933227503</v>
      </c>
      <c r="E969" s="39">
        <v>41.516041611134398</v>
      </c>
      <c r="F969" s="39">
        <v>1509500</v>
      </c>
    </row>
    <row r="970" spans="1:6">
      <c r="A970" s="41">
        <v>45233</v>
      </c>
      <c r="B970" s="39">
        <v>44.438865661621087</v>
      </c>
      <c r="C970" s="39">
        <v>45.323665720691849</v>
      </c>
      <c r="D970" s="39">
        <v>43.872195875645168</v>
      </c>
      <c r="E970" s="39">
        <v>44.160498828354108</v>
      </c>
      <c r="F970" s="39">
        <v>1106800</v>
      </c>
    </row>
    <row r="971" spans="1:6">
      <c r="A971" s="41">
        <v>45236</v>
      </c>
      <c r="B971" s="39">
        <v>43.6236572265625</v>
      </c>
      <c r="C971" s="39">
        <v>45.035359867322647</v>
      </c>
      <c r="D971" s="39">
        <v>43.275699626191823</v>
      </c>
      <c r="E971" s="39">
        <v>45.035359867322647</v>
      </c>
      <c r="F971" s="39">
        <v>1087000</v>
      </c>
    </row>
    <row r="972" spans="1:6">
      <c r="A972" s="41">
        <v>45237</v>
      </c>
      <c r="B972" s="39">
        <v>43.653480529785163</v>
      </c>
      <c r="C972" s="39">
        <v>43.87219651789416</v>
      </c>
      <c r="D972" s="39">
        <v>42.808447690583741</v>
      </c>
      <c r="E972" s="39">
        <v>43.017219974281211</v>
      </c>
      <c r="F972" s="39">
        <v>1066600</v>
      </c>
    </row>
    <row r="973" spans="1:6">
      <c r="A973" s="41">
        <v>45238</v>
      </c>
      <c r="B973" s="39">
        <v>42.291484832763672</v>
      </c>
      <c r="C973" s="39">
        <v>43.146461372164147</v>
      </c>
      <c r="D973" s="39">
        <v>42.013117996793163</v>
      </c>
      <c r="E973" s="39">
        <v>43.056986994961491</v>
      </c>
      <c r="F973" s="39">
        <v>918900</v>
      </c>
    </row>
    <row r="974" spans="1:6">
      <c r="A974" s="41">
        <v>45239</v>
      </c>
      <c r="B974" s="39">
        <v>41.317211151123047</v>
      </c>
      <c r="C974" s="39">
        <v>42.808448270439257</v>
      </c>
      <c r="D974" s="39">
        <v>41.158146010092473</v>
      </c>
      <c r="E974" s="39">
        <v>42.261658292760288</v>
      </c>
      <c r="F974" s="39">
        <v>753900</v>
      </c>
    </row>
    <row r="975" spans="1:6">
      <c r="A975" s="41">
        <v>45240</v>
      </c>
      <c r="B975" s="39">
        <v>41.158145904541023</v>
      </c>
      <c r="C975" s="39">
        <v>41.217792962016951</v>
      </c>
      <c r="D975" s="39">
        <v>40.313109263648357</v>
      </c>
      <c r="E975" s="39">
        <v>40.859895447512962</v>
      </c>
      <c r="F975" s="39">
        <v>820800</v>
      </c>
    </row>
    <row r="976" spans="1:6">
      <c r="A976" s="41">
        <v>45243</v>
      </c>
      <c r="B976" s="39">
        <v>41.466331481933587</v>
      </c>
      <c r="C976" s="39">
        <v>41.863996220112611</v>
      </c>
      <c r="D976" s="39">
        <v>40.631238565687262</v>
      </c>
      <c r="E976" s="39">
        <v>40.96925245541582</v>
      </c>
      <c r="F976" s="39">
        <v>940000</v>
      </c>
    </row>
    <row r="977" spans="1:6">
      <c r="A977" s="41">
        <v>45244</v>
      </c>
      <c r="B977" s="39">
        <v>45.761096954345703</v>
      </c>
      <c r="C977" s="39">
        <v>45.87045495410301</v>
      </c>
      <c r="D977" s="39">
        <v>43.335352511886143</v>
      </c>
      <c r="E977" s="39">
        <v>43.335352511886143</v>
      </c>
      <c r="F977" s="39">
        <v>3167900</v>
      </c>
    </row>
    <row r="978" spans="1:6">
      <c r="A978" s="41">
        <v>45245</v>
      </c>
      <c r="B978" s="39">
        <v>46.377475738525391</v>
      </c>
      <c r="C978" s="39">
        <v>47.809062001961152</v>
      </c>
      <c r="D978" s="39">
        <v>45.830685763076779</v>
      </c>
      <c r="E978" s="39">
        <v>46.089168986454688</v>
      </c>
      <c r="F978" s="39">
        <v>2191000</v>
      </c>
    </row>
    <row r="979" spans="1:6">
      <c r="A979" s="41">
        <v>45246</v>
      </c>
      <c r="B979" s="39">
        <v>45.214309692382812</v>
      </c>
      <c r="C979" s="39">
        <v>46.16870055312679</v>
      </c>
      <c r="D979" s="39">
        <v>45.005537402672353</v>
      </c>
      <c r="E979" s="39">
        <v>45.602030742534303</v>
      </c>
      <c r="F979" s="39">
        <v>1278000</v>
      </c>
    </row>
    <row r="980" spans="1:6">
      <c r="A980" s="41">
        <v>45247</v>
      </c>
      <c r="B980" s="39">
        <v>45.363430023193359</v>
      </c>
      <c r="C980" s="39">
        <v>45.641793046070617</v>
      </c>
      <c r="D980" s="39">
        <v>44.289737576532332</v>
      </c>
      <c r="E980" s="39">
        <v>45.641793046070617</v>
      </c>
      <c r="F980" s="39">
        <v>1033600</v>
      </c>
    </row>
    <row r="981" spans="1:6">
      <c r="A981" s="41">
        <v>45250</v>
      </c>
      <c r="B981" s="39">
        <v>46.755252838134773</v>
      </c>
      <c r="C981" s="39">
        <v>47.083326821730132</v>
      </c>
      <c r="D981" s="39">
        <v>45.32366658200278</v>
      </c>
      <c r="E981" s="39">
        <v>46.019577989777019</v>
      </c>
      <c r="F981" s="39">
        <v>1005700</v>
      </c>
    </row>
    <row r="982" spans="1:6">
      <c r="A982" s="41">
        <v>45251</v>
      </c>
      <c r="B982" s="39">
        <v>45.771038055419922</v>
      </c>
      <c r="C982" s="39">
        <v>46.526596513395972</v>
      </c>
      <c r="D982" s="39">
        <v>45.651736357519461</v>
      </c>
      <c r="E982" s="39">
        <v>46.27805699805473</v>
      </c>
      <c r="F982" s="39">
        <v>772400</v>
      </c>
    </row>
    <row r="983" spans="1:6">
      <c r="A983" s="41">
        <v>45252</v>
      </c>
      <c r="B983" s="39">
        <v>45.790920257568359</v>
      </c>
      <c r="C983" s="39">
        <v>46.457004317754297</v>
      </c>
      <c r="D983" s="39">
        <v>45.631855124358893</v>
      </c>
      <c r="E983" s="39">
        <v>46.337706415950173</v>
      </c>
      <c r="F983" s="39">
        <v>806800</v>
      </c>
    </row>
    <row r="984" spans="1:6">
      <c r="A984" s="41">
        <v>45254</v>
      </c>
      <c r="B984" s="39">
        <v>45.214309692382812</v>
      </c>
      <c r="C984" s="39">
        <v>45.542383683995403</v>
      </c>
      <c r="D984" s="39">
        <v>45.07512816590917</v>
      </c>
      <c r="E984" s="39">
        <v>45.343551306570703</v>
      </c>
      <c r="F984" s="39">
        <v>1231700</v>
      </c>
    </row>
    <row r="985" spans="1:6">
      <c r="A985" s="41">
        <v>45257</v>
      </c>
      <c r="B985" s="39">
        <v>44.369274139404297</v>
      </c>
      <c r="C985" s="39">
        <v>45.075125433685344</v>
      </c>
      <c r="D985" s="39">
        <v>44.279799764607269</v>
      </c>
      <c r="E985" s="39">
        <v>44.826585925072699</v>
      </c>
      <c r="F985" s="39">
        <v>2158300</v>
      </c>
    </row>
    <row r="986" spans="1:6">
      <c r="A986" s="41">
        <v>45258</v>
      </c>
      <c r="B986" s="39">
        <v>45.025421142578118</v>
      </c>
      <c r="C986" s="39">
        <v>45.224253520545652</v>
      </c>
      <c r="D986" s="39">
        <v>43.792663433109198</v>
      </c>
      <c r="E986" s="39">
        <v>44.200268101357153</v>
      </c>
      <c r="F986" s="39">
        <v>801500</v>
      </c>
    </row>
    <row r="987" spans="1:6">
      <c r="A987" s="41">
        <v>45259</v>
      </c>
      <c r="B987" s="39">
        <v>45.572208404541023</v>
      </c>
      <c r="C987" s="39">
        <v>46.317826995065303</v>
      </c>
      <c r="D987" s="39">
        <v>45.28390163935935</v>
      </c>
      <c r="E987" s="39">
        <v>45.492673934527197</v>
      </c>
      <c r="F987" s="39">
        <v>1152100</v>
      </c>
    </row>
    <row r="988" spans="1:6">
      <c r="A988" s="41">
        <v>45260</v>
      </c>
      <c r="B988" s="39">
        <v>45.572208404541023</v>
      </c>
      <c r="C988" s="39">
        <v>45.900278612317329</v>
      </c>
      <c r="D988" s="39">
        <v>44.766938961506369</v>
      </c>
      <c r="E988" s="39">
        <v>45.452910491932563</v>
      </c>
      <c r="F988" s="39">
        <v>937800</v>
      </c>
    </row>
    <row r="989" spans="1:6">
      <c r="A989" s="41">
        <v>45261</v>
      </c>
      <c r="B989" s="39">
        <v>47.590347290039062</v>
      </c>
      <c r="C989" s="39">
        <v>47.669881758572252</v>
      </c>
      <c r="D989" s="39">
        <v>44.876296126145313</v>
      </c>
      <c r="E989" s="39">
        <v>45.104952034559929</v>
      </c>
      <c r="F989" s="39">
        <v>1417900</v>
      </c>
    </row>
    <row r="990" spans="1:6">
      <c r="A990" s="41">
        <v>45264</v>
      </c>
      <c r="B990" s="39">
        <v>47.461105346679688</v>
      </c>
      <c r="C990" s="39">
        <v>48.345905374025257</v>
      </c>
      <c r="D990" s="39">
        <v>47.113147765675251</v>
      </c>
      <c r="E990" s="39">
        <v>47.461105346679688</v>
      </c>
      <c r="F990" s="39">
        <v>3032400</v>
      </c>
    </row>
    <row r="991" spans="1:6">
      <c r="A991" s="41">
        <v>45265</v>
      </c>
      <c r="B991" s="39">
        <v>46.954086303710938</v>
      </c>
      <c r="C991" s="39">
        <v>47.659937639959047</v>
      </c>
      <c r="D991" s="39">
        <v>46.566365254008801</v>
      </c>
      <c r="E991" s="39">
        <v>46.785081248163713</v>
      </c>
      <c r="F991" s="39">
        <v>2409400</v>
      </c>
    </row>
    <row r="992" spans="1:6">
      <c r="A992" s="41">
        <v>45266</v>
      </c>
      <c r="B992" s="39">
        <v>46.307884216308587</v>
      </c>
      <c r="C992" s="39">
        <v>47.908475505939698</v>
      </c>
      <c r="D992" s="39">
        <v>46.278056895693439</v>
      </c>
      <c r="E992" s="39">
        <v>47.182740577837983</v>
      </c>
      <c r="F992" s="39">
        <v>1876900</v>
      </c>
    </row>
    <row r="993" spans="1:6">
      <c r="A993" s="41">
        <v>45267</v>
      </c>
      <c r="B993" s="39">
        <v>46.377475738525391</v>
      </c>
      <c r="C993" s="39">
        <v>46.655838786090428</v>
      </c>
      <c r="D993" s="39">
        <v>46.079225281949022</v>
      </c>
      <c r="E993" s="39">
        <v>46.248234126836437</v>
      </c>
      <c r="F993" s="39">
        <v>573700</v>
      </c>
    </row>
    <row r="994" spans="1:6">
      <c r="A994" s="41">
        <v>45268</v>
      </c>
      <c r="B994" s="39">
        <v>45.552322387695312</v>
      </c>
      <c r="C994" s="39">
        <v>46.964028816784619</v>
      </c>
      <c r="D994" s="39">
        <v>45.045303441506007</v>
      </c>
      <c r="E994" s="39">
        <v>46.20846656109962</v>
      </c>
      <c r="F994" s="39">
        <v>877000</v>
      </c>
    </row>
    <row r="995" spans="1:6">
      <c r="A995" s="41">
        <v>45271</v>
      </c>
      <c r="B995" s="39">
        <v>45.542381286621087</v>
      </c>
      <c r="C995" s="39">
        <v>45.880395172726217</v>
      </c>
      <c r="D995" s="39">
        <v>44.747051818788833</v>
      </c>
      <c r="E995" s="39">
        <v>44.945884185746898</v>
      </c>
      <c r="F995" s="39">
        <v>1037100</v>
      </c>
    </row>
    <row r="996" spans="1:6">
      <c r="A996" s="41">
        <v>45272</v>
      </c>
      <c r="B996" s="39">
        <v>44.200263977050781</v>
      </c>
      <c r="C996" s="39">
        <v>45.204365685509053</v>
      </c>
      <c r="D996" s="39">
        <v>43.385054716621681</v>
      </c>
      <c r="E996" s="39">
        <v>45.005533326094479</v>
      </c>
      <c r="F996" s="39">
        <v>1468500</v>
      </c>
    </row>
    <row r="997" spans="1:6">
      <c r="A997" s="41">
        <v>45273</v>
      </c>
      <c r="B997" s="39">
        <v>46.665779113769531</v>
      </c>
      <c r="C997" s="39">
        <v>46.715490051916362</v>
      </c>
      <c r="D997" s="39">
        <v>43.245876668899633</v>
      </c>
      <c r="E997" s="39">
        <v>43.633597715007269</v>
      </c>
      <c r="F997" s="39">
        <v>3305300</v>
      </c>
    </row>
    <row r="998" spans="1:6">
      <c r="A998" s="41">
        <v>45274</v>
      </c>
      <c r="B998" s="39">
        <v>50.463462829589837</v>
      </c>
      <c r="C998" s="39">
        <v>51.457620916631832</v>
      </c>
      <c r="D998" s="39">
        <v>48.614331973317952</v>
      </c>
      <c r="E998" s="39">
        <v>48.614331973317952</v>
      </c>
      <c r="F998" s="39">
        <v>4123600</v>
      </c>
    </row>
    <row r="999" spans="1:6">
      <c r="A999" s="41">
        <v>45275</v>
      </c>
      <c r="B999" s="39">
        <v>51.477500915527337</v>
      </c>
      <c r="C999" s="39">
        <v>52.073998001276891</v>
      </c>
      <c r="D999" s="39">
        <v>50.23480339406396</v>
      </c>
      <c r="E999" s="39">
        <v>51.626626135067703</v>
      </c>
      <c r="F999" s="39">
        <v>2487200</v>
      </c>
    </row>
    <row r="1000" spans="1:6">
      <c r="A1000" s="41">
        <v>45278</v>
      </c>
      <c r="B1000" s="39">
        <v>50.351070404052727</v>
      </c>
      <c r="C1000" s="39">
        <v>51.525265665601928</v>
      </c>
      <c r="D1000" s="39">
        <v>49.505253520566121</v>
      </c>
      <c r="E1000" s="39">
        <v>50.530185192826742</v>
      </c>
      <c r="F1000" s="39">
        <v>1424000</v>
      </c>
    </row>
    <row r="1001" spans="1:6">
      <c r="A1001" s="41">
        <v>45279</v>
      </c>
      <c r="B1001" s="39">
        <v>52.689510345458977</v>
      </c>
      <c r="C1001" s="39">
        <v>52.868625129313401</v>
      </c>
      <c r="D1001" s="39">
        <v>51.167034682696453</v>
      </c>
      <c r="E1001" s="39">
        <v>51.326251198060952</v>
      </c>
      <c r="F1001" s="39">
        <v>1629200</v>
      </c>
    </row>
    <row r="1002" spans="1:6">
      <c r="A1002" s="41">
        <v>45280</v>
      </c>
      <c r="B1002" s="39">
        <v>50.390872955322273</v>
      </c>
      <c r="C1002" s="39">
        <v>52.948229386562211</v>
      </c>
      <c r="D1002" s="39">
        <v>50.311268493878117</v>
      </c>
      <c r="E1002" s="39">
        <v>52.948229386562211</v>
      </c>
      <c r="F1002" s="39">
        <v>1646200</v>
      </c>
    </row>
    <row r="1003" spans="1:6">
      <c r="A1003" s="41">
        <v>45281</v>
      </c>
      <c r="B1003" s="39">
        <v>52.798969268798828</v>
      </c>
      <c r="C1003" s="39">
        <v>52.958181986625434</v>
      </c>
      <c r="D1003" s="39">
        <v>51.535216660330597</v>
      </c>
      <c r="E1003" s="39">
        <v>51.535216660330597</v>
      </c>
      <c r="F1003" s="39">
        <v>1153600</v>
      </c>
    </row>
    <row r="1004" spans="1:6">
      <c r="A1004" s="41">
        <v>45282</v>
      </c>
      <c r="B1004" s="39">
        <v>52.331283569335938</v>
      </c>
      <c r="C1004" s="39">
        <v>53.10744514348859</v>
      </c>
      <c r="D1004" s="39">
        <v>51.923300716777383</v>
      </c>
      <c r="E1004" s="39">
        <v>52.838772953374779</v>
      </c>
      <c r="F1004" s="39">
        <v>849200</v>
      </c>
    </row>
    <row r="1005" spans="1:6">
      <c r="A1005" s="41">
        <v>45286</v>
      </c>
      <c r="B1005" s="39">
        <v>53.396018981933587</v>
      </c>
      <c r="C1005" s="39">
        <v>53.64478910462168</v>
      </c>
      <c r="D1005" s="39">
        <v>52.182019568517873</v>
      </c>
      <c r="E1005" s="39">
        <v>52.231776629800137</v>
      </c>
      <c r="F1005" s="39">
        <v>1462200</v>
      </c>
    </row>
    <row r="1006" spans="1:6">
      <c r="A1006" s="41">
        <v>45287</v>
      </c>
      <c r="B1006" s="39">
        <v>53.415920257568359</v>
      </c>
      <c r="C1006" s="39">
        <v>53.734345706227103</v>
      </c>
      <c r="D1006" s="39">
        <v>53.047741544293707</v>
      </c>
      <c r="E1006" s="39">
        <v>53.634839176995278</v>
      </c>
      <c r="F1006" s="39">
        <v>1078600</v>
      </c>
    </row>
    <row r="1007" spans="1:6">
      <c r="A1007" s="41">
        <v>45288</v>
      </c>
      <c r="B1007" s="39">
        <v>53.953266143798828</v>
      </c>
      <c r="C1007" s="39">
        <v>54.351296067856687</v>
      </c>
      <c r="D1007" s="39">
        <v>53.326364363392379</v>
      </c>
      <c r="E1007" s="39">
        <v>53.326364363392379</v>
      </c>
      <c r="F1007" s="39">
        <v>672500</v>
      </c>
    </row>
    <row r="1008" spans="1:6">
      <c r="A1008" s="41">
        <v>45289</v>
      </c>
      <c r="B1008" s="39">
        <v>53.087543487548828</v>
      </c>
      <c r="C1008" s="39">
        <v>54.122428125023191</v>
      </c>
      <c r="D1008" s="39">
        <v>53.007939020936668</v>
      </c>
      <c r="E1008" s="39">
        <v>53.585083740650248</v>
      </c>
      <c r="F1008" s="39">
        <v>617400</v>
      </c>
    </row>
    <row r="1009" spans="1:6">
      <c r="A1009" s="41">
        <v>45293</v>
      </c>
      <c r="B1009" s="39">
        <v>51.813838958740227</v>
      </c>
      <c r="C1009" s="39">
        <v>53.157196053854797</v>
      </c>
      <c r="D1009" s="39">
        <v>51.47551145239521</v>
      </c>
      <c r="E1009" s="39">
        <v>52.142217330750412</v>
      </c>
      <c r="F1009" s="39">
        <v>2920300</v>
      </c>
    </row>
    <row r="1010" spans="1:6">
      <c r="A1010" s="41">
        <v>45294</v>
      </c>
      <c r="B1010" s="39">
        <v>49.833633422851562</v>
      </c>
      <c r="C1010" s="39">
        <v>50.679450332208518</v>
      </c>
      <c r="D1010" s="39">
        <v>48.719140526185058</v>
      </c>
      <c r="E1010" s="39">
        <v>50.669497401455118</v>
      </c>
      <c r="F1010" s="39">
        <v>2319200</v>
      </c>
    </row>
    <row r="1011" spans="1:6">
      <c r="A1011" s="41">
        <v>45295</v>
      </c>
      <c r="B1011" s="39">
        <v>48.530075073242188</v>
      </c>
      <c r="C1011" s="39">
        <v>49.734121533296403</v>
      </c>
      <c r="D1011" s="39">
        <v>48.500223873781081</v>
      </c>
      <c r="E1011" s="39">
        <v>49.734121533296403</v>
      </c>
      <c r="F1011" s="39">
        <v>1088000</v>
      </c>
    </row>
    <row r="1012" spans="1:6">
      <c r="A1012" s="41">
        <v>45296</v>
      </c>
      <c r="B1012" s="39">
        <v>48.052436828613281</v>
      </c>
      <c r="C1012" s="39">
        <v>49.20673002248747</v>
      </c>
      <c r="D1012" s="39">
        <v>47.525041598046712</v>
      </c>
      <c r="E1012" s="39">
        <v>48.032534763692773</v>
      </c>
      <c r="F1012" s="39">
        <v>1768900</v>
      </c>
    </row>
    <row r="1013" spans="1:6">
      <c r="A1013" s="41">
        <v>45299</v>
      </c>
      <c r="B1013" s="39">
        <v>48.052436828613281</v>
      </c>
      <c r="C1013" s="39">
        <v>48.510172933992713</v>
      </c>
      <c r="D1013" s="39">
        <v>47.216569081605719</v>
      </c>
      <c r="E1013" s="39">
        <v>48.042483898187648</v>
      </c>
      <c r="F1013" s="39">
        <v>1182600</v>
      </c>
    </row>
    <row r="1014" spans="1:6">
      <c r="A1014" s="41">
        <v>45300</v>
      </c>
      <c r="B1014" s="39">
        <v>47.674304962158203</v>
      </c>
      <c r="C1014" s="39">
        <v>48.012632472349807</v>
      </c>
      <c r="D1014" s="39">
        <v>46.848390149471193</v>
      </c>
      <c r="E1014" s="39">
        <v>47.704156161432813</v>
      </c>
      <c r="F1014" s="39">
        <v>640900</v>
      </c>
    </row>
    <row r="1015" spans="1:6">
      <c r="A1015" s="41">
        <v>45301</v>
      </c>
      <c r="B1015" s="39">
        <v>48.0225830078125</v>
      </c>
      <c r="C1015" s="39">
        <v>48.052438003888831</v>
      </c>
      <c r="D1015" s="39">
        <v>46.908093916520947</v>
      </c>
      <c r="E1015" s="39">
        <v>47.554897756499457</v>
      </c>
      <c r="F1015" s="39">
        <v>981200</v>
      </c>
    </row>
    <row r="1016" spans="1:6">
      <c r="A1016" s="41">
        <v>45302</v>
      </c>
      <c r="B1016" s="39">
        <v>46.778732299804688</v>
      </c>
      <c r="C1016" s="39">
        <v>48.122093242743297</v>
      </c>
      <c r="D1016" s="39">
        <v>46.042374860799079</v>
      </c>
      <c r="E1016" s="39">
        <v>47.803667788698043</v>
      </c>
      <c r="F1016" s="39">
        <v>2865900</v>
      </c>
    </row>
    <row r="1017" spans="1:6">
      <c r="A1017" s="41">
        <v>45303</v>
      </c>
      <c r="B1017" s="39">
        <v>46.221488952636719</v>
      </c>
      <c r="C1017" s="39">
        <v>47.942977723705638</v>
      </c>
      <c r="D1017" s="39">
        <v>46.092127427663108</v>
      </c>
      <c r="E1017" s="39">
        <v>47.56484607928396</v>
      </c>
      <c r="F1017" s="39">
        <v>770500</v>
      </c>
    </row>
    <row r="1018" spans="1:6">
      <c r="A1018" s="41">
        <v>45307</v>
      </c>
      <c r="B1018" s="39">
        <v>44.052211761474609</v>
      </c>
      <c r="C1018" s="39">
        <v>45.445322107100047</v>
      </c>
      <c r="D1018" s="39">
        <v>43.98255643398987</v>
      </c>
      <c r="E1018" s="39">
        <v>45.306011452130569</v>
      </c>
      <c r="F1018" s="39">
        <v>2162000</v>
      </c>
    </row>
    <row r="1019" spans="1:6">
      <c r="A1019" s="41">
        <v>45308</v>
      </c>
      <c r="B1019" s="39">
        <v>42.679000854492188</v>
      </c>
      <c r="C1019" s="39">
        <v>43.166591956184632</v>
      </c>
      <c r="D1019" s="39">
        <v>42.300869212114208</v>
      </c>
      <c r="E1019" s="39">
        <v>42.828264443726603</v>
      </c>
      <c r="F1019" s="39">
        <v>1597600</v>
      </c>
    </row>
    <row r="1020" spans="1:6">
      <c r="A1020" s="41">
        <v>45309</v>
      </c>
      <c r="B1020" s="39">
        <v>43.057132720947273</v>
      </c>
      <c r="C1020" s="39">
        <v>43.584524159373537</v>
      </c>
      <c r="D1020" s="39">
        <v>42.718805206728518</v>
      </c>
      <c r="E1020" s="39">
        <v>43.584524159373537</v>
      </c>
      <c r="F1020" s="39">
        <v>738600</v>
      </c>
    </row>
    <row r="1021" spans="1:6">
      <c r="A1021" s="41">
        <v>45310</v>
      </c>
      <c r="B1021" s="39">
        <v>42.688953399658203</v>
      </c>
      <c r="C1021" s="39">
        <v>42.858115256395109</v>
      </c>
      <c r="D1021" s="39">
        <v>41.504805218776987</v>
      </c>
      <c r="E1021" s="39">
        <v>42.788459927629241</v>
      </c>
      <c r="F1021" s="39">
        <v>1722800</v>
      </c>
    </row>
    <row r="1022" spans="1:6">
      <c r="A1022" s="41">
        <v>45313</v>
      </c>
      <c r="B1022" s="39">
        <v>43.345706939697273</v>
      </c>
      <c r="C1022" s="39">
        <v>45.057242778708577</v>
      </c>
      <c r="D1022" s="39">
        <v>42.788460506105928</v>
      </c>
      <c r="E1022" s="39">
        <v>42.788460506105928</v>
      </c>
      <c r="F1022" s="39">
        <v>1152000</v>
      </c>
    </row>
    <row r="1023" spans="1:6">
      <c r="A1023" s="41">
        <v>45314</v>
      </c>
      <c r="B1023" s="39">
        <v>44.669162750244141</v>
      </c>
      <c r="C1023" s="39">
        <v>45.5050305167033</v>
      </c>
      <c r="D1023" s="39">
        <v>43.982558576196944</v>
      </c>
      <c r="E1023" s="39">
        <v>44.828375477382508</v>
      </c>
      <c r="F1023" s="39">
        <v>1803700</v>
      </c>
    </row>
    <row r="1024" spans="1:6">
      <c r="A1024" s="41">
        <v>45315</v>
      </c>
      <c r="B1024" s="39">
        <v>43.813392639160163</v>
      </c>
      <c r="C1024" s="39">
        <v>45.823455678927893</v>
      </c>
      <c r="D1024" s="39">
        <v>43.753690239320548</v>
      </c>
      <c r="E1024" s="39">
        <v>45.584638487707828</v>
      </c>
      <c r="F1024" s="39">
        <v>943600</v>
      </c>
    </row>
    <row r="1025" spans="1:6">
      <c r="A1025" s="41">
        <v>45316</v>
      </c>
      <c r="B1025" s="39">
        <v>43.664131164550781</v>
      </c>
      <c r="C1025" s="39">
        <v>44.111918125782509</v>
      </c>
      <c r="D1025" s="39">
        <v>42.509837995559373</v>
      </c>
      <c r="E1025" s="39">
        <v>43.853195083323882</v>
      </c>
      <c r="F1025" s="39">
        <v>780400</v>
      </c>
    </row>
    <row r="1026" spans="1:6">
      <c r="A1026" s="41">
        <v>45317</v>
      </c>
      <c r="B1026" s="39">
        <v>42.977523803710938</v>
      </c>
      <c r="C1026" s="39">
        <v>44.022361325955821</v>
      </c>
      <c r="D1026" s="39">
        <v>42.89791934060441</v>
      </c>
      <c r="E1026" s="39">
        <v>43.435263701313659</v>
      </c>
      <c r="F1026" s="39">
        <v>873200</v>
      </c>
    </row>
    <row r="1027" spans="1:6">
      <c r="A1027" s="41">
        <v>45320</v>
      </c>
      <c r="B1027" s="39">
        <v>43.833293914794922</v>
      </c>
      <c r="C1027" s="39">
        <v>43.932804239286362</v>
      </c>
      <c r="D1027" s="39">
        <v>42.101856023882149</v>
      </c>
      <c r="E1027" s="39">
        <v>42.549639198336003</v>
      </c>
      <c r="F1027" s="39">
        <v>1386500</v>
      </c>
    </row>
    <row r="1028" spans="1:6">
      <c r="A1028" s="41">
        <v>45321</v>
      </c>
      <c r="B1028" s="39">
        <v>43.007377624511719</v>
      </c>
      <c r="C1028" s="39">
        <v>43.624326431481883</v>
      </c>
      <c r="D1028" s="39">
        <v>42.718803387277219</v>
      </c>
      <c r="E1028" s="39">
        <v>43.435262515326841</v>
      </c>
      <c r="F1028" s="39">
        <v>928800</v>
      </c>
    </row>
    <row r="1029" spans="1:6">
      <c r="A1029" s="41">
        <v>45322</v>
      </c>
      <c r="B1029" s="39">
        <v>42.16156005859375</v>
      </c>
      <c r="C1029" s="39">
        <v>44.529852730353653</v>
      </c>
      <c r="D1029" s="39">
        <v>42.091904726712357</v>
      </c>
      <c r="E1029" s="39">
        <v>43.067083168982698</v>
      </c>
      <c r="F1029" s="39">
        <v>2152100</v>
      </c>
    </row>
    <row r="1030" spans="1:6">
      <c r="A1030" s="41">
        <v>45323</v>
      </c>
      <c r="B1030" s="39">
        <v>43.206390380859382</v>
      </c>
      <c r="C1030" s="39">
        <v>44.291028199697237</v>
      </c>
      <c r="D1030" s="39">
        <v>42.440181791378762</v>
      </c>
      <c r="E1030" s="39">
        <v>43.395458091658732</v>
      </c>
      <c r="F1030" s="39">
        <v>1391500</v>
      </c>
    </row>
    <row r="1031" spans="1:6">
      <c r="A1031" s="41">
        <v>45324</v>
      </c>
      <c r="B1031" s="39">
        <v>42.072002410888672</v>
      </c>
      <c r="C1031" s="39">
        <v>42.310823401584081</v>
      </c>
      <c r="D1031" s="39">
        <v>41.34559409992265</v>
      </c>
      <c r="E1031" s="39">
        <v>42.25111720492751</v>
      </c>
      <c r="F1031" s="39">
        <v>1705700</v>
      </c>
    </row>
    <row r="1032" spans="1:6">
      <c r="A1032" s="41">
        <v>45327</v>
      </c>
      <c r="B1032" s="39">
        <v>40.897804260253913</v>
      </c>
      <c r="C1032" s="39">
        <v>41.156527298443237</v>
      </c>
      <c r="D1032" s="39">
        <v>39.952480886056911</v>
      </c>
      <c r="E1032" s="39">
        <v>41.136625234280167</v>
      </c>
      <c r="F1032" s="39">
        <v>2182000</v>
      </c>
    </row>
    <row r="1033" spans="1:6">
      <c r="A1033" s="41">
        <v>45328</v>
      </c>
      <c r="B1033" s="39">
        <v>42.072002410888672</v>
      </c>
      <c r="C1033" s="39">
        <v>42.15161067309743</v>
      </c>
      <c r="D1033" s="39">
        <v>40.838104714099849</v>
      </c>
      <c r="E1033" s="39">
        <v>41.265989633644757</v>
      </c>
      <c r="F1033" s="39">
        <v>1300900</v>
      </c>
    </row>
    <row r="1034" spans="1:6">
      <c r="A1034" s="41">
        <v>45329</v>
      </c>
      <c r="B1034" s="39">
        <v>43.942752838134773</v>
      </c>
      <c r="C1034" s="39">
        <v>44.838326767987454</v>
      </c>
      <c r="D1034" s="39">
        <v>42.907868251622929</v>
      </c>
      <c r="E1034" s="39">
        <v>44.291029479782637</v>
      </c>
      <c r="F1034" s="39">
        <v>2922700</v>
      </c>
    </row>
    <row r="1035" spans="1:6">
      <c r="A1035" s="41">
        <v>45330</v>
      </c>
      <c r="B1035" s="39">
        <v>43.883049011230469</v>
      </c>
      <c r="C1035" s="39">
        <v>44.291031868852123</v>
      </c>
      <c r="D1035" s="39">
        <v>43.435265818081277</v>
      </c>
      <c r="E1035" s="39">
        <v>44.08206587259172</v>
      </c>
      <c r="F1035" s="39">
        <v>1433700</v>
      </c>
    </row>
    <row r="1036" spans="1:6">
      <c r="A1036" s="41">
        <v>45331</v>
      </c>
      <c r="B1036" s="39">
        <v>45.266212463378913</v>
      </c>
      <c r="C1036" s="39">
        <v>45.524931716586032</v>
      </c>
      <c r="D1036" s="39">
        <v>43.783540885896947</v>
      </c>
      <c r="E1036" s="39">
        <v>44.101966334119922</v>
      </c>
      <c r="F1036" s="39">
        <v>1382300</v>
      </c>
    </row>
    <row r="1037" spans="1:6">
      <c r="A1037" s="41">
        <v>45334</v>
      </c>
      <c r="B1037" s="39">
        <v>47.067306518554688</v>
      </c>
      <c r="C1037" s="39">
        <v>47.724059491523143</v>
      </c>
      <c r="D1037" s="39">
        <v>45.445324253522443</v>
      </c>
      <c r="E1037" s="39">
        <v>45.534881649651354</v>
      </c>
      <c r="F1037" s="39">
        <v>1166700</v>
      </c>
    </row>
    <row r="1038" spans="1:6">
      <c r="A1038" s="41">
        <v>45335</v>
      </c>
      <c r="B1038" s="39">
        <v>44.271133422851562</v>
      </c>
      <c r="C1038" s="39">
        <v>45.465226994404681</v>
      </c>
      <c r="D1038" s="39">
        <v>43.534772177524978</v>
      </c>
      <c r="E1038" s="39">
        <v>44.360690820311127</v>
      </c>
      <c r="F1038" s="39">
        <v>1542600</v>
      </c>
    </row>
    <row r="1039" spans="1:6">
      <c r="A1039" s="41">
        <v>45336</v>
      </c>
      <c r="B1039" s="39">
        <v>46.400604248046882</v>
      </c>
      <c r="C1039" s="39">
        <v>46.400604248046882</v>
      </c>
      <c r="D1039" s="39">
        <v>44.798524053990889</v>
      </c>
      <c r="E1039" s="39">
        <v>45.375668763516863</v>
      </c>
      <c r="F1039" s="39">
        <v>837100</v>
      </c>
    </row>
    <row r="1040" spans="1:6">
      <c r="A1040" s="41">
        <v>45337</v>
      </c>
      <c r="B1040" s="39">
        <v>47.166816711425781</v>
      </c>
      <c r="C1040" s="39">
        <v>48.002684474279157</v>
      </c>
      <c r="D1040" s="39">
        <v>46.450357544428371</v>
      </c>
      <c r="E1040" s="39">
        <v>47.226519111388363</v>
      </c>
      <c r="F1040" s="39">
        <v>1457100</v>
      </c>
    </row>
    <row r="1041" spans="1:6">
      <c r="A1041" s="41">
        <v>45338</v>
      </c>
      <c r="B1041" s="39">
        <v>46.629470825195312</v>
      </c>
      <c r="C1041" s="39">
        <v>47.256372576003912</v>
      </c>
      <c r="D1041" s="39">
        <v>46.370747780638439</v>
      </c>
      <c r="E1041" s="39">
        <v>46.977747466794149</v>
      </c>
      <c r="F1041" s="39">
        <v>1058800</v>
      </c>
    </row>
    <row r="1042" spans="1:6">
      <c r="A1042" s="41">
        <v>45342</v>
      </c>
      <c r="B1042" s="39">
        <v>45.584636688232422</v>
      </c>
      <c r="C1042" s="39">
        <v>46.14187930970234</v>
      </c>
      <c r="D1042" s="39">
        <v>45.047292335302998</v>
      </c>
      <c r="E1042" s="39">
        <v>45.982666589863697</v>
      </c>
      <c r="F1042" s="39">
        <v>915300</v>
      </c>
    </row>
    <row r="1043" spans="1:6">
      <c r="A1043" s="41">
        <v>45343</v>
      </c>
      <c r="B1043" s="39">
        <v>44.539798736572273</v>
      </c>
      <c r="C1043" s="39">
        <v>44.878126237343928</v>
      </c>
      <c r="D1043" s="39">
        <v>43.912900793675547</v>
      </c>
      <c r="E1043" s="39">
        <v>44.191522101629637</v>
      </c>
      <c r="F1043" s="39">
        <v>920000</v>
      </c>
    </row>
    <row r="1044" spans="1:6">
      <c r="A1044" s="41">
        <v>45344</v>
      </c>
      <c r="B1044" s="39">
        <v>42.440181732177727</v>
      </c>
      <c r="C1044" s="39">
        <v>44.559700308730363</v>
      </c>
      <c r="D1044" s="39">
        <v>42.420279668124998</v>
      </c>
      <c r="E1044" s="39">
        <v>44.480095848450027</v>
      </c>
      <c r="F1044" s="39">
        <v>1467800</v>
      </c>
    </row>
    <row r="1045" spans="1:6">
      <c r="A1045" s="41">
        <v>45345</v>
      </c>
      <c r="B1045" s="39">
        <v>41.783432006835938</v>
      </c>
      <c r="C1045" s="39">
        <v>42.579495650348051</v>
      </c>
      <c r="D1045" s="39">
        <v>41.654070478536823</v>
      </c>
      <c r="E1045" s="39">
        <v>42.479985322452237</v>
      </c>
      <c r="F1045" s="39">
        <v>1325700</v>
      </c>
    </row>
    <row r="1046" spans="1:6">
      <c r="A1046" s="41">
        <v>45348</v>
      </c>
      <c r="B1046" s="39">
        <v>41.773479461669922</v>
      </c>
      <c r="C1046" s="39">
        <v>42.519789846088358</v>
      </c>
      <c r="D1046" s="39">
        <v>41.236135073865221</v>
      </c>
      <c r="E1046" s="39">
        <v>41.544611399293309</v>
      </c>
      <c r="F1046" s="39">
        <v>836900</v>
      </c>
    </row>
    <row r="1047" spans="1:6">
      <c r="A1047" s="41">
        <v>45349</v>
      </c>
      <c r="B1047" s="39">
        <v>42.350627899169922</v>
      </c>
      <c r="C1047" s="39">
        <v>42.649151293174313</v>
      </c>
      <c r="D1047" s="39">
        <v>41.823232647300237</v>
      </c>
      <c r="E1047" s="39">
        <v>42.29092170199668</v>
      </c>
      <c r="F1047" s="39">
        <v>581100</v>
      </c>
    </row>
    <row r="1048" spans="1:6">
      <c r="A1048" s="41">
        <v>45350</v>
      </c>
      <c r="B1048" s="39">
        <v>41.803329467773438</v>
      </c>
      <c r="C1048" s="39">
        <v>42.649150156835979</v>
      </c>
      <c r="D1048" s="39">
        <v>41.693873803101837</v>
      </c>
      <c r="E1048" s="39">
        <v>42.31082264039712</v>
      </c>
      <c r="F1048" s="39">
        <v>935100</v>
      </c>
    </row>
    <row r="1049" spans="1:6">
      <c r="A1049" s="41">
        <v>45351</v>
      </c>
      <c r="B1049" s="39">
        <v>42.937725067138672</v>
      </c>
      <c r="C1049" s="39">
        <v>44.062163298381449</v>
      </c>
      <c r="D1049" s="39">
        <v>42.380478620944018</v>
      </c>
      <c r="E1049" s="39">
        <v>42.957623336707357</v>
      </c>
      <c r="F1049" s="39">
        <v>774600</v>
      </c>
    </row>
    <row r="1050" spans="1:6">
      <c r="A1050" s="41">
        <v>45352</v>
      </c>
      <c r="B1050" s="39">
        <v>43.962654113769531</v>
      </c>
      <c r="C1050" s="39">
        <v>44.271130416500327</v>
      </c>
      <c r="D1050" s="39">
        <v>42.758607693190008</v>
      </c>
      <c r="E1050" s="39">
        <v>43.186492585781181</v>
      </c>
      <c r="F1050" s="39">
        <v>1088100</v>
      </c>
    </row>
    <row r="1051" spans="1:6">
      <c r="A1051" s="41">
        <v>45355</v>
      </c>
      <c r="B1051" s="39">
        <v>43.176540374755859</v>
      </c>
      <c r="C1051" s="39">
        <v>44.310931487148807</v>
      </c>
      <c r="D1051" s="39">
        <v>42.798408738647979</v>
      </c>
      <c r="E1051" s="39">
        <v>44.032310174190727</v>
      </c>
      <c r="F1051" s="39">
        <v>1118600</v>
      </c>
    </row>
    <row r="1052" spans="1:6">
      <c r="A1052" s="41">
        <v>45356</v>
      </c>
      <c r="B1052" s="39">
        <v>42.788459777832031</v>
      </c>
      <c r="C1052" s="39">
        <v>43.504918923693559</v>
      </c>
      <c r="D1052" s="39">
        <v>42.141655960492521</v>
      </c>
      <c r="E1052" s="39">
        <v>42.619297921687348</v>
      </c>
      <c r="F1052" s="39">
        <v>1190100</v>
      </c>
    </row>
    <row r="1053" spans="1:6">
      <c r="A1053" s="41">
        <v>45357</v>
      </c>
      <c r="B1053" s="39">
        <v>43.723834991455078</v>
      </c>
      <c r="C1053" s="39">
        <v>44.06216250700912</v>
      </c>
      <c r="D1053" s="39">
        <v>42.788460705361338</v>
      </c>
      <c r="E1053" s="39">
        <v>43.50491986675361</v>
      </c>
      <c r="F1053" s="39">
        <v>1153500</v>
      </c>
    </row>
    <row r="1054" spans="1:6">
      <c r="A1054" s="41">
        <v>45358</v>
      </c>
      <c r="B1054" s="39">
        <v>44.748771667480469</v>
      </c>
      <c r="C1054" s="39">
        <v>44.878129400473419</v>
      </c>
      <c r="D1054" s="39">
        <v>44.09201868391996</v>
      </c>
      <c r="E1054" s="39">
        <v>44.141771950142697</v>
      </c>
      <c r="F1054" s="39">
        <v>622500</v>
      </c>
    </row>
    <row r="1055" spans="1:6">
      <c r="A1055" s="41">
        <v>45359</v>
      </c>
      <c r="B1055" s="39">
        <v>45.544834136962891</v>
      </c>
      <c r="C1055" s="39">
        <v>46.370748963507197</v>
      </c>
      <c r="D1055" s="39">
        <v>45.13685129099818</v>
      </c>
      <c r="E1055" s="39">
        <v>45.773702192413261</v>
      </c>
      <c r="F1055" s="39">
        <v>1265200</v>
      </c>
    </row>
    <row r="1056" spans="1:6">
      <c r="A1056" s="41">
        <v>45362</v>
      </c>
      <c r="B1056" s="39">
        <v>46.151832580566413</v>
      </c>
      <c r="C1056" s="39">
        <v>47.326027821517549</v>
      </c>
      <c r="D1056" s="39">
        <v>46.002568993896247</v>
      </c>
      <c r="E1056" s="39">
        <v>46.420504759014278</v>
      </c>
      <c r="F1056" s="39">
        <v>1477100</v>
      </c>
    </row>
    <row r="1057" spans="1:6">
      <c r="A1057" s="41">
        <v>45363</v>
      </c>
      <c r="B1057" s="39">
        <v>44.400489807128913</v>
      </c>
      <c r="C1057" s="39">
        <v>45.873208457121123</v>
      </c>
      <c r="D1057" s="39">
        <v>44.092017288750142</v>
      </c>
      <c r="E1057" s="39">
        <v>45.873208457121123</v>
      </c>
      <c r="F1057" s="39">
        <v>1103700</v>
      </c>
    </row>
    <row r="1058" spans="1:6">
      <c r="A1058" s="41">
        <v>45364</v>
      </c>
      <c r="B1058" s="39">
        <v>43.654178619384773</v>
      </c>
      <c r="C1058" s="39">
        <v>44.898029191593722</v>
      </c>
      <c r="D1058" s="39">
        <v>43.554672091980329</v>
      </c>
      <c r="E1058" s="39">
        <v>44.529850485080473</v>
      </c>
      <c r="F1058" s="39">
        <v>647400</v>
      </c>
    </row>
    <row r="1059" spans="1:6">
      <c r="A1059" s="41">
        <v>45365</v>
      </c>
      <c r="B1059" s="39">
        <v>42.479984283447273</v>
      </c>
      <c r="C1059" s="39">
        <v>44.171621856992047</v>
      </c>
      <c r="D1059" s="39">
        <v>42.121758499576707</v>
      </c>
      <c r="E1059" s="39">
        <v>43.823345207702303</v>
      </c>
      <c r="F1059" s="39">
        <v>1553000</v>
      </c>
    </row>
    <row r="1060" spans="1:6">
      <c r="A1060" s="41">
        <v>45366</v>
      </c>
      <c r="B1060" s="39">
        <v>42.340671539306641</v>
      </c>
      <c r="C1060" s="39">
        <v>42.808360556126438</v>
      </c>
      <c r="D1060" s="39">
        <v>42.081952297703921</v>
      </c>
      <c r="E1060" s="39">
        <v>42.310820341103017</v>
      </c>
      <c r="F1060" s="39">
        <v>887000</v>
      </c>
    </row>
    <row r="1061" spans="1:6">
      <c r="A1061" s="41">
        <v>45369</v>
      </c>
      <c r="B1061" s="39">
        <v>42.589443206787109</v>
      </c>
      <c r="C1061" s="39">
        <v>43.106885504876047</v>
      </c>
      <c r="D1061" s="39">
        <v>41.892886121054673</v>
      </c>
      <c r="E1061" s="39">
        <v>42.340673090163428</v>
      </c>
      <c r="F1061" s="39">
        <v>1258900</v>
      </c>
    </row>
    <row r="1062" spans="1:6">
      <c r="A1062" s="41">
        <v>45370</v>
      </c>
      <c r="B1062" s="39">
        <v>42.838214874267578</v>
      </c>
      <c r="C1062" s="39">
        <v>43.067082934335303</v>
      </c>
      <c r="D1062" s="39">
        <v>42.479985286011711</v>
      </c>
      <c r="E1062" s="39">
        <v>42.479985286011711</v>
      </c>
      <c r="F1062" s="39">
        <v>603800</v>
      </c>
    </row>
    <row r="1063" spans="1:6">
      <c r="A1063" s="41">
        <v>45371</v>
      </c>
      <c r="B1063" s="39">
        <v>43.873096466064453</v>
      </c>
      <c r="C1063" s="39">
        <v>44.181572766992993</v>
      </c>
      <c r="D1063" s="39">
        <v>42.290918424918523</v>
      </c>
      <c r="E1063" s="39">
        <v>42.38047581577321</v>
      </c>
      <c r="F1063" s="39">
        <v>1221400</v>
      </c>
    </row>
    <row r="1064" spans="1:6">
      <c r="A1064" s="41">
        <v>45372</v>
      </c>
      <c r="B1064" s="39">
        <v>44.171623229980469</v>
      </c>
      <c r="C1064" s="39">
        <v>44.917933612453943</v>
      </c>
      <c r="D1064" s="39">
        <v>43.972606368801372</v>
      </c>
      <c r="E1064" s="39">
        <v>44.012410500223368</v>
      </c>
      <c r="F1064" s="39">
        <v>757600</v>
      </c>
    </row>
    <row r="1065" spans="1:6">
      <c r="A1065" s="41">
        <v>45373</v>
      </c>
      <c r="B1065" s="39">
        <v>43.813392639160163</v>
      </c>
      <c r="C1065" s="39">
        <v>44.300983748124892</v>
      </c>
      <c r="D1065" s="39">
        <v>43.574575447940113</v>
      </c>
      <c r="E1065" s="39">
        <v>44.032311561054222</v>
      </c>
      <c r="F1065" s="39">
        <v>569200</v>
      </c>
    </row>
    <row r="1066" spans="1:6">
      <c r="A1066" s="41">
        <v>45376</v>
      </c>
      <c r="B1066" s="39">
        <v>43.236248016357422</v>
      </c>
      <c r="C1066" s="39">
        <v>44.032311648557609</v>
      </c>
      <c r="D1066" s="39">
        <v>43.146690620489217</v>
      </c>
      <c r="E1066" s="39">
        <v>43.425311942776588</v>
      </c>
      <c r="F1066" s="39">
        <v>781000</v>
      </c>
    </row>
    <row r="1067" spans="1:6">
      <c r="A1067" s="41">
        <v>45377</v>
      </c>
      <c r="B1067" s="39">
        <v>42.808361053466797</v>
      </c>
      <c r="C1067" s="39">
        <v>43.684032904941994</v>
      </c>
      <c r="D1067" s="39">
        <v>42.778509854916379</v>
      </c>
      <c r="E1067" s="39">
        <v>43.335752472820978</v>
      </c>
      <c r="F1067" s="39">
        <v>717400</v>
      </c>
    </row>
    <row r="1068" spans="1:6">
      <c r="A1068" s="41">
        <v>45378</v>
      </c>
      <c r="B1068" s="39">
        <v>45.166702270507812</v>
      </c>
      <c r="C1068" s="39">
        <v>45.196553470137687</v>
      </c>
      <c r="D1068" s="39">
        <v>43.02728152124557</v>
      </c>
      <c r="E1068" s="39">
        <v>43.02728152124557</v>
      </c>
      <c r="F1068" s="39">
        <v>2099600</v>
      </c>
    </row>
    <row r="1069" spans="1:6">
      <c r="A1069" s="41">
        <v>45379</v>
      </c>
      <c r="B1069" s="39">
        <v>45.146800994873047</v>
      </c>
      <c r="C1069" s="39">
        <v>45.903064296787342</v>
      </c>
      <c r="D1069" s="39">
        <v>44.778622274587079</v>
      </c>
      <c r="E1069" s="39">
        <v>45.176655990955737</v>
      </c>
      <c r="F1069" s="39">
        <v>1223600</v>
      </c>
    </row>
    <row r="1070" spans="1:6">
      <c r="A1070" s="41">
        <v>45383</v>
      </c>
      <c r="B1070" s="39">
        <v>44.848278045654297</v>
      </c>
      <c r="C1070" s="39">
        <v>45.674196686648152</v>
      </c>
      <c r="D1070" s="39">
        <v>44.539801722644981</v>
      </c>
      <c r="E1070" s="39">
        <v>45.057244040629527</v>
      </c>
      <c r="F1070" s="39">
        <v>1206900</v>
      </c>
    </row>
    <row r="1071" spans="1:6">
      <c r="A1071" s="41">
        <v>45384</v>
      </c>
      <c r="B1071" s="39">
        <v>43.176540374755859</v>
      </c>
      <c r="C1071" s="39">
        <v>44.141769631690167</v>
      </c>
      <c r="D1071" s="39">
        <v>42.977523524386939</v>
      </c>
      <c r="E1071" s="39">
        <v>43.743735930952333</v>
      </c>
      <c r="F1071" s="39">
        <v>1573900</v>
      </c>
    </row>
    <row r="1072" spans="1:6">
      <c r="A1072" s="41">
        <v>45385</v>
      </c>
      <c r="B1072" s="39">
        <v>43.664131164550781</v>
      </c>
      <c r="C1072" s="39">
        <v>43.773590621288612</v>
      </c>
      <c r="D1072" s="39">
        <v>42.460080936365323</v>
      </c>
      <c r="E1072" s="39">
        <v>42.559591258822749</v>
      </c>
      <c r="F1072" s="39">
        <v>762800</v>
      </c>
    </row>
    <row r="1073" spans="1:6">
      <c r="A1073" s="41">
        <v>45386</v>
      </c>
      <c r="B1073" s="39">
        <v>43.504920959472663</v>
      </c>
      <c r="C1073" s="39">
        <v>45.236358915085027</v>
      </c>
      <c r="D1073" s="39">
        <v>43.30590409898376</v>
      </c>
      <c r="E1073" s="39">
        <v>44.2114272080739</v>
      </c>
      <c r="F1073" s="39">
        <v>1084500</v>
      </c>
    </row>
    <row r="1074" spans="1:6">
      <c r="A1074" s="41">
        <v>45387</v>
      </c>
      <c r="B1074" s="39">
        <v>42.917819976806641</v>
      </c>
      <c r="C1074" s="39">
        <v>43.554670844183583</v>
      </c>
      <c r="D1074" s="39">
        <v>42.738705195865549</v>
      </c>
      <c r="E1074" s="39">
        <v>42.92776911088977</v>
      </c>
      <c r="F1074" s="39">
        <v>569400</v>
      </c>
    </row>
    <row r="1075" spans="1:6">
      <c r="A1075" s="41">
        <v>45390</v>
      </c>
      <c r="B1075" s="39">
        <v>43.524822235107422</v>
      </c>
      <c r="C1075" s="39">
        <v>44.032311614008471</v>
      </c>
      <c r="D1075" s="39">
        <v>43.186494717196453</v>
      </c>
      <c r="E1075" s="39">
        <v>43.186494717196453</v>
      </c>
      <c r="F1075" s="39">
        <v>460900</v>
      </c>
    </row>
    <row r="1076" spans="1:6">
      <c r="A1076" s="41">
        <v>45391</v>
      </c>
      <c r="B1076" s="39">
        <v>45.296062469482422</v>
      </c>
      <c r="C1076" s="39">
        <v>45.365717797200283</v>
      </c>
      <c r="D1076" s="39">
        <v>43.654178211148562</v>
      </c>
      <c r="E1076" s="39">
        <v>43.892999188988831</v>
      </c>
      <c r="F1076" s="39">
        <v>1078200</v>
      </c>
    </row>
    <row r="1077" spans="1:6">
      <c r="A1077" s="41">
        <v>45392</v>
      </c>
      <c r="B1077" s="39">
        <v>43.753688812255859</v>
      </c>
      <c r="C1077" s="39">
        <v>43.942752732132817</v>
      </c>
      <c r="D1077" s="39">
        <v>43.017327605494323</v>
      </c>
      <c r="E1077" s="39">
        <v>43.574574026717393</v>
      </c>
      <c r="F1077" s="39">
        <v>1699700</v>
      </c>
    </row>
    <row r="1078" spans="1:6">
      <c r="A1078" s="41">
        <v>45393</v>
      </c>
      <c r="B1078" s="39">
        <v>43.465114593505859</v>
      </c>
      <c r="C1078" s="39">
        <v>44.589556570915661</v>
      </c>
      <c r="D1078" s="39">
        <v>42.868067838666157</v>
      </c>
      <c r="E1078" s="39">
        <v>44.10196547758305</v>
      </c>
      <c r="F1078" s="39">
        <v>1201900</v>
      </c>
    </row>
    <row r="1079" spans="1:6">
      <c r="A1079" s="41">
        <v>45394</v>
      </c>
      <c r="B1079" s="39">
        <v>41.783432006835938</v>
      </c>
      <c r="C1079" s="39">
        <v>43.614380284879232</v>
      </c>
      <c r="D1079" s="39">
        <v>41.644117547781804</v>
      </c>
      <c r="E1079" s="39">
        <v>43.037231770876147</v>
      </c>
      <c r="F1079" s="39">
        <v>1415100</v>
      </c>
    </row>
    <row r="1080" spans="1:6">
      <c r="A1080" s="41">
        <v>45397</v>
      </c>
      <c r="B1080" s="39">
        <v>40.400264739990227</v>
      </c>
      <c r="C1080" s="39">
        <v>41.922740409284543</v>
      </c>
      <c r="D1080" s="39">
        <v>40.260954084379271</v>
      </c>
      <c r="E1080" s="39">
        <v>41.544608775532872</v>
      </c>
      <c r="F1080" s="39">
        <v>1198800</v>
      </c>
    </row>
    <row r="1081" spans="1:6">
      <c r="A1081" s="41">
        <v>45398</v>
      </c>
      <c r="B1081" s="39">
        <v>39.544498443603523</v>
      </c>
      <c r="C1081" s="39">
        <v>40.131596056344172</v>
      </c>
      <c r="D1081" s="39">
        <v>39.385285724687257</v>
      </c>
      <c r="E1081" s="39">
        <v>39.912677144360337</v>
      </c>
      <c r="F1081" s="39">
        <v>2256000</v>
      </c>
    </row>
    <row r="1082" spans="1:6">
      <c r="A1082" s="41">
        <v>45399</v>
      </c>
      <c r="B1082" s="39">
        <v>39.902725219726562</v>
      </c>
      <c r="C1082" s="39">
        <v>40.64903557018976</v>
      </c>
      <c r="D1082" s="39">
        <v>39.653955102905499</v>
      </c>
      <c r="E1082" s="39">
        <v>39.902725219726562</v>
      </c>
      <c r="F1082" s="39">
        <v>2488300</v>
      </c>
    </row>
    <row r="1083" spans="1:6">
      <c r="A1083" s="41">
        <v>45400</v>
      </c>
      <c r="B1083" s="39">
        <v>39.504695892333977</v>
      </c>
      <c r="C1083" s="39">
        <v>40.330610718462893</v>
      </c>
      <c r="D1083" s="39">
        <v>39.415138497121859</v>
      </c>
      <c r="E1083" s="39">
        <v>40.022138198456183</v>
      </c>
      <c r="F1083" s="39">
        <v>2738900</v>
      </c>
    </row>
    <row r="1084" spans="1:6">
      <c r="A1084" s="41">
        <v>45401</v>
      </c>
      <c r="B1084" s="39">
        <v>39.395236968994141</v>
      </c>
      <c r="C1084" s="39">
        <v>39.663909158292967</v>
      </c>
      <c r="D1084" s="39">
        <v>39.176318045284539</v>
      </c>
      <c r="E1084" s="39">
        <v>39.365385768826783</v>
      </c>
      <c r="F1084" s="39">
        <v>1193600</v>
      </c>
    </row>
    <row r="1085" spans="1:6">
      <c r="A1085" s="41">
        <v>45404</v>
      </c>
      <c r="B1085" s="39">
        <v>39.753463745117188</v>
      </c>
      <c r="C1085" s="39">
        <v>39.942527659366327</v>
      </c>
      <c r="D1085" s="39">
        <v>38.91759603612897</v>
      </c>
      <c r="E1085" s="39">
        <v>39.524595702837523</v>
      </c>
      <c r="F1085" s="39">
        <v>1131900</v>
      </c>
    </row>
    <row r="1086" spans="1:6">
      <c r="A1086" s="41">
        <v>45405</v>
      </c>
      <c r="B1086" s="39">
        <v>40.300758361816413</v>
      </c>
      <c r="C1086" s="39">
        <v>40.927660110305247</v>
      </c>
      <c r="D1086" s="39">
        <v>39.484792693720749</v>
      </c>
      <c r="E1086" s="39">
        <v>39.763414005968819</v>
      </c>
      <c r="F1086" s="39">
        <v>1518700</v>
      </c>
    </row>
    <row r="1087" spans="1:6">
      <c r="A1087" s="41">
        <v>45406</v>
      </c>
      <c r="B1087" s="39">
        <v>40.1116943359375</v>
      </c>
      <c r="C1087" s="39">
        <v>41.086872722152798</v>
      </c>
      <c r="D1087" s="39">
        <v>39.683809438444072</v>
      </c>
      <c r="E1087" s="39">
        <v>40.131596400464019</v>
      </c>
      <c r="F1087" s="39">
        <v>1425900</v>
      </c>
    </row>
    <row r="1088" spans="1:6">
      <c r="A1088" s="41">
        <v>45407</v>
      </c>
      <c r="B1088" s="39">
        <v>39.594253540039062</v>
      </c>
      <c r="C1088" s="39">
        <v>39.683810935822287</v>
      </c>
      <c r="D1088" s="39">
        <v>38.638977182305098</v>
      </c>
      <c r="E1088" s="39">
        <v>39.315628422085211</v>
      </c>
      <c r="F1088" s="39">
        <v>1211900</v>
      </c>
    </row>
    <row r="1089" spans="1:6">
      <c r="A1089" s="41">
        <v>45408</v>
      </c>
      <c r="B1089" s="39">
        <v>40.569431304931641</v>
      </c>
      <c r="C1089" s="39">
        <v>40.887856752344121</v>
      </c>
      <c r="D1089" s="39">
        <v>39.803218885867011</v>
      </c>
      <c r="E1089" s="39">
        <v>39.872874215242817</v>
      </c>
      <c r="F1089" s="39">
        <v>832100</v>
      </c>
    </row>
    <row r="1090" spans="1:6">
      <c r="A1090" s="41">
        <v>45411</v>
      </c>
      <c r="B1090" s="39">
        <v>41.415248870849609</v>
      </c>
      <c r="C1090" s="39">
        <v>41.813282584644433</v>
      </c>
      <c r="D1090" s="39">
        <v>41.086874283510078</v>
      </c>
      <c r="E1090" s="39">
        <v>41.096823418186077</v>
      </c>
      <c r="F1090" s="39">
        <v>640800</v>
      </c>
    </row>
    <row r="1091" spans="1:6">
      <c r="A1091" s="41">
        <v>45412</v>
      </c>
      <c r="B1091" s="39">
        <v>40.131595611572273</v>
      </c>
      <c r="C1091" s="39">
        <v>40.848050940789697</v>
      </c>
      <c r="D1091" s="39">
        <v>40.091791483301677</v>
      </c>
      <c r="E1091" s="39">
        <v>40.589331698892138</v>
      </c>
      <c r="F1091" s="39">
        <v>882900</v>
      </c>
    </row>
    <row r="1092" spans="1:6">
      <c r="A1092" s="41">
        <v>45413</v>
      </c>
      <c r="B1092" s="39">
        <v>40.101741790771477</v>
      </c>
      <c r="C1092" s="39">
        <v>41.514758018276787</v>
      </c>
      <c r="D1092" s="39">
        <v>39.922627004243623</v>
      </c>
      <c r="E1092" s="39">
        <v>39.922627004243623</v>
      </c>
      <c r="F1092" s="39">
        <v>996100</v>
      </c>
    </row>
    <row r="1093" spans="1:6">
      <c r="A1093" s="41">
        <v>45414</v>
      </c>
      <c r="B1093" s="39">
        <v>41.285888671875</v>
      </c>
      <c r="C1093" s="39">
        <v>41.33564193414184</v>
      </c>
      <c r="D1093" s="39">
        <v>40.032085205539303</v>
      </c>
      <c r="E1093" s="39">
        <v>40.668936072788277</v>
      </c>
      <c r="F1093" s="39">
        <v>724700</v>
      </c>
    </row>
    <row r="1094" spans="1:6">
      <c r="A1094" s="41">
        <v>45415</v>
      </c>
      <c r="B1094" s="39">
        <v>42.698902130126953</v>
      </c>
      <c r="C1094" s="39">
        <v>43.375557142534468</v>
      </c>
      <c r="D1094" s="39">
        <v>42.141655709341151</v>
      </c>
      <c r="E1094" s="39">
        <v>42.420280817699393</v>
      </c>
      <c r="F1094" s="39">
        <v>1338900</v>
      </c>
    </row>
    <row r="1095" spans="1:6">
      <c r="A1095" s="41">
        <v>45418</v>
      </c>
      <c r="B1095" s="39">
        <v>43.0372314453125</v>
      </c>
      <c r="C1095" s="39">
        <v>43.286001569273843</v>
      </c>
      <c r="D1095" s="39">
        <v>42.838214586957257</v>
      </c>
      <c r="E1095" s="39">
        <v>42.838214586957257</v>
      </c>
      <c r="F1095" s="39">
        <v>569500</v>
      </c>
    </row>
    <row r="1096" spans="1:6">
      <c r="A1096" s="41">
        <v>45419</v>
      </c>
      <c r="B1096" s="39">
        <v>42.848167419433587</v>
      </c>
      <c r="C1096" s="39">
        <v>43.465116262583109</v>
      </c>
      <c r="D1096" s="39">
        <v>42.818312423393678</v>
      </c>
      <c r="E1096" s="39">
        <v>43.027282211949718</v>
      </c>
      <c r="F1096" s="39">
        <v>464700</v>
      </c>
    </row>
    <row r="1097" spans="1:6">
      <c r="A1097" s="41">
        <v>45420</v>
      </c>
      <c r="B1097" s="39">
        <v>42.271018981933587</v>
      </c>
      <c r="C1097" s="39">
        <v>42.410329643917109</v>
      </c>
      <c r="D1097" s="39">
        <v>41.683921337909617</v>
      </c>
      <c r="E1097" s="39">
        <v>42.400380509174362</v>
      </c>
      <c r="F1097" s="39">
        <v>553400</v>
      </c>
    </row>
    <row r="1098" spans="1:6">
      <c r="A1098" s="41">
        <v>45421</v>
      </c>
      <c r="B1098" s="39">
        <v>42.987476348876953</v>
      </c>
      <c r="C1098" s="39">
        <v>43.007378413457943</v>
      </c>
      <c r="D1098" s="39">
        <v>41.922740567343787</v>
      </c>
      <c r="E1098" s="39">
        <v>42.241166008778158</v>
      </c>
      <c r="F1098" s="39">
        <v>581300</v>
      </c>
    </row>
    <row r="1099" spans="1:6">
      <c r="A1099" s="41">
        <v>45422</v>
      </c>
      <c r="B1099" s="39">
        <v>41.853084564208977</v>
      </c>
      <c r="C1099" s="39">
        <v>43.634275662274518</v>
      </c>
      <c r="D1099" s="39">
        <v>41.763527173004412</v>
      </c>
      <c r="E1099" s="39">
        <v>43.285999027551533</v>
      </c>
      <c r="F1099" s="39">
        <v>1078500</v>
      </c>
    </row>
    <row r="1100" spans="1:6">
      <c r="A1100" s="41">
        <v>45425</v>
      </c>
      <c r="B1100" s="39">
        <v>42.559593200683587</v>
      </c>
      <c r="C1100" s="39">
        <v>43.41536303321017</v>
      </c>
      <c r="D1100" s="39">
        <v>42.320772211819801</v>
      </c>
      <c r="E1100" s="39">
        <v>42.479984939085377</v>
      </c>
      <c r="F1100" s="39">
        <v>511300</v>
      </c>
    </row>
    <row r="1101" spans="1:6">
      <c r="A1101" s="41">
        <v>45426</v>
      </c>
      <c r="B1101" s="39">
        <v>43.554672241210938</v>
      </c>
      <c r="C1101" s="39">
        <v>44.330833786230848</v>
      </c>
      <c r="D1101" s="39">
        <v>42.987476682014737</v>
      </c>
      <c r="E1101" s="39">
        <v>43.912901814583421</v>
      </c>
      <c r="F1101" s="39">
        <v>1602500</v>
      </c>
    </row>
    <row r="1102" spans="1:6">
      <c r="A1102" s="41">
        <v>45427</v>
      </c>
      <c r="B1102" s="39">
        <v>43.514869689941413</v>
      </c>
      <c r="C1102" s="39">
        <v>44.977639235620657</v>
      </c>
      <c r="D1102" s="39">
        <v>43.116839768593422</v>
      </c>
      <c r="E1102" s="39">
        <v>44.758720311524222</v>
      </c>
      <c r="F1102" s="39">
        <v>724200</v>
      </c>
    </row>
    <row r="1103" spans="1:6">
      <c r="A1103" s="41">
        <v>45428</v>
      </c>
      <c r="B1103" s="39">
        <v>43.116840362548828</v>
      </c>
      <c r="C1103" s="39">
        <v>43.95270434767329</v>
      </c>
      <c r="D1103" s="39">
        <v>42.828266103342962</v>
      </c>
      <c r="E1103" s="39">
        <v>43.644231818667137</v>
      </c>
      <c r="F1103" s="39">
        <v>509000</v>
      </c>
    </row>
    <row r="1104" spans="1:6">
      <c r="A1104" s="41">
        <v>45429</v>
      </c>
      <c r="B1104" s="39">
        <v>42.400379180908203</v>
      </c>
      <c r="C1104" s="39">
        <v>42.977523876178523</v>
      </c>
      <c r="D1104" s="39">
        <v>42.340672986529597</v>
      </c>
      <c r="E1104" s="39">
        <v>42.897919412937767</v>
      </c>
      <c r="F1104" s="39">
        <v>1003600</v>
      </c>
    </row>
    <row r="1105" spans="1:6">
      <c r="A1105" s="41">
        <v>45432</v>
      </c>
      <c r="B1105" s="39">
        <v>42.062053680419922</v>
      </c>
      <c r="C1105" s="39">
        <v>42.450134472591067</v>
      </c>
      <c r="D1105" s="39">
        <v>41.843134753172237</v>
      </c>
      <c r="E1105" s="39">
        <v>42.40038120619775</v>
      </c>
      <c r="F1105" s="39">
        <v>1040200</v>
      </c>
    </row>
    <row r="1106" spans="1:6">
      <c r="A1106" s="41">
        <v>45433</v>
      </c>
      <c r="B1106" s="39">
        <v>42.698902130126953</v>
      </c>
      <c r="C1106" s="39">
        <v>42.738706259311087</v>
      </c>
      <c r="D1106" s="39">
        <v>41.713770810438433</v>
      </c>
      <c r="E1106" s="39">
        <v>41.793379068806701</v>
      </c>
      <c r="F1106" s="39">
        <v>1349200</v>
      </c>
    </row>
    <row r="1107" spans="1:6">
      <c r="A1107" s="41">
        <v>45434</v>
      </c>
      <c r="B1107" s="39">
        <v>46.529960632324219</v>
      </c>
      <c r="C1107" s="39">
        <v>47.127011185791972</v>
      </c>
      <c r="D1107" s="39">
        <v>42.9576216296295</v>
      </c>
      <c r="E1107" s="39">
        <v>43.086983152270463</v>
      </c>
      <c r="F1107" s="39">
        <v>3984700</v>
      </c>
    </row>
    <row r="1108" spans="1:6">
      <c r="A1108" s="41">
        <v>45435</v>
      </c>
      <c r="B1108" s="39">
        <v>44.917930603027337</v>
      </c>
      <c r="C1108" s="39">
        <v>46.440402466572237</v>
      </c>
      <c r="D1108" s="39">
        <v>44.619407229224713</v>
      </c>
      <c r="E1108" s="39">
        <v>46.440402466572237</v>
      </c>
      <c r="F1108" s="39">
        <v>2820300</v>
      </c>
    </row>
    <row r="1109" spans="1:6">
      <c r="A1109" s="41">
        <v>45436</v>
      </c>
      <c r="B1109" s="39">
        <v>47.266323089599609</v>
      </c>
      <c r="C1109" s="39">
        <v>47.326029285300507</v>
      </c>
      <c r="D1109" s="39">
        <v>44.987587865414461</v>
      </c>
      <c r="E1109" s="39">
        <v>44.987587865414461</v>
      </c>
      <c r="F1109" s="39">
        <v>2238900</v>
      </c>
    </row>
    <row r="1110" spans="1:6">
      <c r="A1110" s="41">
        <v>45440</v>
      </c>
      <c r="B1110" s="39">
        <v>47.385730743408203</v>
      </c>
      <c r="C1110" s="39">
        <v>48.410666204953088</v>
      </c>
      <c r="D1110" s="39">
        <v>47.047403233021377</v>
      </c>
      <c r="E1110" s="39">
        <v>48.012632500051858</v>
      </c>
      <c r="F1110" s="39">
        <v>3388200</v>
      </c>
    </row>
    <row r="1111" spans="1:6">
      <c r="A1111" s="41">
        <v>45441</v>
      </c>
      <c r="B1111" s="39">
        <v>47.365829467773438</v>
      </c>
      <c r="C1111" s="39">
        <v>47.962880035073248</v>
      </c>
      <c r="D1111" s="39">
        <v>46.370748984871213</v>
      </c>
      <c r="E1111" s="39">
        <v>46.589667905807559</v>
      </c>
      <c r="F1111" s="39">
        <v>1875200</v>
      </c>
    </row>
    <row r="1112" spans="1:6">
      <c r="A1112" s="41">
        <v>45442</v>
      </c>
      <c r="B1112" s="39">
        <v>48.758941650390618</v>
      </c>
      <c r="C1112" s="39">
        <v>48.918154369248548</v>
      </c>
      <c r="D1112" s="39">
        <v>47.59469935547903</v>
      </c>
      <c r="E1112" s="39">
        <v>47.763861208545919</v>
      </c>
      <c r="F1112" s="39">
        <v>1423100</v>
      </c>
    </row>
    <row r="1113" spans="1:6">
      <c r="A1113" s="41">
        <v>45443</v>
      </c>
      <c r="B1113" s="39">
        <v>48.042484283447273</v>
      </c>
      <c r="C1113" s="39">
        <v>49.246534547243549</v>
      </c>
      <c r="D1113" s="39">
        <v>46.848390746087198</v>
      </c>
      <c r="E1113" s="39">
        <v>48.758943442607922</v>
      </c>
      <c r="F1113" s="39">
        <v>1919700</v>
      </c>
    </row>
    <row r="1114" spans="1:6">
      <c r="A1114" s="41">
        <v>45446</v>
      </c>
      <c r="B1114" s="39">
        <v>47.893222808837891</v>
      </c>
      <c r="C1114" s="39">
        <v>49.156975427603072</v>
      </c>
      <c r="D1114" s="39">
        <v>47.634499767804989</v>
      </c>
      <c r="E1114" s="39">
        <v>49.156975427603072</v>
      </c>
      <c r="F1114" s="39">
        <v>1134900</v>
      </c>
    </row>
    <row r="1115" spans="1:6">
      <c r="A1115" s="41">
        <v>45447</v>
      </c>
      <c r="B1115" s="39">
        <v>47.176765441894531</v>
      </c>
      <c r="C1115" s="39">
        <v>47.903173737351501</v>
      </c>
      <c r="D1115" s="39">
        <v>47.0374547819344</v>
      </c>
      <c r="E1115" s="39">
        <v>47.73401187766585</v>
      </c>
      <c r="F1115" s="39">
        <v>1723400</v>
      </c>
    </row>
    <row r="1116" spans="1:6">
      <c r="A1116" s="41">
        <v>45448</v>
      </c>
      <c r="B1116" s="39">
        <v>48.291255950927727</v>
      </c>
      <c r="C1116" s="39">
        <v>48.719140874037997</v>
      </c>
      <c r="D1116" s="39">
        <v>47.127013575905089</v>
      </c>
      <c r="E1116" s="39">
        <v>47.365830772659571</v>
      </c>
      <c r="F1116" s="39">
        <v>1006100</v>
      </c>
    </row>
    <row r="1117" spans="1:6">
      <c r="A1117" s="41">
        <v>45449</v>
      </c>
      <c r="B1117" s="39">
        <v>47.276271820068359</v>
      </c>
      <c r="C1117" s="39">
        <v>47.923075648873848</v>
      </c>
      <c r="D1117" s="39">
        <v>47.087207895861432</v>
      </c>
      <c r="E1117" s="39">
        <v>47.923075648873848</v>
      </c>
      <c r="F1117" s="39">
        <v>806300</v>
      </c>
    </row>
    <row r="1118" spans="1:6">
      <c r="A1118" s="41">
        <v>45450</v>
      </c>
      <c r="B1118" s="39">
        <v>45.713996887207031</v>
      </c>
      <c r="C1118" s="39">
        <v>47.047404911486893</v>
      </c>
      <c r="D1118" s="39">
        <v>45.534882093204438</v>
      </c>
      <c r="E1118" s="39">
        <v>46.102081471499872</v>
      </c>
      <c r="F1118" s="39">
        <v>1495400</v>
      </c>
    </row>
    <row r="1119" spans="1:6">
      <c r="A1119" s="41">
        <v>45453</v>
      </c>
      <c r="B1119" s="39">
        <v>47.027500152587891</v>
      </c>
      <c r="C1119" s="39">
        <v>47.326027322782252</v>
      </c>
      <c r="D1119" s="39">
        <v>44.997538930036313</v>
      </c>
      <c r="E1119" s="39">
        <v>45.276160239891681</v>
      </c>
      <c r="F1119" s="39">
        <v>837400</v>
      </c>
    </row>
    <row r="1120" spans="1:6">
      <c r="A1120" s="41">
        <v>45454</v>
      </c>
      <c r="B1120" s="39">
        <v>47.594699859619141</v>
      </c>
      <c r="C1120" s="39">
        <v>47.724057585359098</v>
      </c>
      <c r="D1120" s="39">
        <v>46.201585707907931</v>
      </c>
      <c r="E1120" s="39">
        <v>46.768781262092901</v>
      </c>
      <c r="F1120" s="39">
        <v>629300</v>
      </c>
    </row>
    <row r="1121" spans="1:6">
      <c r="A1121" s="41">
        <v>45455</v>
      </c>
      <c r="B1121" s="39">
        <v>48.052436828613281</v>
      </c>
      <c r="C1121" s="39">
        <v>49.684368192787403</v>
      </c>
      <c r="D1121" s="39">
        <v>47.793713780577427</v>
      </c>
      <c r="E1121" s="39">
        <v>49.346040681000268</v>
      </c>
      <c r="F1121" s="39">
        <v>1483300</v>
      </c>
    </row>
    <row r="1122" spans="1:6">
      <c r="A1122" s="41">
        <v>45456</v>
      </c>
      <c r="B1122" s="39">
        <v>46.888191223144531</v>
      </c>
      <c r="C1122" s="39">
        <v>48.151943890099908</v>
      </c>
      <c r="D1122" s="39">
        <v>46.539914573008737</v>
      </c>
      <c r="E1122" s="39">
        <v>48.112139759818447</v>
      </c>
      <c r="F1122" s="39">
        <v>686800</v>
      </c>
    </row>
    <row r="1123" spans="1:6">
      <c r="A1123" s="41">
        <v>45457</v>
      </c>
      <c r="B1123" s="39">
        <v>45.574684143066413</v>
      </c>
      <c r="C1123" s="39">
        <v>47.037453628644393</v>
      </c>
      <c r="D1123" s="39">
        <v>45.495079680439879</v>
      </c>
      <c r="E1123" s="39">
        <v>46.569764599447467</v>
      </c>
      <c r="F1123" s="39">
        <v>902700</v>
      </c>
    </row>
    <row r="1124" spans="1:6">
      <c r="A1124" s="41">
        <v>45460</v>
      </c>
      <c r="B1124" s="39">
        <v>44.708965301513672</v>
      </c>
      <c r="C1124" s="39">
        <v>45.63439043154002</v>
      </c>
      <c r="D1124" s="39">
        <v>44.002459087042588</v>
      </c>
      <c r="E1124" s="39">
        <v>45.425424446290378</v>
      </c>
      <c r="F1124" s="39">
        <v>1607300</v>
      </c>
    </row>
    <row r="1125" spans="1:6">
      <c r="A1125" s="41">
        <v>45461</v>
      </c>
      <c r="B1125" s="39">
        <v>44.888080596923828</v>
      </c>
      <c r="C1125" s="39">
        <v>45.057242454731373</v>
      </c>
      <c r="D1125" s="39">
        <v>44.201472643413616</v>
      </c>
      <c r="E1125" s="39">
        <v>44.3208850328515</v>
      </c>
      <c r="F1125" s="39">
        <v>634000</v>
      </c>
    </row>
    <row r="1126" spans="1:6">
      <c r="A1126" s="41">
        <v>45463</v>
      </c>
      <c r="B1126" s="39">
        <v>43.554672241210938</v>
      </c>
      <c r="C1126" s="39">
        <v>43.922850948985683</v>
      </c>
      <c r="D1126" s="39">
        <v>43.086983209760113</v>
      </c>
      <c r="E1126" s="39">
        <v>43.883046819515243</v>
      </c>
      <c r="F1126" s="39">
        <v>1515500</v>
      </c>
    </row>
    <row r="1127" spans="1:6">
      <c r="A1127" s="41">
        <v>45464</v>
      </c>
      <c r="B1127" s="39">
        <v>43.017330169677727</v>
      </c>
      <c r="C1127" s="39">
        <v>43.524823357597683</v>
      </c>
      <c r="D1127" s="39">
        <v>42.589445244933827</v>
      </c>
      <c r="E1127" s="39">
        <v>42.589445244933827</v>
      </c>
      <c r="F1127" s="39">
        <v>1044600</v>
      </c>
    </row>
    <row r="1128" spans="1:6">
      <c r="A1128" s="41">
        <v>45467</v>
      </c>
      <c r="B1128" s="39">
        <v>42.7486572265625</v>
      </c>
      <c r="C1128" s="39">
        <v>43.455163468185418</v>
      </c>
      <c r="D1128" s="39">
        <v>42.111806316033061</v>
      </c>
      <c r="E1128" s="39">
        <v>42.848167553789509</v>
      </c>
      <c r="F1128" s="39">
        <v>1595300</v>
      </c>
    </row>
    <row r="1129" spans="1:6">
      <c r="A1129" s="41">
        <v>45468</v>
      </c>
      <c r="B1129" s="39">
        <v>41.445102691650391</v>
      </c>
      <c r="C1129" s="39">
        <v>42.231213370413883</v>
      </c>
      <c r="D1129" s="39">
        <v>41.186379646240063</v>
      </c>
      <c r="E1129" s="39">
        <v>42.141655977145803</v>
      </c>
      <c r="F1129" s="39">
        <v>971700</v>
      </c>
    </row>
    <row r="1130" spans="1:6">
      <c r="A1130" s="41">
        <v>45469</v>
      </c>
      <c r="B1130" s="39">
        <v>41.047069549560547</v>
      </c>
      <c r="C1130" s="39">
        <v>41.415248262053566</v>
      </c>
      <c r="D1130" s="39">
        <v>40.698792902057797</v>
      </c>
      <c r="E1130" s="39">
        <v>41.12667780952161</v>
      </c>
      <c r="F1130" s="39">
        <v>652400</v>
      </c>
    </row>
    <row r="1131" spans="1:6">
      <c r="A1131" s="41">
        <v>45470</v>
      </c>
      <c r="B1131" s="39">
        <v>41.853084564208977</v>
      </c>
      <c r="C1131" s="39">
        <v>42.042148480782807</v>
      </c>
      <c r="D1131" s="39">
        <v>40.79829793401408</v>
      </c>
      <c r="E1131" s="39">
        <v>40.947561517998579</v>
      </c>
      <c r="F1131" s="39">
        <v>1598800</v>
      </c>
    </row>
    <row r="1132" spans="1:6">
      <c r="A1132" s="41">
        <v>45471</v>
      </c>
      <c r="B1132" s="39">
        <v>40.012184143066413</v>
      </c>
      <c r="C1132" s="39">
        <v>41.81328113128518</v>
      </c>
      <c r="D1132" s="39">
        <v>39.813167293086487</v>
      </c>
      <c r="E1132" s="39">
        <v>41.415247431325341</v>
      </c>
      <c r="F1132" s="39">
        <v>2409000</v>
      </c>
    </row>
    <row r="1133" spans="1:6">
      <c r="A1133" s="41">
        <v>45474</v>
      </c>
      <c r="B1133" s="39">
        <v>39.046958923339837</v>
      </c>
      <c r="C1133" s="39">
        <v>40.042039383409417</v>
      </c>
      <c r="D1133" s="39">
        <v>38.947448599774461</v>
      </c>
      <c r="E1133" s="39">
        <v>39.813167537174387</v>
      </c>
      <c r="F1133" s="39">
        <v>1031900</v>
      </c>
    </row>
    <row r="1134" spans="1:6">
      <c r="A1134" s="41">
        <v>45475</v>
      </c>
      <c r="B1134" s="39">
        <v>38.788234710693359</v>
      </c>
      <c r="C1134" s="39">
        <v>39.663906552062407</v>
      </c>
      <c r="D1134" s="39">
        <v>38.489711340842497</v>
      </c>
      <c r="E1134" s="39">
        <v>38.81808590889927</v>
      </c>
      <c r="F1134" s="39">
        <v>1241100</v>
      </c>
    </row>
    <row r="1135" spans="1:6">
      <c r="A1135" s="41">
        <v>45476</v>
      </c>
      <c r="B1135" s="39">
        <v>40.340564727783203</v>
      </c>
      <c r="C1135" s="39">
        <v>40.400267128900637</v>
      </c>
      <c r="D1135" s="39">
        <v>38.887748096318482</v>
      </c>
      <c r="E1135" s="39">
        <v>38.897697231194407</v>
      </c>
      <c r="F1135" s="39">
        <v>1579200</v>
      </c>
    </row>
    <row r="1136" spans="1:6">
      <c r="A1136" s="41">
        <v>45478</v>
      </c>
      <c r="B1136" s="39">
        <v>39.813167572021477</v>
      </c>
      <c r="C1136" s="39">
        <v>40.450022255605226</v>
      </c>
      <c r="D1136" s="39">
        <v>39.713661044299712</v>
      </c>
      <c r="E1136" s="39">
        <v>40.380366927013853</v>
      </c>
      <c r="F1136" s="39">
        <v>1213300</v>
      </c>
    </row>
    <row r="1137" spans="1:6">
      <c r="A1137" s="41">
        <v>45481</v>
      </c>
      <c r="B1137" s="39">
        <v>40.251007080078118</v>
      </c>
      <c r="C1137" s="39">
        <v>40.509726340484903</v>
      </c>
      <c r="D1137" s="39">
        <v>39.803220094825157</v>
      </c>
      <c r="E1137" s="39">
        <v>39.803220094825157</v>
      </c>
      <c r="F1137" s="39">
        <v>1344400</v>
      </c>
    </row>
    <row r="1138" spans="1:6">
      <c r="A1138" s="41">
        <v>45482</v>
      </c>
      <c r="B1138" s="39">
        <v>40.529628753662109</v>
      </c>
      <c r="C1138" s="39">
        <v>40.887858344936973</v>
      </c>
      <c r="D1138" s="39">
        <v>39.872875768301832</v>
      </c>
      <c r="E1138" s="39">
        <v>40.101743830298354</v>
      </c>
      <c r="F1138" s="39">
        <v>679400</v>
      </c>
    </row>
    <row r="1139" spans="1:6">
      <c r="A1139" s="41">
        <v>45483</v>
      </c>
      <c r="B1139" s="39">
        <v>41.186378479003913</v>
      </c>
      <c r="C1139" s="39">
        <v>41.265986735621951</v>
      </c>
      <c r="D1139" s="39">
        <v>40.260953373437502</v>
      </c>
      <c r="E1139" s="39">
        <v>40.539578475670041</v>
      </c>
      <c r="F1139" s="39">
        <v>924300</v>
      </c>
    </row>
    <row r="1140" spans="1:6">
      <c r="A1140" s="41">
        <v>45484</v>
      </c>
      <c r="B1140" s="39">
        <v>43.057132720947273</v>
      </c>
      <c r="C1140" s="39">
        <v>43.226294580091249</v>
      </c>
      <c r="D1140" s="39">
        <v>42.261069098059266</v>
      </c>
      <c r="E1140" s="39">
        <v>42.380477692509778</v>
      </c>
      <c r="F1140" s="39">
        <v>1716200</v>
      </c>
    </row>
    <row r="1141" spans="1:6">
      <c r="A1141" s="41">
        <v>45485</v>
      </c>
      <c r="B1141" s="39">
        <v>44.281082153320312</v>
      </c>
      <c r="C1141" s="39">
        <v>44.51990314300847</v>
      </c>
      <c r="D1141" s="39">
        <v>43.375559052134591</v>
      </c>
      <c r="E1141" s="39">
        <v>43.375559052134591</v>
      </c>
      <c r="F1141" s="39">
        <v>1349800</v>
      </c>
    </row>
    <row r="1142" spans="1:6">
      <c r="A1142" s="41">
        <v>45488</v>
      </c>
      <c r="B1142" s="39">
        <v>41.683921813964837</v>
      </c>
      <c r="C1142" s="39">
        <v>42.559593722630133</v>
      </c>
      <c r="D1142" s="39">
        <v>41.425202552459417</v>
      </c>
      <c r="E1142" s="39">
        <v>42.489938390842873</v>
      </c>
      <c r="F1142" s="39">
        <v>2084200</v>
      </c>
    </row>
    <row r="1143" spans="1:6">
      <c r="A1143" s="41">
        <v>45489</v>
      </c>
      <c r="B1143" s="39">
        <v>43.256149291992188</v>
      </c>
      <c r="C1143" s="39">
        <v>43.325804621292427</v>
      </c>
      <c r="D1143" s="39">
        <v>41.813281849758489</v>
      </c>
      <c r="E1143" s="39">
        <v>41.99239663822506</v>
      </c>
      <c r="F1143" s="39">
        <v>958600</v>
      </c>
    </row>
    <row r="1144" spans="1:6">
      <c r="A1144" s="41">
        <v>45490</v>
      </c>
      <c r="B1144" s="39">
        <v>42.032199859619141</v>
      </c>
      <c r="C1144" s="39">
        <v>42.937722916881413</v>
      </c>
      <c r="D1144" s="39">
        <v>41.644115295709021</v>
      </c>
      <c r="E1144" s="39">
        <v>42.609344546479932</v>
      </c>
      <c r="F1144" s="39">
        <v>1091100</v>
      </c>
    </row>
    <row r="1145" spans="1:6">
      <c r="A1145" s="41">
        <v>45491</v>
      </c>
      <c r="B1145" s="39">
        <v>41.524707794189453</v>
      </c>
      <c r="C1145" s="39">
        <v>43.13673710191393</v>
      </c>
      <c r="D1145" s="39">
        <v>41.365495069919518</v>
      </c>
      <c r="E1145" s="39">
        <v>42.26106901639465</v>
      </c>
      <c r="F1145" s="39">
        <v>1104400</v>
      </c>
    </row>
    <row r="1146" spans="1:6">
      <c r="A1146" s="41">
        <v>45492</v>
      </c>
      <c r="B1146" s="39">
        <v>41.196334838867188</v>
      </c>
      <c r="C1146" s="39">
        <v>41.733675432053097</v>
      </c>
      <c r="D1146" s="39">
        <v>40.47987565337808</v>
      </c>
      <c r="E1146" s="39">
        <v>41.554560635680822</v>
      </c>
      <c r="F1146" s="39">
        <v>1245600</v>
      </c>
    </row>
    <row r="1147" spans="1:6">
      <c r="A1147" s="41">
        <v>45495</v>
      </c>
      <c r="B1147" s="39">
        <v>41.415248870849609</v>
      </c>
      <c r="C1147" s="39">
        <v>42.290920763639718</v>
      </c>
      <c r="D1147" s="39">
        <v>41.176431679317368</v>
      </c>
      <c r="E1147" s="39">
        <v>42.290920763639718</v>
      </c>
      <c r="F1147" s="39">
        <v>1305000</v>
      </c>
    </row>
    <row r="1148" spans="1:6">
      <c r="A1148" s="41">
        <v>45496</v>
      </c>
      <c r="B1148" s="39">
        <v>41.236133575439453</v>
      </c>
      <c r="C1148" s="39">
        <v>41.683920549005158</v>
      </c>
      <c r="D1148" s="39">
        <v>40.877907792517661</v>
      </c>
      <c r="E1148" s="39">
        <v>41.027167586419047</v>
      </c>
      <c r="F1148" s="39">
        <v>874200</v>
      </c>
    </row>
    <row r="1149" spans="1:6">
      <c r="A1149" s="41">
        <v>45497</v>
      </c>
      <c r="B1149" s="39">
        <v>41.594364166259773</v>
      </c>
      <c r="C1149" s="39">
        <v>42.519789335500377</v>
      </c>
      <c r="D1149" s="39">
        <v>41.295840775263308</v>
      </c>
      <c r="E1149" s="39">
        <v>41.295840775263308</v>
      </c>
      <c r="F1149" s="39">
        <v>1168300</v>
      </c>
    </row>
    <row r="1150" spans="1:6">
      <c r="A1150" s="41">
        <v>45498</v>
      </c>
      <c r="B1150" s="39">
        <v>41.872989654541023</v>
      </c>
      <c r="C1150" s="39">
        <v>42.698904503398637</v>
      </c>
      <c r="D1150" s="39">
        <v>41.445104731855793</v>
      </c>
      <c r="E1150" s="39">
        <v>41.58441539581267</v>
      </c>
      <c r="F1150" s="39">
        <v>553000</v>
      </c>
    </row>
    <row r="1151" spans="1:6">
      <c r="A1151" s="41">
        <v>45499</v>
      </c>
      <c r="B1151" s="39">
        <v>42.479984283447273</v>
      </c>
      <c r="C1151" s="39">
        <v>42.947673323291333</v>
      </c>
      <c r="D1151" s="39">
        <v>42.042150239207167</v>
      </c>
      <c r="E1151" s="39">
        <v>42.300869493546593</v>
      </c>
      <c r="F1151" s="39">
        <v>1281800</v>
      </c>
    </row>
    <row r="1152" spans="1:6">
      <c r="A1152" s="41">
        <v>45502</v>
      </c>
      <c r="B1152" s="39">
        <v>41.455051422119141</v>
      </c>
      <c r="C1152" s="39">
        <v>42.440182738469218</v>
      </c>
      <c r="D1152" s="39">
        <v>40.947562062498633</v>
      </c>
      <c r="E1152" s="39">
        <v>42.11180436770897</v>
      </c>
      <c r="F1152" s="39">
        <v>2141900</v>
      </c>
    </row>
    <row r="1153" spans="1:6">
      <c r="A1153" s="41">
        <v>45503</v>
      </c>
      <c r="B1153" s="39">
        <v>40.778396606445312</v>
      </c>
      <c r="C1153" s="39">
        <v>41.604315206467263</v>
      </c>
      <c r="D1153" s="39">
        <v>40.549528557216867</v>
      </c>
      <c r="E1153" s="39">
        <v>41.325690097724681</v>
      </c>
      <c r="F1153" s="39">
        <v>858200</v>
      </c>
    </row>
    <row r="1154" spans="1:6">
      <c r="A1154" s="41">
        <v>45504</v>
      </c>
      <c r="B1154" s="39">
        <v>41.922740936279297</v>
      </c>
      <c r="C1154" s="39">
        <v>42.927770532914138</v>
      </c>
      <c r="D1154" s="39">
        <v>41.504805168262017</v>
      </c>
      <c r="E1154" s="39">
        <v>41.614264626455373</v>
      </c>
      <c r="F1154" s="39">
        <v>1260200</v>
      </c>
    </row>
    <row r="1155" spans="1:6">
      <c r="A1155" s="41">
        <v>45505</v>
      </c>
      <c r="B1155" s="39">
        <v>41.206283569335938</v>
      </c>
      <c r="C1155" s="39">
        <v>42.9576235883141</v>
      </c>
      <c r="D1155" s="39">
        <v>40.957513443030862</v>
      </c>
      <c r="E1155" s="39">
        <v>42.271019406247213</v>
      </c>
      <c r="F1155" s="39">
        <v>1354600</v>
      </c>
    </row>
    <row r="1156" spans="1:6">
      <c r="A1156" s="41">
        <v>45506</v>
      </c>
      <c r="B1156" s="39">
        <v>39.992282867431641</v>
      </c>
      <c r="C1156" s="39">
        <v>40.559478433708932</v>
      </c>
      <c r="D1156" s="39">
        <v>39.435040231611573</v>
      </c>
      <c r="E1156" s="39">
        <v>40.042039927856223</v>
      </c>
      <c r="F1156" s="39">
        <v>1879300</v>
      </c>
    </row>
    <row r="1157" spans="1:6">
      <c r="A1157" s="41">
        <v>45509</v>
      </c>
      <c r="B1157" s="39">
        <v>38.927547454833977</v>
      </c>
      <c r="C1157" s="39">
        <v>39.644006617710268</v>
      </c>
      <c r="D1157" s="39">
        <v>37.235909873559869</v>
      </c>
      <c r="E1157" s="39">
        <v>37.673747715731288</v>
      </c>
      <c r="F1157" s="39">
        <v>869700</v>
      </c>
    </row>
    <row r="1158" spans="1:6">
      <c r="A1158" s="41">
        <v>45510</v>
      </c>
      <c r="B1158" s="39">
        <v>38.987251281738281</v>
      </c>
      <c r="C1158" s="39">
        <v>39.653953343185798</v>
      </c>
      <c r="D1158" s="39">
        <v>38.688727913986689</v>
      </c>
      <c r="E1158" s="39">
        <v>39.096710735630992</v>
      </c>
      <c r="F1158" s="39">
        <v>789200</v>
      </c>
    </row>
    <row r="1159" spans="1:6">
      <c r="A1159" s="41">
        <v>45511</v>
      </c>
      <c r="B1159" s="39">
        <v>39.265872955322273</v>
      </c>
      <c r="C1159" s="39">
        <v>40.818199796553159</v>
      </c>
      <c r="D1159" s="39">
        <v>39.226068826999033</v>
      </c>
      <c r="E1159" s="39">
        <v>40.40026404102035</v>
      </c>
      <c r="F1159" s="39">
        <v>577900</v>
      </c>
    </row>
    <row r="1160" spans="1:6">
      <c r="A1160" s="41">
        <v>45512</v>
      </c>
      <c r="B1160" s="39">
        <v>40.002235412597663</v>
      </c>
      <c r="C1160" s="39">
        <v>40.330609991838699</v>
      </c>
      <c r="D1160" s="39">
        <v>39.325580393392848</v>
      </c>
      <c r="E1160" s="39">
        <v>39.345482458184847</v>
      </c>
      <c r="F1160" s="39">
        <v>525600</v>
      </c>
    </row>
    <row r="1161" spans="1:6">
      <c r="A1161" s="41">
        <v>45513</v>
      </c>
      <c r="B1161" s="39">
        <v>39.196220397949219</v>
      </c>
      <c r="C1161" s="39">
        <v>39.833071312392377</v>
      </c>
      <c r="D1161" s="39">
        <v>38.71858221211685</v>
      </c>
      <c r="E1161" s="39">
        <v>39.833071312392377</v>
      </c>
      <c r="F1161" s="39">
        <v>947800</v>
      </c>
    </row>
    <row r="1162" spans="1:6">
      <c r="A1162" s="41">
        <v>45516</v>
      </c>
      <c r="B1162" s="39">
        <v>39.066856384277337</v>
      </c>
      <c r="C1162" s="39">
        <v>39.345481488568147</v>
      </c>
      <c r="D1162" s="39">
        <v>38.897694531610277</v>
      </c>
      <c r="E1162" s="39">
        <v>39.236022032875049</v>
      </c>
      <c r="F1162" s="39">
        <v>1252600</v>
      </c>
    </row>
    <row r="1163" spans="1:6">
      <c r="A1163" s="41">
        <v>45517</v>
      </c>
      <c r="B1163" s="39">
        <v>40.459972381591797</v>
      </c>
      <c r="C1163" s="39">
        <v>40.61918510740702</v>
      </c>
      <c r="D1163" s="39">
        <v>39.236023840150281</v>
      </c>
      <c r="E1163" s="39">
        <v>39.315628305092488</v>
      </c>
      <c r="F1163" s="39">
        <v>1155500</v>
      </c>
    </row>
    <row r="1164" spans="1:6">
      <c r="A1164" s="41">
        <v>45518</v>
      </c>
      <c r="B1164" s="39">
        <v>39.872875213623047</v>
      </c>
      <c r="C1164" s="39">
        <v>40.977415172711453</v>
      </c>
      <c r="D1164" s="39">
        <v>39.753466616836178</v>
      </c>
      <c r="E1164" s="39">
        <v>40.788351244804673</v>
      </c>
      <c r="F1164" s="39">
        <v>899100</v>
      </c>
    </row>
    <row r="1165" spans="1:6">
      <c r="A1165" s="41">
        <v>45519</v>
      </c>
      <c r="B1165" s="39">
        <v>40.907760620117188</v>
      </c>
      <c r="C1165" s="39">
        <v>41.325692614790427</v>
      </c>
      <c r="D1165" s="39">
        <v>40.36046709550326</v>
      </c>
      <c r="E1165" s="39">
        <v>40.440071562899199</v>
      </c>
      <c r="F1165" s="39">
        <v>1201000</v>
      </c>
    </row>
    <row r="1166" spans="1:6">
      <c r="A1166" s="41">
        <v>45520</v>
      </c>
      <c r="B1166" s="39">
        <v>40.499774932861328</v>
      </c>
      <c r="C1166" s="39">
        <v>40.867953635215983</v>
      </c>
      <c r="D1166" s="39">
        <v>40.141545364762472</v>
      </c>
      <c r="E1166" s="39">
        <v>40.658987652468532</v>
      </c>
      <c r="F1166" s="39">
        <v>870200</v>
      </c>
    </row>
    <row r="1167" spans="1:6">
      <c r="A1167" s="41">
        <v>45523</v>
      </c>
      <c r="B1167" s="39">
        <v>41.395347595214837</v>
      </c>
      <c r="C1167" s="39">
        <v>41.45505379220225</v>
      </c>
      <c r="D1167" s="39">
        <v>40.479875350326573</v>
      </c>
      <c r="E1167" s="39">
        <v>40.559479817045563</v>
      </c>
      <c r="F1167" s="39">
        <v>411200</v>
      </c>
    </row>
    <row r="1168" spans="1:6">
      <c r="A1168" s="41">
        <v>45524</v>
      </c>
      <c r="B1168" s="39">
        <v>40.539581298828118</v>
      </c>
      <c r="C1168" s="39">
        <v>41.445104403300242</v>
      </c>
      <c r="D1168" s="39">
        <v>40.33061150861851</v>
      </c>
      <c r="E1168" s="39">
        <v>41.345594075597838</v>
      </c>
      <c r="F1168" s="39">
        <v>587600</v>
      </c>
    </row>
    <row r="1169" spans="1:6">
      <c r="A1169" s="41">
        <v>45525</v>
      </c>
      <c r="B1169" s="39">
        <v>40.927661895751953</v>
      </c>
      <c r="C1169" s="39">
        <v>40.977415161405183</v>
      </c>
      <c r="D1169" s="39">
        <v>40.440070782116237</v>
      </c>
      <c r="E1169" s="39">
        <v>40.639087640660023</v>
      </c>
      <c r="F1169" s="39">
        <v>416700</v>
      </c>
    </row>
    <row r="1170" spans="1:6">
      <c r="A1170" s="41">
        <v>45526</v>
      </c>
      <c r="B1170" s="39">
        <v>39.882827758789062</v>
      </c>
      <c r="C1170" s="39">
        <v>40.768448785265001</v>
      </c>
      <c r="D1170" s="39">
        <v>39.793270363081902</v>
      </c>
      <c r="E1170" s="39">
        <v>40.589333993850673</v>
      </c>
      <c r="F1170" s="39">
        <v>643400</v>
      </c>
    </row>
    <row r="1171" spans="1:6">
      <c r="A1171" s="41">
        <v>45527</v>
      </c>
      <c r="B1171" s="39">
        <v>41.962543487548828</v>
      </c>
      <c r="C1171" s="39">
        <v>42.032202615842067</v>
      </c>
      <c r="D1171" s="39">
        <v>40.091794852773702</v>
      </c>
      <c r="E1171" s="39">
        <v>40.171399320074528</v>
      </c>
      <c r="F1171" s="39">
        <v>702800</v>
      </c>
    </row>
    <row r="1172" spans="1:6">
      <c r="A1172" s="41">
        <v>45530</v>
      </c>
      <c r="B1172" s="39">
        <v>41.474952697753913</v>
      </c>
      <c r="C1172" s="39">
        <v>42.659097044965399</v>
      </c>
      <c r="D1172" s="39">
        <v>41.445101499500097</v>
      </c>
      <c r="E1172" s="39">
        <v>42.360573674635603</v>
      </c>
      <c r="F1172" s="39">
        <v>705400</v>
      </c>
    </row>
    <row r="1173" spans="1:6">
      <c r="A1173" s="41">
        <v>45531</v>
      </c>
      <c r="B1173" s="39">
        <v>41.325691223144531</v>
      </c>
      <c r="C1173" s="39">
        <v>41.534661009375</v>
      </c>
      <c r="D1173" s="39">
        <v>40.838103912445291</v>
      </c>
      <c r="E1173" s="39">
        <v>41.355546218852197</v>
      </c>
      <c r="F1173" s="39">
        <v>258500</v>
      </c>
    </row>
    <row r="1174" spans="1:6">
      <c r="A1174" s="41">
        <v>45532</v>
      </c>
      <c r="B1174" s="39">
        <v>40.718692779541023</v>
      </c>
      <c r="C1174" s="39">
        <v>41.365496631516322</v>
      </c>
      <c r="D1174" s="39">
        <v>40.340564917581872</v>
      </c>
      <c r="E1174" s="39">
        <v>40.9774158387035</v>
      </c>
      <c r="F1174" s="39">
        <v>440900</v>
      </c>
    </row>
    <row r="1175" spans="1:6">
      <c r="A1175" s="41">
        <v>45533</v>
      </c>
      <c r="B1175" s="39">
        <v>40.579380035400391</v>
      </c>
      <c r="C1175" s="39">
        <v>41.196332655058562</v>
      </c>
      <c r="D1175" s="39">
        <v>40.559477970643933</v>
      </c>
      <c r="E1175" s="39">
        <v>41.096822331276258</v>
      </c>
      <c r="F1175" s="39">
        <v>365500</v>
      </c>
    </row>
    <row r="1176" spans="1:6">
      <c r="A1176" s="41">
        <v>45534</v>
      </c>
      <c r="B1176" s="39">
        <v>41.076919555664062</v>
      </c>
      <c r="C1176" s="39">
        <v>41.295838468265927</v>
      </c>
      <c r="D1176" s="39">
        <v>40.629136392150279</v>
      </c>
      <c r="E1176" s="39">
        <v>40.93760890071038</v>
      </c>
      <c r="F1176" s="39">
        <v>662900</v>
      </c>
    </row>
    <row r="1177" spans="1:6">
      <c r="A1177" s="41">
        <v>45538</v>
      </c>
      <c r="B1177" s="39">
        <v>39.624103546142578</v>
      </c>
      <c r="C1177" s="39">
        <v>41.096822168926451</v>
      </c>
      <c r="D1177" s="39">
        <v>39.405184630617043</v>
      </c>
      <c r="E1177" s="39">
        <v>41.037119770823637</v>
      </c>
      <c r="F1177" s="39">
        <v>875300</v>
      </c>
    </row>
    <row r="1178" spans="1:6">
      <c r="A1178" s="41">
        <v>45539</v>
      </c>
      <c r="B1178" s="39">
        <v>40.081840515136719</v>
      </c>
      <c r="C1178" s="39">
        <v>40.201252905793282</v>
      </c>
      <c r="D1178" s="39">
        <v>39.355432220331153</v>
      </c>
      <c r="E1178" s="39">
        <v>39.395236350550007</v>
      </c>
      <c r="F1178" s="39">
        <v>345900</v>
      </c>
    </row>
    <row r="1179" spans="1:6">
      <c r="A1179" s="41">
        <v>45540</v>
      </c>
      <c r="B1179" s="39">
        <v>39.793270111083977</v>
      </c>
      <c r="C1179" s="39">
        <v>40.430121011666031</v>
      </c>
      <c r="D1179" s="39">
        <v>39.783317180551322</v>
      </c>
      <c r="E1179" s="39">
        <v>40.23110415625144</v>
      </c>
      <c r="F1179" s="39">
        <v>279300</v>
      </c>
    </row>
    <row r="1180" spans="1:6">
      <c r="A1180" s="41">
        <v>45541</v>
      </c>
      <c r="B1180" s="39">
        <v>38.778285980224609</v>
      </c>
      <c r="C1180" s="39">
        <v>39.862923812185628</v>
      </c>
      <c r="D1180" s="39">
        <v>38.619073261584937</v>
      </c>
      <c r="E1180" s="39">
        <v>39.673856099098707</v>
      </c>
      <c r="F1180" s="39">
        <v>697100</v>
      </c>
    </row>
    <row r="1181" spans="1:6">
      <c r="A1181" s="41">
        <v>45544</v>
      </c>
      <c r="B1181" s="39">
        <v>37.982219696044922</v>
      </c>
      <c r="C1181" s="39">
        <v>38.798189173232707</v>
      </c>
      <c r="D1181" s="39">
        <v>37.82300697277357</v>
      </c>
      <c r="E1181" s="39">
        <v>38.529516990975281</v>
      </c>
      <c r="F1181" s="39">
        <v>1165000</v>
      </c>
    </row>
    <row r="1182" spans="1:6">
      <c r="A1182" s="41">
        <v>45545</v>
      </c>
      <c r="B1182" s="39">
        <v>37.912563323974609</v>
      </c>
      <c r="C1182" s="39">
        <v>38.022022779949708</v>
      </c>
      <c r="D1182" s="39">
        <v>37.146354724010187</v>
      </c>
      <c r="E1182" s="39">
        <v>37.763303535224537</v>
      </c>
      <c r="F1182" s="39">
        <v>1141100</v>
      </c>
    </row>
    <row r="1183" spans="1:6">
      <c r="A1183" s="41">
        <v>45546</v>
      </c>
      <c r="B1183" s="39">
        <v>40.290809631347663</v>
      </c>
      <c r="C1183" s="39">
        <v>40.390316159310608</v>
      </c>
      <c r="D1183" s="39">
        <v>38.887746329858018</v>
      </c>
      <c r="E1183" s="39">
        <v>38.997201992244968</v>
      </c>
      <c r="F1183" s="39">
        <v>2707000</v>
      </c>
    </row>
    <row r="1184" spans="1:6">
      <c r="A1184" s="41">
        <v>45547</v>
      </c>
      <c r="B1184" s="39">
        <v>39.843021392822273</v>
      </c>
      <c r="C1184" s="39">
        <v>40.141544763120152</v>
      </c>
      <c r="D1184" s="39">
        <v>39.494740964199231</v>
      </c>
      <c r="E1184" s="39">
        <v>40.121642698976217</v>
      </c>
      <c r="F1184" s="39">
        <v>898800</v>
      </c>
    </row>
    <row r="1185" spans="1:6">
      <c r="A1185" s="41">
        <v>45548</v>
      </c>
      <c r="B1185" s="39">
        <v>40.380367279052727</v>
      </c>
      <c r="C1185" s="39">
        <v>40.49977587254601</v>
      </c>
      <c r="D1185" s="39">
        <v>39.843022914436872</v>
      </c>
      <c r="E1185" s="39">
        <v>40.300759019436718</v>
      </c>
      <c r="F1185" s="39">
        <v>774200</v>
      </c>
    </row>
    <row r="1186" spans="1:6">
      <c r="A1186" s="41">
        <v>45551</v>
      </c>
      <c r="B1186" s="39">
        <v>40.370414733886719</v>
      </c>
      <c r="C1186" s="39">
        <v>40.718691383203499</v>
      </c>
      <c r="D1186" s="39">
        <v>39.604202309459033</v>
      </c>
      <c r="E1186" s="39">
        <v>40.221151143647653</v>
      </c>
      <c r="F1186" s="39">
        <v>521400</v>
      </c>
    </row>
    <row r="1187" spans="1:6">
      <c r="A1187" s="41">
        <v>45552</v>
      </c>
      <c r="B1187" s="39">
        <v>41.256034851074219</v>
      </c>
      <c r="C1187" s="39">
        <v>41.445102567368053</v>
      </c>
      <c r="D1187" s="39">
        <v>40.300758523033103</v>
      </c>
      <c r="E1187" s="39">
        <v>40.300758523033103</v>
      </c>
      <c r="F1187" s="39">
        <v>781500</v>
      </c>
    </row>
    <row r="1188" spans="1:6">
      <c r="A1188" s="41">
        <v>45553</v>
      </c>
      <c r="B1188" s="39">
        <v>41.246086120605469</v>
      </c>
      <c r="C1188" s="39">
        <v>42.927770743474483</v>
      </c>
      <c r="D1188" s="39">
        <v>41.007265138291217</v>
      </c>
      <c r="E1188" s="39">
        <v>41.116724597021467</v>
      </c>
      <c r="F1188" s="39">
        <v>3627300</v>
      </c>
    </row>
    <row r="1189" spans="1:6">
      <c r="A1189" s="41">
        <v>45554</v>
      </c>
      <c r="B1189" s="39">
        <v>40.937610626220703</v>
      </c>
      <c r="C1189" s="39">
        <v>42.599397013329352</v>
      </c>
      <c r="D1189" s="39">
        <v>40.808249100055157</v>
      </c>
      <c r="E1189" s="39">
        <v>42.559592882827523</v>
      </c>
      <c r="F1189" s="39">
        <v>867600</v>
      </c>
    </row>
    <row r="1190" spans="1:6">
      <c r="A1190" s="41">
        <v>45555</v>
      </c>
      <c r="B1190" s="39">
        <v>40.459972381591797</v>
      </c>
      <c r="C1190" s="39">
        <v>40.867955228738971</v>
      </c>
      <c r="D1190" s="39">
        <v>40.032087469226383</v>
      </c>
      <c r="E1190" s="39">
        <v>40.867955228738971</v>
      </c>
      <c r="F1190" s="39">
        <v>723700</v>
      </c>
    </row>
    <row r="1191" spans="1:6">
      <c r="A1191" s="41">
        <v>45558</v>
      </c>
      <c r="B1191" s="39">
        <v>40.738594055175781</v>
      </c>
      <c r="C1191" s="39">
        <v>40.818202316737413</v>
      </c>
      <c r="D1191" s="39">
        <v>40.141547277186937</v>
      </c>
      <c r="E1191" s="39">
        <v>40.529628062472767</v>
      </c>
      <c r="F1191" s="39">
        <v>427000</v>
      </c>
    </row>
    <row r="1192" spans="1:6">
      <c r="A1192" s="41">
        <v>45559</v>
      </c>
      <c r="B1192" s="39">
        <v>41.305789947509773</v>
      </c>
      <c r="C1192" s="39">
        <v>41.594364203971352</v>
      </c>
      <c r="D1192" s="39">
        <v>40.937611224811363</v>
      </c>
      <c r="E1192" s="39">
        <v>41.216232550536553</v>
      </c>
      <c r="F1192" s="39">
        <v>881100</v>
      </c>
    </row>
    <row r="1193" spans="1:6">
      <c r="A1193" s="41">
        <v>45560</v>
      </c>
      <c r="B1193" s="39">
        <v>40.380367279052727</v>
      </c>
      <c r="C1193" s="39">
        <v>41.166477965141787</v>
      </c>
      <c r="D1193" s="39">
        <v>40.32066108434072</v>
      </c>
      <c r="E1193" s="39">
        <v>41.106775566360518</v>
      </c>
      <c r="F1193" s="39">
        <v>638400</v>
      </c>
    </row>
    <row r="1194" spans="1:6">
      <c r="A1194" s="41">
        <v>45561</v>
      </c>
      <c r="B1194" s="39">
        <v>41.733673095703118</v>
      </c>
      <c r="C1194" s="39">
        <v>42.390426046991237</v>
      </c>
      <c r="D1194" s="39">
        <v>41.196332532598809</v>
      </c>
      <c r="E1194" s="39">
        <v>41.71377103100582</v>
      </c>
      <c r="F1194" s="39">
        <v>937100</v>
      </c>
    </row>
    <row r="1195" spans="1:6">
      <c r="A1195" s="41">
        <v>45562</v>
      </c>
      <c r="B1195" s="39">
        <v>42.788459777832031</v>
      </c>
      <c r="C1195" s="39">
        <v>43.504918923693559</v>
      </c>
      <c r="D1195" s="39">
        <v>42.688953250209359</v>
      </c>
      <c r="E1195" s="39">
        <v>42.788459777832031</v>
      </c>
      <c r="F1195" s="39">
        <v>1025900</v>
      </c>
    </row>
    <row r="1196" spans="1:6">
      <c r="A1196" s="41">
        <v>45565</v>
      </c>
      <c r="B1196" s="39">
        <v>42.897918701171882</v>
      </c>
      <c r="C1196" s="39">
        <v>43.58452284344542</v>
      </c>
      <c r="D1196" s="39">
        <v>42.698901852476013</v>
      </c>
      <c r="E1196" s="39">
        <v>43.176540011787687</v>
      </c>
      <c r="F1196" s="39">
        <v>569200</v>
      </c>
    </row>
    <row r="1197" spans="1:6">
      <c r="A1197" s="41">
        <v>45566</v>
      </c>
      <c r="B1197" s="39">
        <v>42.4600830078125</v>
      </c>
      <c r="C1197" s="39">
        <v>42.957623256580483</v>
      </c>
      <c r="D1197" s="39">
        <v>41.773478831047797</v>
      </c>
      <c r="E1197" s="39">
        <v>42.957623256580483</v>
      </c>
      <c r="F1197" s="39">
        <v>630200</v>
      </c>
    </row>
    <row r="1198" spans="1:6">
      <c r="A1198" s="41">
        <v>45567</v>
      </c>
      <c r="B1198" s="39">
        <v>42.241165161132812</v>
      </c>
      <c r="C1198" s="39">
        <v>42.698901249518073</v>
      </c>
      <c r="D1198" s="39">
        <v>41.793378206873051</v>
      </c>
      <c r="E1198" s="39">
        <v>42.619296788722231</v>
      </c>
      <c r="F1198" s="39">
        <v>587600</v>
      </c>
    </row>
    <row r="1199" spans="1:6">
      <c r="A1199" s="41">
        <v>45568</v>
      </c>
      <c r="B1199" s="39">
        <v>41.435150146484382</v>
      </c>
      <c r="C1199" s="39">
        <v>41.843132987180077</v>
      </c>
      <c r="D1199" s="39">
        <v>41.246086223796858</v>
      </c>
      <c r="E1199" s="39">
        <v>41.355545682800958</v>
      </c>
      <c r="F1199" s="39">
        <v>586200</v>
      </c>
    </row>
    <row r="1200" spans="1:6">
      <c r="A1200" s="41">
        <v>45569</v>
      </c>
      <c r="B1200" s="39">
        <v>41.922740936279297</v>
      </c>
      <c r="C1200" s="39">
        <v>42.340672908365853</v>
      </c>
      <c r="D1200" s="39">
        <v>41.614264626455373</v>
      </c>
      <c r="E1200" s="39">
        <v>42.131706922322572</v>
      </c>
      <c r="F1200" s="39">
        <v>703500</v>
      </c>
    </row>
    <row r="1201" spans="1:6">
      <c r="A1201" s="41">
        <v>45572</v>
      </c>
      <c r="B1201" s="39">
        <v>42.679000854492188</v>
      </c>
      <c r="C1201" s="39">
        <v>43.206392290173817</v>
      </c>
      <c r="D1201" s="39">
        <v>42.111805288890608</v>
      </c>
      <c r="E1201" s="39">
        <v>42.22126474820508</v>
      </c>
      <c r="F1201" s="39">
        <v>715900</v>
      </c>
    </row>
    <row r="1202" spans="1:6">
      <c r="A1202" s="41">
        <v>45573</v>
      </c>
      <c r="B1202" s="39">
        <v>40.340564727783203</v>
      </c>
      <c r="C1202" s="39">
        <v>41.136628375439841</v>
      </c>
      <c r="D1202" s="39">
        <v>40.101743735520763</v>
      </c>
      <c r="E1202" s="39">
        <v>41.047070977832789</v>
      </c>
      <c r="F1202" s="39">
        <v>987500</v>
      </c>
    </row>
    <row r="1203" spans="1:6">
      <c r="A1203" s="41">
        <v>45574</v>
      </c>
      <c r="B1203" s="39">
        <v>39.852973937988281</v>
      </c>
      <c r="C1203" s="39">
        <v>40.231105597226623</v>
      </c>
      <c r="D1203" s="39">
        <v>39.325582478790977</v>
      </c>
      <c r="E1203" s="39">
        <v>39.803220671335303</v>
      </c>
      <c r="F1203" s="39">
        <v>675100</v>
      </c>
    </row>
    <row r="1204" spans="1:6">
      <c r="A1204" s="41">
        <v>45575</v>
      </c>
      <c r="B1204" s="39">
        <v>38.380252838134773</v>
      </c>
      <c r="C1204" s="39">
        <v>39.494741884655198</v>
      </c>
      <c r="D1204" s="39">
        <v>38.290695445365131</v>
      </c>
      <c r="E1204" s="39">
        <v>39.245971770954078</v>
      </c>
      <c r="F1204" s="39">
        <v>1100600</v>
      </c>
    </row>
    <row r="1205" spans="1:6">
      <c r="A1205" s="41">
        <v>45576</v>
      </c>
      <c r="B1205" s="39">
        <v>39.126564025878913</v>
      </c>
      <c r="C1205" s="39">
        <v>39.335530014886203</v>
      </c>
      <c r="D1205" s="39">
        <v>38.121534414988517</v>
      </c>
      <c r="E1205" s="39">
        <v>38.121534414988517</v>
      </c>
      <c r="F1205" s="39">
        <v>894500</v>
      </c>
    </row>
    <row r="1206" spans="1:6">
      <c r="A1206" s="41">
        <v>45579</v>
      </c>
      <c r="B1206" s="39">
        <v>38.688728332519531</v>
      </c>
      <c r="C1206" s="39">
        <v>39.136515286956332</v>
      </c>
      <c r="D1206" s="39">
        <v>38.400154095667958</v>
      </c>
      <c r="E1206" s="39">
        <v>38.847941050104772</v>
      </c>
      <c r="F1206" s="39">
        <v>371800</v>
      </c>
    </row>
    <row r="1207" spans="1:6">
      <c r="A1207" s="41">
        <v>45580</v>
      </c>
      <c r="B1207" s="39">
        <v>37.325466156005859</v>
      </c>
      <c r="C1207" s="39">
        <v>38.161333889128628</v>
      </c>
      <c r="D1207" s="39">
        <v>37.166253435217257</v>
      </c>
      <c r="E1207" s="39">
        <v>38.141435620469409</v>
      </c>
      <c r="F1207" s="39">
        <v>1012400</v>
      </c>
    </row>
    <row r="1208" spans="1:6">
      <c r="A1208" s="41">
        <v>45581</v>
      </c>
      <c r="B1208" s="39">
        <v>37.564289093017578</v>
      </c>
      <c r="C1208" s="39">
        <v>37.663795625222747</v>
      </c>
      <c r="D1208" s="39">
        <v>37.295616900946541</v>
      </c>
      <c r="E1208" s="39">
        <v>37.424978429557967</v>
      </c>
      <c r="F1208" s="39">
        <v>485900</v>
      </c>
    </row>
    <row r="1209" spans="1:6">
      <c r="A1209" s="41">
        <v>45582</v>
      </c>
      <c r="B1209" s="39">
        <v>36.837879180908203</v>
      </c>
      <c r="C1209" s="39">
        <v>37.614040727037207</v>
      </c>
      <c r="D1209" s="39">
        <v>36.817977116144547</v>
      </c>
      <c r="E1209" s="39">
        <v>37.614040727037207</v>
      </c>
      <c r="F1209" s="39">
        <v>760400</v>
      </c>
    </row>
    <row r="1210" spans="1:6">
      <c r="A1210" s="41">
        <v>45583</v>
      </c>
      <c r="B1210" s="39">
        <v>37.156303405761719</v>
      </c>
      <c r="C1210" s="39">
        <v>37.46477970557784</v>
      </c>
      <c r="D1210" s="39">
        <v>37.036894817029598</v>
      </c>
      <c r="E1210" s="39">
        <v>37.454826775557308</v>
      </c>
      <c r="F1210" s="39">
        <v>921000</v>
      </c>
    </row>
    <row r="1211" spans="1:6">
      <c r="A1211" s="41">
        <v>45586</v>
      </c>
      <c r="B1211" s="39">
        <v>36.718471527099609</v>
      </c>
      <c r="C1211" s="39">
        <v>37.365271566768023</v>
      </c>
      <c r="D1211" s="39">
        <v>36.45974847448759</v>
      </c>
      <c r="E1211" s="39">
        <v>37.056799044870907</v>
      </c>
      <c r="F1211" s="39">
        <v>900200</v>
      </c>
    </row>
    <row r="1212" spans="1:6">
      <c r="A1212" s="41">
        <v>45587</v>
      </c>
      <c r="B1212" s="39">
        <v>37.096599578857422</v>
      </c>
      <c r="C1212" s="39">
        <v>37.325467636825273</v>
      </c>
      <c r="D1212" s="39">
        <v>36.75827205926781</v>
      </c>
      <c r="E1212" s="39">
        <v>36.917484786372867</v>
      </c>
      <c r="F1212" s="39">
        <v>771400</v>
      </c>
    </row>
    <row r="1213" spans="1:6">
      <c r="A1213" s="41">
        <v>45588</v>
      </c>
      <c r="B1213" s="39">
        <v>36.857780456542969</v>
      </c>
      <c r="C1213" s="39">
        <v>37.653844050391818</v>
      </c>
      <c r="D1213" s="39">
        <v>36.678665673435653</v>
      </c>
      <c r="E1213" s="39">
        <v>37.106550566866403</v>
      </c>
      <c r="F1213" s="39">
        <v>1268700</v>
      </c>
    </row>
    <row r="1214" spans="1:6">
      <c r="A1214" s="41">
        <v>45589</v>
      </c>
      <c r="B1214" s="39">
        <v>37.026943206787109</v>
      </c>
      <c r="C1214" s="39">
        <v>37.166253864595227</v>
      </c>
      <c r="D1214" s="39">
        <v>36.628913298182567</v>
      </c>
      <c r="E1214" s="39">
        <v>36.837879284894761</v>
      </c>
      <c r="F1214" s="39">
        <v>488300</v>
      </c>
    </row>
    <row r="1215" spans="1:6">
      <c r="A1215" s="41">
        <v>45590</v>
      </c>
      <c r="B1215" s="39">
        <v>38.758384704589837</v>
      </c>
      <c r="C1215" s="39">
        <v>39.18626960637787</v>
      </c>
      <c r="D1215" s="39">
        <v>38.031976423769187</v>
      </c>
      <c r="E1215" s="39">
        <v>38.031976423769187</v>
      </c>
      <c r="F1215" s="39">
        <v>1862200</v>
      </c>
    </row>
    <row r="1216" spans="1:6">
      <c r="A1216" s="41">
        <v>45593</v>
      </c>
      <c r="B1216" s="39">
        <v>39.683811187744141</v>
      </c>
      <c r="C1216" s="39">
        <v>39.97238164627241</v>
      </c>
      <c r="D1216" s="39">
        <v>38.907645820718557</v>
      </c>
      <c r="E1216" s="39">
        <v>39.007156147737653</v>
      </c>
      <c r="F1216" s="39">
        <v>1556900</v>
      </c>
    </row>
    <row r="1217" spans="1:6">
      <c r="A1217" s="41">
        <v>45594</v>
      </c>
      <c r="B1217" s="39">
        <v>38.260845184326172</v>
      </c>
      <c r="C1217" s="39">
        <v>38.997202613211009</v>
      </c>
      <c r="D1217" s="39">
        <v>38.111581594074252</v>
      </c>
      <c r="E1217" s="39">
        <v>38.90764521824601</v>
      </c>
      <c r="F1217" s="39">
        <v>1370300</v>
      </c>
    </row>
    <row r="1218" spans="1:6">
      <c r="A1218" s="41">
        <v>45595</v>
      </c>
      <c r="B1218" s="39">
        <v>38.688728332519531</v>
      </c>
      <c r="C1218" s="39">
        <v>39.086758228517333</v>
      </c>
      <c r="D1218" s="39">
        <v>37.852860616214357</v>
      </c>
      <c r="E1218" s="39">
        <v>38.071775730437437</v>
      </c>
      <c r="F1218" s="39">
        <v>1376100</v>
      </c>
    </row>
    <row r="1219" spans="1:6">
      <c r="A1219" s="41">
        <v>45596</v>
      </c>
      <c r="B1219" s="39">
        <v>39.634056091308587</v>
      </c>
      <c r="C1219" s="39">
        <v>39.793268811253483</v>
      </c>
      <c r="D1219" s="39">
        <v>39.007154345805901</v>
      </c>
      <c r="E1219" s="39">
        <v>39.166367065750798</v>
      </c>
      <c r="F1219" s="39">
        <v>707000</v>
      </c>
    </row>
    <row r="1220" spans="1:6">
      <c r="A1220" s="41">
        <v>45597</v>
      </c>
      <c r="B1220" s="39">
        <v>39.594253540039062</v>
      </c>
      <c r="C1220" s="39">
        <v>40.121644984134321</v>
      </c>
      <c r="D1220" s="39">
        <v>39.335530487362689</v>
      </c>
      <c r="E1220" s="39">
        <v>39.634057670594011</v>
      </c>
      <c r="F1220" s="39">
        <v>954400</v>
      </c>
    </row>
    <row r="1221" spans="1:6">
      <c r="A1221" s="41">
        <v>45600</v>
      </c>
      <c r="B1221" s="39">
        <v>40.877906799316413</v>
      </c>
      <c r="C1221" s="39">
        <v>41.504804751146033</v>
      </c>
      <c r="D1221" s="39">
        <v>40.20125178813116</v>
      </c>
      <c r="E1221" s="39">
        <v>40.20125178813116</v>
      </c>
      <c r="F1221" s="39">
        <v>3056000</v>
      </c>
    </row>
    <row r="1222" spans="1:6">
      <c r="A1222" s="41">
        <v>45601</v>
      </c>
      <c r="B1222" s="39">
        <v>41.584415435791023</v>
      </c>
      <c r="C1222" s="39">
        <v>41.673972833553812</v>
      </c>
      <c r="D1222" s="39">
        <v>40.380368929370817</v>
      </c>
      <c r="E1222" s="39">
        <v>40.589334925507032</v>
      </c>
      <c r="F1222" s="39">
        <v>1515500</v>
      </c>
    </row>
    <row r="1223" spans="1:6">
      <c r="A1223" s="41">
        <v>45602</v>
      </c>
      <c r="B1223" s="39">
        <v>37.066745758056641</v>
      </c>
      <c r="C1223" s="39">
        <v>37.61403923153982</v>
      </c>
      <c r="D1223" s="39">
        <v>36.121418596987198</v>
      </c>
      <c r="E1223" s="39">
        <v>37.325464997836313</v>
      </c>
      <c r="F1223" s="39">
        <v>5905300</v>
      </c>
    </row>
    <row r="1224" spans="1:6">
      <c r="A1224" s="41">
        <v>45603</v>
      </c>
      <c r="B1224" s="39">
        <v>37.395126342773438</v>
      </c>
      <c r="C1224" s="39">
        <v>37.584190267854588</v>
      </c>
      <c r="D1224" s="39">
        <v>36.887633171134937</v>
      </c>
      <c r="E1224" s="39">
        <v>37.036896761835862</v>
      </c>
      <c r="F1224" s="39">
        <v>1510200</v>
      </c>
    </row>
    <row r="1225" spans="1:6">
      <c r="A1225" s="41">
        <v>45604</v>
      </c>
      <c r="B1225" s="39">
        <v>35.862701416015618</v>
      </c>
      <c r="C1225" s="39">
        <v>36.857781896176341</v>
      </c>
      <c r="D1225" s="39">
        <v>35.564178031153567</v>
      </c>
      <c r="E1225" s="39">
        <v>36.718471236302769</v>
      </c>
      <c r="F1225" s="39">
        <v>2176500</v>
      </c>
    </row>
    <row r="1226" spans="1:6">
      <c r="A1226" s="41">
        <v>45607</v>
      </c>
      <c r="B1226" s="39">
        <v>35.962207794189453</v>
      </c>
      <c r="C1226" s="39">
        <v>36.071667253895022</v>
      </c>
      <c r="D1226" s="39">
        <v>35.494518755785933</v>
      </c>
      <c r="E1226" s="39">
        <v>35.852748334483877</v>
      </c>
      <c r="F1226" s="39">
        <v>1375900</v>
      </c>
    </row>
    <row r="1227" spans="1:6">
      <c r="A1227" s="41">
        <v>45608</v>
      </c>
      <c r="B1227" s="39">
        <v>34.5491943359375</v>
      </c>
      <c r="C1227" s="39">
        <v>35.414913262001988</v>
      </c>
      <c r="D1227" s="39">
        <v>34.250667165080877</v>
      </c>
      <c r="E1227" s="39">
        <v>35.335305004192037</v>
      </c>
      <c r="F1227" s="39">
        <v>2060800</v>
      </c>
    </row>
    <row r="1228" spans="1:6">
      <c r="A1228" s="41">
        <v>45609</v>
      </c>
      <c r="B1228" s="39">
        <v>34.668601989746087</v>
      </c>
      <c r="C1228" s="39">
        <v>35.116388937998202</v>
      </c>
      <c r="D1228" s="39">
        <v>34.310372431144422</v>
      </c>
      <c r="E1228" s="39">
        <v>34.708406117575286</v>
      </c>
      <c r="F1228" s="39">
        <v>1205900</v>
      </c>
    </row>
    <row r="1229" spans="1:6">
      <c r="A1229" s="41">
        <v>45610</v>
      </c>
      <c r="B1229" s="39">
        <v>35.395011901855469</v>
      </c>
      <c r="C1229" s="39">
        <v>35.892552135275913</v>
      </c>
      <c r="D1229" s="39">
        <v>34.131259253455873</v>
      </c>
      <c r="E1229" s="39">
        <v>34.330276106010203</v>
      </c>
      <c r="F1229" s="39">
        <v>2179200</v>
      </c>
    </row>
    <row r="1230" spans="1:6">
      <c r="A1230" s="41">
        <v>45611</v>
      </c>
      <c r="B1230" s="39">
        <v>34.141212463378913</v>
      </c>
      <c r="C1230" s="39">
        <v>35.703488505435857</v>
      </c>
      <c r="D1230" s="39">
        <v>34.11135746789634</v>
      </c>
      <c r="E1230" s="39">
        <v>35.225850332953243</v>
      </c>
      <c r="F1230" s="39">
        <v>1692900</v>
      </c>
    </row>
    <row r="1231" spans="1:6">
      <c r="A1231" s="41">
        <v>45614</v>
      </c>
      <c r="B1231" s="39">
        <v>34.350177764892578</v>
      </c>
      <c r="C1231" s="39">
        <v>34.608897013004018</v>
      </c>
      <c r="D1231" s="39">
        <v>33.72327601533123</v>
      </c>
      <c r="E1231" s="39">
        <v>33.99194819371467</v>
      </c>
      <c r="F1231" s="39">
        <v>1140500</v>
      </c>
    </row>
    <row r="1232" spans="1:6">
      <c r="A1232" s="41">
        <v>45615</v>
      </c>
      <c r="B1232" s="39">
        <v>33.842685699462891</v>
      </c>
      <c r="C1232" s="39">
        <v>34.320327673738007</v>
      </c>
      <c r="D1232" s="39">
        <v>33.802885364882307</v>
      </c>
      <c r="E1232" s="39">
        <v>34.021800490833357</v>
      </c>
      <c r="F1232" s="39">
        <v>609000</v>
      </c>
    </row>
    <row r="1233" spans="1:6">
      <c r="A1233" s="41">
        <v>45616</v>
      </c>
      <c r="B1233" s="39">
        <v>34.479537963867188</v>
      </c>
      <c r="C1233" s="39">
        <v>34.509389161676332</v>
      </c>
      <c r="D1233" s="39">
        <v>33.623768197986543</v>
      </c>
      <c r="E1233" s="39">
        <v>33.663572325685763</v>
      </c>
      <c r="F1233" s="39">
        <v>954700</v>
      </c>
    </row>
    <row r="1234" spans="1:6">
      <c r="A1234" s="41">
        <v>45617</v>
      </c>
      <c r="B1234" s="39">
        <v>34.161113739013672</v>
      </c>
      <c r="C1234" s="39">
        <v>34.63875190045929</v>
      </c>
      <c r="D1234" s="39">
        <v>34.061603416255828</v>
      </c>
      <c r="E1234" s="39">
        <v>34.141211674462113</v>
      </c>
      <c r="F1234" s="39">
        <v>858500</v>
      </c>
    </row>
    <row r="1235" spans="1:6">
      <c r="A1235" s="41">
        <v>45618</v>
      </c>
      <c r="B1235" s="39">
        <v>34.469585418701172</v>
      </c>
      <c r="C1235" s="39">
        <v>34.559142809058727</v>
      </c>
      <c r="D1235" s="39">
        <v>33.693423899556031</v>
      </c>
      <c r="E1235" s="39">
        <v>33.693423899556031</v>
      </c>
      <c r="F1235" s="39">
        <v>1156400</v>
      </c>
    </row>
    <row r="1236" spans="1:6">
      <c r="A1236" s="41">
        <v>45621</v>
      </c>
      <c r="B1236" s="39">
        <v>35.872650146484382</v>
      </c>
      <c r="C1236" s="39">
        <v>36.181126458394139</v>
      </c>
      <c r="D1236" s="39">
        <v>35.066637396030032</v>
      </c>
      <c r="E1236" s="39">
        <v>35.066637396030032</v>
      </c>
      <c r="F1236" s="39">
        <v>1395600</v>
      </c>
    </row>
    <row r="1237" spans="1:6">
      <c r="A1237" s="41">
        <v>45622</v>
      </c>
      <c r="B1237" s="39">
        <v>35.793045043945312</v>
      </c>
      <c r="C1237" s="39">
        <v>36.002011027671522</v>
      </c>
      <c r="D1237" s="39">
        <v>35.285551888118043</v>
      </c>
      <c r="E1237" s="39">
        <v>35.942304834065169</v>
      </c>
      <c r="F1237" s="39">
        <v>2937700</v>
      </c>
    </row>
    <row r="1238" spans="1:6">
      <c r="A1238" s="41">
        <v>45623</v>
      </c>
      <c r="B1238" s="39">
        <v>36.360240936279297</v>
      </c>
      <c r="C1238" s="39">
        <v>36.668713449626637</v>
      </c>
      <c r="D1238" s="39">
        <v>35.972160164048297</v>
      </c>
      <c r="E1238" s="39">
        <v>35.972160164048297</v>
      </c>
      <c r="F1238" s="39">
        <v>557100</v>
      </c>
    </row>
    <row r="1239" spans="1:6">
      <c r="A1239" s="41">
        <v>45625</v>
      </c>
      <c r="B1239" s="39">
        <v>36.648815155029297</v>
      </c>
      <c r="C1239" s="39">
        <v>37.106551255495802</v>
      </c>
      <c r="D1239" s="39">
        <v>36.609011025615509</v>
      </c>
      <c r="E1239" s="39">
        <v>36.609011025615509</v>
      </c>
      <c r="F1239" s="39">
        <v>572800</v>
      </c>
    </row>
    <row r="1240" spans="1:6">
      <c r="A1240" s="41">
        <v>45628</v>
      </c>
      <c r="B1240" s="39">
        <v>37.285667419433587</v>
      </c>
      <c r="C1240" s="39">
        <v>37.484680481993607</v>
      </c>
      <c r="D1240" s="39">
        <v>36.618961512878798</v>
      </c>
      <c r="E1240" s="39">
        <v>36.618961512878798</v>
      </c>
      <c r="F1240" s="39">
        <v>1125500</v>
      </c>
    </row>
    <row r="1241" spans="1:6">
      <c r="A1241" s="41">
        <v>45629</v>
      </c>
      <c r="B1241" s="39">
        <v>36.688617706298828</v>
      </c>
      <c r="C1241" s="39">
        <v>37.146357630365912</v>
      </c>
      <c r="D1241" s="39">
        <v>36.599060307669497</v>
      </c>
      <c r="E1241" s="39">
        <v>37.007043168996233</v>
      </c>
      <c r="F1241" s="39">
        <v>529400</v>
      </c>
    </row>
    <row r="1242" spans="1:6">
      <c r="A1242" s="41">
        <v>45630</v>
      </c>
      <c r="B1242" s="39">
        <v>35.842800140380859</v>
      </c>
      <c r="C1242" s="39">
        <v>36.59905965175097</v>
      </c>
      <c r="D1242" s="39">
        <v>35.713438612250009</v>
      </c>
      <c r="E1242" s="39">
        <v>36.509502254726669</v>
      </c>
      <c r="F1242" s="39">
        <v>1065800</v>
      </c>
    </row>
    <row r="1243" spans="1:6">
      <c r="A1243" s="41">
        <v>45631</v>
      </c>
      <c r="B1243" s="39">
        <v>35.255702972412109</v>
      </c>
      <c r="C1243" s="39">
        <v>36.10151989232444</v>
      </c>
      <c r="D1243" s="39">
        <v>35.146243508343957</v>
      </c>
      <c r="E1243" s="39">
        <v>35.822898562646202</v>
      </c>
      <c r="F1243" s="39">
        <v>799300</v>
      </c>
    </row>
    <row r="1244" spans="1:6">
      <c r="A1244" s="41">
        <v>45632</v>
      </c>
      <c r="B1244" s="39">
        <v>35.146240234375</v>
      </c>
      <c r="C1244" s="39">
        <v>35.693533707802906</v>
      </c>
      <c r="D1244" s="39">
        <v>34.94722339060197</v>
      </c>
      <c r="E1244" s="39">
        <v>35.693533707802906</v>
      </c>
      <c r="F1244" s="39">
        <v>641000</v>
      </c>
    </row>
    <row r="1245" spans="1:6">
      <c r="A1245" s="41">
        <v>45635</v>
      </c>
      <c r="B1245" s="39">
        <v>36.609012603759773</v>
      </c>
      <c r="C1245" s="39">
        <v>37.474731578210367</v>
      </c>
      <c r="D1245" s="39">
        <v>35.613932101103167</v>
      </c>
      <c r="E1245" s="39">
        <v>35.613932101103167</v>
      </c>
      <c r="F1245" s="39">
        <v>1512100</v>
      </c>
    </row>
    <row r="1246" spans="1:6">
      <c r="A1246" s="41">
        <v>45636</v>
      </c>
      <c r="B1246" s="39">
        <v>35.613929748535163</v>
      </c>
      <c r="C1246" s="39">
        <v>35.922402254586011</v>
      </c>
      <c r="D1246" s="39">
        <v>35.3353046449636</v>
      </c>
      <c r="E1246" s="39">
        <v>35.922402254586011</v>
      </c>
      <c r="F1246" s="39">
        <v>850800</v>
      </c>
    </row>
    <row r="1247" spans="1:6">
      <c r="A1247" s="41">
        <v>45637</v>
      </c>
      <c r="B1247" s="39">
        <v>35.375110626220703</v>
      </c>
      <c r="C1247" s="39">
        <v>35.852748805448677</v>
      </c>
      <c r="D1247" s="39">
        <v>34.907425377604397</v>
      </c>
      <c r="E1247" s="39">
        <v>35.81294847079446</v>
      </c>
      <c r="F1247" s="39">
        <v>807900</v>
      </c>
    </row>
    <row r="1248" spans="1:6">
      <c r="A1248" s="41">
        <v>45638</v>
      </c>
      <c r="B1248" s="39">
        <v>34.708408355712891</v>
      </c>
      <c r="C1248" s="39">
        <v>35.365161323522521</v>
      </c>
      <c r="D1248" s="39">
        <v>34.68850629051493</v>
      </c>
      <c r="E1248" s="39">
        <v>35.136293267642131</v>
      </c>
      <c r="F1248" s="39">
        <v>567500</v>
      </c>
    </row>
    <row r="1249" spans="1:6">
      <c r="A1249" s="41">
        <v>45639</v>
      </c>
      <c r="B1249" s="39">
        <v>34.897472381591797</v>
      </c>
      <c r="C1249" s="39">
        <v>34.897472381591797</v>
      </c>
      <c r="D1249" s="39">
        <v>34.449685403176382</v>
      </c>
      <c r="E1249" s="39">
        <v>34.638753125135572</v>
      </c>
      <c r="F1249" s="39">
        <v>693300</v>
      </c>
    </row>
    <row r="1250" spans="1:6">
      <c r="A1250" s="41">
        <v>45642</v>
      </c>
      <c r="B1250" s="39">
        <v>33.991947174072273</v>
      </c>
      <c r="C1250" s="39">
        <v>34.648700102887858</v>
      </c>
      <c r="D1250" s="39">
        <v>33.812832393856141</v>
      </c>
      <c r="E1250" s="39">
        <v>34.579044776796103</v>
      </c>
      <c r="F1250" s="39">
        <v>901600</v>
      </c>
    </row>
    <row r="1251" spans="1:6">
      <c r="A1251" s="41">
        <v>45643</v>
      </c>
      <c r="B1251" s="39">
        <v>34.459636688232422</v>
      </c>
      <c r="C1251" s="39">
        <v>34.897470715147108</v>
      </c>
      <c r="D1251" s="39">
        <v>33.932241473980618</v>
      </c>
      <c r="E1251" s="39">
        <v>33.932241473980618</v>
      </c>
      <c r="F1251" s="39">
        <v>1122800</v>
      </c>
    </row>
    <row r="1252" spans="1:6">
      <c r="A1252" s="41">
        <v>45644</v>
      </c>
      <c r="B1252" s="39">
        <v>33.365047454833977</v>
      </c>
      <c r="C1252" s="39">
        <v>35.066637969472957</v>
      </c>
      <c r="D1252" s="39">
        <v>33.195885594392827</v>
      </c>
      <c r="E1252" s="39">
        <v>34.429783270348281</v>
      </c>
      <c r="F1252" s="39">
        <v>944100</v>
      </c>
    </row>
    <row r="1253" spans="1:6">
      <c r="A1253" s="41">
        <v>45645</v>
      </c>
      <c r="B1253" s="39">
        <v>32.399822235107422</v>
      </c>
      <c r="C1253" s="39">
        <v>33.335196532468451</v>
      </c>
      <c r="D1253" s="39">
        <v>32.379920169725587</v>
      </c>
      <c r="E1253" s="39">
        <v>33.325247397742963</v>
      </c>
      <c r="F1253" s="39">
        <v>1413300</v>
      </c>
    </row>
    <row r="1254" spans="1:6">
      <c r="A1254" s="41">
        <v>45646</v>
      </c>
      <c r="B1254" s="39">
        <v>33.375</v>
      </c>
      <c r="C1254" s="39">
        <v>33.643672183419383</v>
      </c>
      <c r="D1254" s="39">
        <v>31.99183874886122</v>
      </c>
      <c r="E1254" s="39">
        <v>32.091345277862132</v>
      </c>
      <c r="F1254" s="39">
        <v>1157300</v>
      </c>
    </row>
    <row r="1255" spans="1:6">
      <c r="A1255" s="41">
        <v>45649</v>
      </c>
      <c r="B1255" s="39">
        <v>34.060001373291023</v>
      </c>
      <c r="C1255" s="39">
        <v>34.069999694824219</v>
      </c>
      <c r="D1255" s="39">
        <v>33.240001678466797</v>
      </c>
      <c r="E1255" s="39">
        <v>33.279998779296882</v>
      </c>
      <c r="F1255" s="39">
        <v>868800</v>
      </c>
    </row>
    <row r="1256" spans="1:6">
      <c r="A1256" s="41">
        <v>45650</v>
      </c>
      <c r="B1256" s="39">
        <v>34.430000305175781</v>
      </c>
      <c r="C1256" s="39">
        <v>34.669998168945312</v>
      </c>
      <c r="D1256" s="39">
        <v>34.029998779296882</v>
      </c>
      <c r="E1256" s="39">
        <v>34.200000762939453</v>
      </c>
      <c r="F1256" s="39">
        <v>695000</v>
      </c>
    </row>
    <row r="1257" spans="1:6">
      <c r="A1257" s="41">
        <v>45652</v>
      </c>
      <c r="B1257" s="39">
        <v>34.389999389648438</v>
      </c>
      <c r="C1257" s="39">
        <v>34.669998168945312</v>
      </c>
      <c r="D1257" s="39">
        <v>34.040000915527337</v>
      </c>
      <c r="E1257" s="39">
        <v>34.049999237060547</v>
      </c>
      <c r="F1257" s="39">
        <v>430300</v>
      </c>
    </row>
    <row r="1258" spans="1:6">
      <c r="A1258" s="41">
        <v>45653</v>
      </c>
      <c r="B1258" s="39">
        <v>33.950000762939453</v>
      </c>
      <c r="C1258" s="39">
        <v>34.25</v>
      </c>
      <c r="D1258" s="39">
        <v>33.650001525878913</v>
      </c>
      <c r="E1258" s="39">
        <v>34.020000457763672</v>
      </c>
      <c r="F1258" s="39">
        <v>722300</v>
      </c>
    </row>
    <row r="1259" spans="1:6">
      <c r="A1259" s="41">
        <v>45656</v>
      </c>
      <c r="B1259" s="39">
        <v>33.619998931884773</v>
      </c>
      <c r="C1259" s="39">
        <v>33.720001220703118</v>
      </c>
      <c r="D1259" s="39">
        <v>33.119998931884773</v>
      </c>
      <c r="E1259" s="39">
        <v>33.400001525878913</v>
      </c>
      <c r="F1259" s="39">
        <v>772100</v>
      </c>
    </row>
    <row r="1260" spans="1:6">
      <c r="A1260" s="41">
        <v>45657</v>
      </c>
      <c r="B1260" s="39">
        <v>33.119998931884773</v>
      </c>
      <c r="C1260" s="39">
        <v>33.979999542236328</v>
      </c>
      <c r="D1260" s="39">
        <v>33.110000610351562</v>
      </c>
      <c r="E1260" s="39">
        <v>33.520000457763672</v>
      </c>
      <c r="F1260" s="39">
        <v>649400</v>
      </c>
    </row>
    <row r="1261" spans="1:6">
      <c r="A1261" s="41">
        <v>45659</v>
      </c>
      <c r="B1261" s="39">
        <v>34.729999542236328</v>
      </c>
      <c r="C1261" s="39">
        <v>35.020000457763672</v>
      </c>
      <c r="D1261" s="39">
        <v>33.599998474121087</v>
      </c>
      <c r="E1261" s="39">
        <v>33.599998474121087</v>
      </c>
      <c r="F1261" s="39">
        <v>1176700</v>
      </c>
    </row>
    <row r="1262" spans="1:6">
      <c r="A1262" s="41">
        <v>45660</v>
      </c>
      <c r="B1262" s="39">
        <v>35.150001525878913</v>
      </c>
      <c r="C1262" s="39">
        <v>35.270000457763672</v>
      </c>
      <c r="D1262" s="39">
        <v>34.799999237060547</v>
      </c>
      <c r="E1262" s="39">
        <v>35</v>
      </c>
      <c r="F1262" s="39">
        <v>839000</v>
      </c>
    </row>
    <row r="1263" spans="1:6">
      <c r="A1263" s="41">
        <v>45663</v>
      </c>
      <c r="B1263" s="39">
        <v>35.549999237060547</v>
      </c>
      <c r="C1263" s="39">
        <v>36.639999389648438</v>
      </c>
      <c r="D1263" s="39">
        <v>35.509998321533203</v>
      </c>
      <c r="E1263" s="39">
        <v>35.840000152587891</v>
      </c>
      <c r="F1263" s="39">
        <v>977000</v>
      </c>
    </row>
    <row r="1264" spans="1:6">
      <c r="A1264" s="41">
        <v>45664</v>
      </c>
      <c r="B1264" s="39">
        <v>36.599998474121087</v>
      </c>
      <c r="C1264" s="39">
        <v>37.119998931884773</v>
      </c>
      <c r="D1264" s="39">
        <v>35.729999542236328</v>
      </c>
      <c r="E1264" s="39">
        <v>35.729999542236328</v>
      </c>
      <c r="F1264" s="39">
        <v>3811200</v>
      </c>
    </row>
    <row r="1265" spans="1:6">
      <c r="A1265" s="41">
        <v>45665</v>
      </c>
      <c r="B1265" s="39">
        <v>35.299999237060547</v>
      </c>
      <c r="C1265" s="39">
        <v>35.959999084472663</v>
      </c>
      <c r="D1265" s="39">
        <v>35.130001068115227</v>
      </c>
      <c r="E1265" s="39">
        <v>35.939998626708977</v>
      </c>
      <c r="F1265" s="39">
        <v>1419700</v>
      </c>
    </row>
    <row r="1266" spans="1:6">
      <c r="A1266" s="41">
        <v>45667</v>
      </c>
      <c r="B1266" s="39">
        <v>34.139999389648438</v>
      </c>
      <c r="C1266" s="39">
        <v>34.799999237060547</v>
      </c>
      <c r="D1266" s="39">
        <v>33.970001220703118</v>
      </c>
      <c r="E1266" s="39">
        <v>34.599998474121087</v>
      </c>
      <c r="F1266" s="39">
        <v>812400</v>
      </c>
    </row>
    <row r="1267" spans="1:6">
      <c r="A1267" s="41">
        <v>45670</v>
      </c>
      <c r="B1267" s="39">
        <v>33.720001220703118</v>
      </c>
      <c r="C1267" s="39">
        <v>33.840000152587891</v>
      </c>
      <c r="D1267" s="39">
        <v>32.919998168945312</v>
      </c>
      <c r="E1267" s="39">
        <v>33.840000152587891</v>
      </c>
      <c r="F1267" s="39">
        <v>884400</v>
      </c>
    </row>
    <row r="1268" spans="1:6">
      <c r="A1268" s="41">
        <v>45671</v>
      </c>
      <c r="B1268" s="39">
        <v>33.939998626708977</v>
      </c>
      <c r="C1268" s="39">
        <v>34.689998626708977</v>
      </c>
      <c r="D1268" s="39">
        <v>33.830001831054688</v>
      </c>
      <c r="E1268" s="39">
        <v>33.979999542236328</v>
      </c>
      <c r="F1268" s="39">
        <v>779700</v>
      </c>
    </row>
    <row r="1269" spans="1:6">
      <c r="A1269" s="41">
        <v>45672</v>
      </c>
      <c r="B1269" s="39">
        <v>34.349998474121087</v>
      </c>
      <c r="C1269" s="39">
        <v>35.419998168945312</v>
      </c>
      <c r="D1269" s="39">
        <v>34.310001373291023</v>
      </c>
      <c r="E1269" s="39">
        <v>35</v>
      </c>
      <c r="F1269" s="39">
        <v>457100</v>
      </c>
    </row>
    <row r="1270" spans="1:6">
      <c r="A1270" s="41">
        <v>45673</v>
      </c>
      <c r="B1270" s="39">
        <v>34.680000305175781</v>
      </c>
      <c r="C1270" s="39">
        <v>34.819999694824219</v>
      </c>
      <c r="D1270" s="39">
        <v>34.110000610351562</v>
      </c>
      <c r="E1270" s="39">
        <v>34.259998321533203</v>
      </c>
      <c r="F1270" s="39">
        <v>467900</v>
      </c>
    </row>
    <row r="1271" spans="1:6">
      <c r="A1271" s="41">
        <v>45674</v>
      </c>
      <c r="B1271" s="39">
        <v>34.389999389648438</v>
      </c>
      <c r="C1271" s="39">
        <v>35.080001831054688</v>
      </c>
      <c r="D1271" s="39">
        <v>34.319999694824219</v>
      </c>
      <c r="E1271" s="39">
        <v>35.020000457763672</v>
      </c>
      <c r="F1271" s="39">
        <v>669600</v>
      </c>
    </row>
    <row r="1272" spans="1:6">
      <c r="A1272" s="41">
        <v>45678</v>
      </c>
      <c r="B1272" s="39">
        <v>33.669998168945312</v>
      </c>
      <c r="C1272" s="39">
        <v>34.240001678466797</v>
      </c>
      <c r="D1272" s="39">
        <v>33.270000457763672</v>
      </c>
      <c r="E1272" s="39">
        <v>34.090000152587891</v>
      </c>
      <c r="F1272" s="39">
        <v>1223600</v>
      </c>
    </row>
    <row r="1273" spans="1:6">
      <c r="A1273" s="41">
        <v>45679</v>
      </c>
      <c r="B1273" s="39">
        <v>32.569999694824219</v>
      </c>
      <c r="C1273" s="39">
        <v>33.669998168945312</v>
      </c>
      <c r="D1273" s="39">
        <v>32.509998321533203</v>
      </c>
      <c r="E1273" s="39">
        <v>33.669998168945312</v>
      </c>
      <c r="F1273" s="39">
        <v>1576100</v>
      </c>
    </row>
    <row r="1274" spans="1:6">
      <c r="A1274" s="41">
        <v>45680</v>
      </c>
      <c r="B1274" s="39">
        <v>33.529998779296882</v>
      </c>
      <c r="C1274" s="39">
        <v>33.560001373291023</v>
      </c>
      <c r="D1274" s="39">
        <v>32.119998931884773</v>
      </c>
      <c r="E1274" s="39">
        <v>32.409999847412109</v>
      </c>
      <c r="F1274" s="39">
        <v>746100</v>
      </c>
    </row>
    <row r="1275" spans="1:6">
      <c r="A1275" s="41">
        <v>45681</v>
      </c>
      <c r="B1275" s="39">
        <v>33.650001525878913</v>
      </c>
      <c r="C1275" s="39">
        <v>33.919998168945312</v>
      </c>
      <c r="D1275" s="39">
        <v>33.340000152587891</v>
      </c>
      <c r="E1275" s="39">
        <v>33.419998168945312</v>
      </c>
      <c r="F1275" s="39">
        <v>563600</v>
      </c>
    </row>
    <row r="1276" spans="1:6">
      <c r="A1276" s="41">
        <v>45684</v>
      </c>
      <c r="B1276" s="39">
        <v>33.319999694824219</v>
      </c>
      <c r="C1276" s="39">
        <v>33.819999694824219</v>
      </c>
      <c r="D1276" s="39">
        <v>32.959999084472663</v>
      </c>
      <c r="E1276" s="39">
        <v>33.150001525878913</v>
      </c>
      <c r="F1276" s="39">
        <v>626300</v>
      </c>
    </row>
    <row r="1277" spans="1:6">
      <c r="A1277" s="41">
        <v>45685</v>
      </c>
      <c r="B1277" s="39">
        <v>32.650001525878913</v>
      </c>
      <c r="C1277" s="39">
        <v>33.459999084472663</v>
      </c>
      <c r="D1277" s="39">
        <v>32.450000762939453</v>
      </c>
      <c r="E1277" s="39">
        <v>33.259998321533203</v>
      </c>
      <c r="F1277" s="39">
        <v>968500</v>
      </c>
    </row>
    <row r="1278" spans="1:6">
      <c r="A1278" s="41">
        <v>45686</v>
      </c>
      <c r="B1278" s="39">
        <v>33.610000610351562</v>
      </c>
      <c r="C1278" s="39">
        <v>34.290000915527337</v>
      </c>
      <c r="D1278" s="39">
        <v>33.340000152587891</v>
      </c>
      <c r="E1278" s="39">
        <v>33.909999847412109</v>
      </c>
      <c r="F1278" s="39">
        <v>1152700</v>
      </c>
    </row>
    <row r="1279" spans="1:6">
      <c r="A1279" s="41">
        <v>45687</v>
      </c>
      <c r="B1279" s="39">
        <v>34.180000305175781</v>
      </c>
      <c r="C1279" s="39">
        <v>34.450000762939453</v>
      </c>
      <c r="D1279" s="39">
        <v>33.759998321533203</v>
      </c>
      <c r="E1279" s="39">
        <v>34.090000152587891</v>
      </c>
      <c r="F1279" s="39">
        <v>370300</v>
      </c>
    </row>
    <row r="1280" spans="1:6">
      <c r="A1280" s="41">
        <v>45688</v>
      </c>
      <c r="B1280" s="39">
        <v>33.799999237060547</v>
      </c>
      <c r="C1280" s="39">
        <v>34.560001373291023</v>
      </c>
      <c r="D1280" s="39">
        <v>33.689998626708977</v>
      </c>
      <c r="E1280" s="39">
        <v>34.409999847412109</v>
      </c>
      <c r="F1280" s="39">
        <v>285300</v>
      </c>
    </row>
    <row r="1281" spans="1:6">
      <c r="A1281" s="41">
        <v>45691</v>
      </c>
      <c r="B1281" s="39">
        <v>33.220001220703118</v>
      </c>
      <c r="C1281" s="39">
        <v>33.75</v>
      </c>
      <c r="D1281" s="39">
        <v>32.599998474121087</v>
      </c>
      <c r="E1281" s="39">
        <v>32.689998626708977</v>
      </c>
      <c r="F1281" s="39">
        <v>491000</v>
      </c>
    </row>
    <row r="1282" spans="1:6">
      <c r="A1282" s="41">
        <v>45692</v>
      </c>
      <c r="B1282" s="39">
        <v>33.959999084472663</v>
      </c>
      <c r="C1282" s="39">
        <v>34.330001831054688</v>
      </c>
      <c r="D1282" s="39">
        <v>33.240001678466797</v>
      </c>
      <c r="E1282" s="39">
        <v>33.619998931884773</v>
      </c>
      <c r="F1282" s="39">
        <v>389700</v>
      </c>
    </row>
    <row r="1283" spans="1:6">
      <c r="A1283" s="41">
        <v>45693</v>
      </c>
      <c r="B1283" s="39">
        <v>33.569999694824219</v>
      </c>
      <c r="C1283" s="39">
        <v>34.450000762939453</v>
      </c>
      <c r="D1283" s="39">
        <v>33.439998626708977</v>
      </c>
      <c r="E1283" s="39">
        <v>34.299999237060547</v>
      </c>
      <c r="F1283" s="39">
        <v>800700</v>
      </c>
    </row>
    <row r="1284" spans="1:6">
      <c r="A1284" s="41">
        <v>45694</v>
      </c>
      <c r="B1284" s="39">
        <v>34.270000457763672</v>
      </c>
      <c r="C1284" s="39">
        <v>34.580001831054688</v>
      </c>
      <c r="D1284" s="39">
        <v>33.860000610351562</v>
      </c>
      <c r="E1284" s="39">
        <v>33.860000610351562</v>
      </c>
      <c r="F1284" s="39">
        <v>685700</v>
      </c>
    </row>
    <row r="1285" spans="1:6">
      <c r="A1285" s="41">
        <v>45695</v>
      </c>
      <c r="B1285" s="39">
        <v>34.360000610351562</v>
      </c>
      <c r="C1285" s="39">
        <v>34.919998168945312</v>
      </c>
      <c r="D1285" s="39">
        <v>34.099998474121087</v>
      </c>
      <c r="E1285" s="39">
        <v>34.639999389648438</v>
      </c>
      <c r="F1285" s="39">
        <v>487500</v>
      </c>
    </row>
    <row r="1286" spans="1:6">
      <c r="A1286" s="41">
        <v>45698</v>
      </c>
      <c r="B1286" s="39">
        <v>34.259998321533203</v>
      </c>
      <c r="C1286" s="39">
        <v>34.409999847412109</v>
      </c>
      <c r="D1286" s="39">
        <v>34.049999237060547</v>
      </c>
      <c r="E1286" s="39">
        <v>34.380001068115227</v>
      </c>
      <c r="F1286" s="39">
        <v>284600</v>
      </c>
    </row>
    <row r="1287" spans="1:6">
      <c r="A1287" s="41">
        <v>45699</v>
      </c>
      <c r="B1287" s="39">
        <v>33.290000915527337</v>
      </c>
      <c r="C1287" s="39">
        <v>33.889999389648438</v>
      </c>
      <c r="D1287" s="39">
        <v>33.240001678466797</v>
      </c>
      <c r="E1287" s="39">
        <v>33.560001373291023</v>
      </c>
      <c r="F1287" s="39">
        <v>337800</v>
      </c>
    </row>
    <row r="1288" spans="1:6">
      <c r="A1288" s="41">
        <v>45700</v>
      </c>
      <c r="B1288" s="39">
        <v>33.189998626708977</v>
      </c>
      <c r="C1288" s="39">
        <v>33.5</v>
      </c>
      <c r="D1288" s="39">
        <v>32.720001220703118</v>
      </c>
      <c r="E1288" s="39">
        <v>33.009998321533203</v>
      </c>
      <c r="F1288" s="39">
        <v>350500</v>
      </c>
    </row>
    <row r="1289" spans="1:6">
      <c r="A1289" s="41">
        <v>45701</v>
      </c>
      <c r="B1289" s="39">
        <v>33.759998321533203</v>
      </c>
      <c r="C1289" s="39">
        <v>33.830001831054688</v>
      </c>
      <c r="D1289" s="39">
        <v>33.090000152587891</v>
      </c>
      <c r="E1289" s="39">
        <v>33.180000305175781</v>
      </c>
      <c r="F1289" s="39">
        <v>273400</v>
      </c>
    </row>
    <row r="1290" spans="1:6">
      <c r="A1290" s="41">
        <v>45702</v>
      </c>
      <c r="B1290" s="39">
        <v>34.310001373291023</v>
      </c>
      <c r="C1290" s="39">
        <v>34.529998779296882</v>
      </c>
      <c r="D1290" s="39">
        <v>33.869998931884773</v>
      </c>
      <c r="E1290" s="39">
        <v>34.080001831054688</v>
      </c>
      <c r="F1290" s="39">
        <v>449000</v>
      </c>
    </row>
    <row r="1291" spans="1:6">
      <c r="A1291" s="41">
        <v>45706</v>
      </c>
      <c r="B1291" s="39">
        <v>34.900001525878913</v>
      </c>
      <c r="C1291" s="39">
        <v>34.950000762939453</v>
      </c>
      <c r="D1291" s="39">
        <v>34.049999237060547</v>
      </c>
      <c r="E1291" s="39">
        <v>34.360000610351562</v>
      </c>
      <c r="F1291" s="39">
        <v>932800</v>
      </c>
    </row>
    <row r="1292" spans="1:6">
      <c r="A1292" s="41">
        <v>45707</v>
      </c>
      <c r="B1292" s="39">
        <v>35.5</v>
      </c>
      <c r="C1292" s="39">
        <v>36.400001525878913</v>
      </c>
      <c r="D1292" s="39">
        <v>35.5</v>
      </c>
      <c r="E1292" s="39">
        <v>35.759998321533203</v>
      </c>
      <c r="F1292" s="39">
        <v>1657400</v>
      </c>
    </row>
    <row r="1293" spans="1:6">
      <c r="A1293" s="41">
        <v>45708</v>
      </c>
      <c r="B1293" s="39">
        <v>35.380001068115227</v>
      </c>
      <c r="C1293" s="39">
        <v>35.470001220703118</v>
      </c>
      <c r="D1293" s="39">
        <v>34.729999542236328</v>
      </c>
      <c r="E1293" s="39">
        <v>35.380001068115227</v>
      </c>
      <c r="F1293" s="39">
        <v>521500</v>
      </c>
    </row>
    <row r="1294" spans="1:6">
      <c r="A1294" s="41">
        <v>45709</v>
      </c>
      <c r="B1294" s="39">
        <v>34.439998626708977</v>
      </c>
      <c r="C1294" s="39">
        <v>35.540000915527337</v>
      </c>
      <c r="D1294" s="39">
        <v>34.209999084472663</v>
      </c>
      <c r="E1294" s="39">
        <v>35.479999542236328</v>
      </c>
      <c r="F1294" s="39">
        <v>448500</v>
      </c>
    </row>
    <row r="1295" spans="1:6">
      <c r="A1295" s="41">
        <v>45712</v>
      </c>
      <c r="B1295" s="39">
        <v>34.279998779296882</v>
      </c>
      <c r="C1295" s="39">
        <v>34.650001525878913</v>
      </c>
      <c r="D1295" s="39">
        <v>34.049999237060547</v>
      </c>
      <c r="E1295" s="39">
        <v>34.430000305175781</v>
      </c>
      <c r="F1295" s="39">
        <v>664400</v>
      </c>
    </row>
    <row r="1296" spans="1:6">
      <c r="A1296" s="41">
        <v>45713</v>
      </c>
      <c r="B1296" s="39">
        <v>34.259998321533203</v>
      </c>
      <c r="C1296" s="39">
        <v>34.860000610351562</v>
      </c>
      <c r="D1296" s="39">
        <v>34.130001068115227</v>
      </c>
      <c r="E1296" s="39">
        <v>34.369998931884773</v>
      </c>
      <c r="F1296" s="39">
        <v>548000</v>
      </c>
    </row>
    <row r="1297" spans="1:6">
      <c r="A1297" s="41">
        <v>45714</v>
      </c>
      <c r="B1297" s="39">
        <v>34.959999084472663</v>
      </c>
      <c r="C1297" s="39">
        <v>35.860000610351562</v>
      </c>
      <c r="D1297" s="39">
        <v>34.959999084472663</v>
      </c>
      <c r="E1297" s="39">
        <v>35.090000152587891</v>
      </c>
      <c r="F1297" s="39">
        <v>628000</v>
      </c>
    </row>
    <row r="1298" spans="1:6">
      <c r="A1298" s="41">
        <v>45715</v>
      </c>
      <c r="B1298" s="39">
        <v>33.680000305175781</v>
      </c>
      <c r="C1298" s="39">
        <v>35.009998321533203</v>
      </c>
      <c r="D1298" s="39">
        <v>33.610000610351562</v>
      </c>
      <c r="E1298" s="39">
        <v>35.009998321533203</v>
      </c>
      <c r="F1298" s="39">
        <v>849000</v>
      </c>
    </row>
    <row r="1299" spans="1:6">
      <c r="A1299" s="41">
        <v>45716</v>
      </c>
      <c r="B1299" s="39">
        <v>32.349998474121087</v>
      </c>
      <c r="C1299" s="39">
        <v>33.229999542236328</v>
      </c>
      <c r="D1299" s="39">
        <v>32.029998779296882</v>
      </c>
      <c r="E1299" s="39">
        <v>33.229999542236328</v>
      </c>
      <c r="F1299" s="39">
        <v>1806500</v>
      </c>
    </row>
    <row r="1300" spans="1:6">
      <c r="A1300" s="41">
        <v>45719</v>
      </c>
      <c r="B1300" s="39">
        <v>31.309999465942379</v>
      </c>
      <c r="C1300" s="39">
        <v>32.610000610351562</v>
      </c>
      <c r="D1300" s="39">
        <v>31.090000152587891</v>
      </c>
      <c r="E1300" s="39">
        <v>32.470001220703118</v>
      </c>
      <c r="F1300" s="39">
        <v>1379100</v>
      </c>
    </row>
    <row r="1301" spans="1:6">
      <c r="A1301" s="41">
        <v>45720</v>
      </c>
      <c r="B1301" s="39">
        <v>32.080001831054688</v>
      </c>
      <c r="C1301" s="39">
        <v>32.549999237060547</v>
      </c>
      <c r="D1301" s="39">
        <v>30.620000839233398</v>
      </c>
      <c r="E1301" s="39">
        <v>30.879999160766602</v>
      </c>
      <c r="F1301" s="39">
        <v>1311600</v>
      </c>
    </row>
    <row r="1302" spans="1:6">
      <c r="A1302" s="41">
        <v>45721</v>
      </c>
      <c r="B1302" s="39">
        <v>32.389999389648438</v>
      </c>
      <c r="C1302" s="39">
        <v>32.580001831054688</v>
      </c>
      <c r="D1302" s="39">
        <v>31.75</v>
      </c>
      <c r="E1302" s="39">
        <v>32.209999084472663</v>
      </c>
      <c r="F1302" s="39">
        <v>617000</v>
      </c>
    </row>
    <row r="1303" spans="1:6">
      <c r="A1303" s="41">
        <v>45722</v>
      </c>
      <c r="B1303" s="39">
        <v>32.150001525878913</v>
      </c>
      <c r="C1303" s="39">
        <v>32.389999389648438</v>
      </c>
      <c r="D1303" s="39">
        <v>31.75</v>
      </c>
      <c r="E1303" s="39">
        <v>31.940000534057621</v>
      </c>
      <c r="F1303" s="39">
        <v>568600</v>
      </c>
    </row>
    <row r="1304" spans="1:6">
      <c r="A1304" s="41">
        <v>45723</v>
      </c>
      <c r="B1304" s="39">
        <v>32.830001831054688</v>
      </c>
      <c r="C1304" s="39">
        <v>32.959999084472663</v>
      </c>
      <c r="D1304" s="39">
        <v>31.989999771118161</v>
      </c>
      <c r="E1304" s="39">
        <v>31.989999771118161</v>
      </c>
      <c r="F1304" s="39">
        <v>1150000</v>
      </c>
    </row>
    <row r="1305" spans="1:6">
      <c r="A1305" s="41">
        <v>45726</v>
      </c>
      <c r="B1305" s="39">
        <v>32.549999237060547</v>
      </c>
      <c r="C1305" s="39">
        <v>33.340000152587891</v>
      </c>
      <c r="D1305" s="39">
        <v>32.400001525878913</v>
      </c>
      <c r="E1305" s="39">
        <v>32.490001678466797</v>
      </c>
      <c r="F1305" s="39">
        <v>1039800</v>
      </c>
    </row>
    <row r="1306" spans="1:6">
      <c r="A1306" s="41">
        <v>45727</v>
      </c>
      <c r="B1306" s="39">
        <v>32.630001068115227</v>
      </c>
      <c r="C1306" s="39">
        <v>33.090000152587891</v>
      </c>
      <c r="D1306" s="39">
        <v>32.040000915527337</v>
      </c>
      <c r="E1306" s="39">
        <v>32.659999847412109</v>
      </c>
      <c r="F1306" s="39">
        <v>523300</v>
      </c>
    </row>
    <row r="1307" spans="1:6">
      <c r="A1307" s="41">
        <v>45728</v>
      </c>
      <c r="B1307" s="39">
        <v>32.279998779296882</v>
      </c>
      <c r="C1307" s="39">
        <v>32.869998931884773</v>
      </c>
      <c r="D1307" s="39">
        <v>31.95999908447266</v>
      </c>
      <c r="E1307" s="39">
        <v>32.869998931884773</v>
      </c>
      <c r="F1307" s="39">
        <v>988600</v>
      </c>
    </row>
    <row r="1308" spans="1:6">
      <c r="A1308" s="41">
        <v>45729</v>
      </c>
      <c r="B1308" s="39">
        <v>32.090000152587891</v>
      </c>
      <c r="C1308" s="39">
        <v>32.5</v>
      </c>
      <c r="D1308" s="39">
        <v>31.79999923706055</v>
      </c>
      <c r="E1308" s="39">
        <v>31.95999908447266</v>
      </c>
      <c r="F1308" s="39">
        <v>202800</v>
      </c>
    </row>
    <row r="1309" spans="1:6">
      <c r="A1309" s="41">
        <v>45730</v>
      </c>
      <c r="B1309" s="39">
        <v>32.389999389648438</v>
      </c>
      <c r="C1309" s="39">
        <v>32.819999694824219</v>
      </c>
      <c r="D1309" s="39">
        <v>32.279998779296882</v>
      </c>
      <c r="E1309" s="39">
        <v>32.279998779296882</v>
      </c>
      <c r="F1309" s="39">
        <v>339700</v>
      </c>
    </row>
    <row r="1310" spans="1:6">
      <c r="A1310" s="41">
        <v>45733</v>
      </c>
      <c r="B1310" s="39">
        <v>33.540000915527337</v>
      </c>
      <c r="C1310" s="39">
        <v>33.689998626708977</v>
      </c>
      <c r="D1310" s="39">
        <v>32.459999084472663</v>
      </c>
      <c r="E1310" s="39">
        <v>32.459999084472663</v>
      </c>
      <c r="F1310" s="39">
        <v>679900</v>
      </c>
    </row>
    <row r="1311" spans="1:6">
      <c r="A1311" s="41">
        <v>45734</v>
      </c>
      <c r="B1311" s="39">
        <v>32.869998931884773</v>
      </c>
      <c r="C1311" s="39">
        <v>33.349998474121087</v>
      </c>
      <c r="D1311" s="39">
        <v>32.630001068115227</v>
      </c>
      <c r="E1311" s="39">
        <v>33.349998474121087</v>
      </c>
      <c r="F1311" s="39">
        <v>370800</v>
      </c>
    </row>
    <row r="1312" spans="1:6">
      <c r="A1312" s="41">
        <v>45735</v>
      </c>
      <c r="B1312" s="39">
        <v>33.090000152587891</v>
      </c>
      <c r="C1312" s="39">
        <v>33.279998779296882</v>
      </c>
      <c r="D1312" s="39">
        <v>32.770000457763672</v>
      </c>
      <c r="E1312" s="39">
        <v>32.849998474121087</v>
      </c>
      <c r="F1312" s="39">
        <v>183800</v>
      </c>
    </row>
    <row r="1313" spans="1:6">
      <c r="A1313" s="41">
        <v>45736</v>
      </c>
      <c r="B1313" s="39">
        <v>32.590000152587891</v>
      </c>
      <c r="C1313" s="39">
        <v>33.060001373291023</v>
      </c>
      <c r="D1313" s="39">
        <v>32.360000610351562</v>
      </c>
      <c r="E1313" s="39">
        <v>32.509998321533203</v>
      </c>
      <c r="F1313" s="39">
        <v>270900</v>
      </c>
    </row>
    <row r="1314" spans="1:6">
      <c r="A1314" s="41">
        <v>45737</v>
      </c>
      <c r="B1314" s="39">
        <v>32.159999847412109</v>
      </c>
      <c r="C1314" s="39">
        <v>32.450000762939453</v>
      </c>
      <c r="D1314" s="39">
        <v>31.879999160766602</v>
      </c>
      <c r="E1314" s="39">
        <v>32.139999389648438</v>
      </c>
      <c r="F1314" s="39">
        <v>603600</v>
      </c>
    </row>
    <row r="1315" spans="1:6">
      <c r="A1315" s="41">
        <v>45740</v>
      </c>
      <c r="B1315" s="39">
        <v>31.829999923706051</v>
      </c>
      <c r="C1315" s="39">
        <v>32.599998474121087</v>
      </c>
      <c r="D1315" s="39">
        <v>31.819999694824219</v>
      </c>
      <c r="E1315" s="39">
        <v>32.240001678466797</v>
      </c>
      <c r="F1315" s="39">
        <v>418800</v>
      </c>
    </row>
    <row r="1316" spans="1:6">
      <c r="A1316" s="41">
        <v>45741</v>
      </c>
      <c r="B1316" s="39">
        <v>32.130001068115227</v>
      </c>
      <c r="C1316" s="39">
        <v>32.590000152587891</v>
      </c>
      <c r="D1316" s="39">
        <v>31.940000534057621</v>
      </c>
      <c r="E1316" s="39">
        <v>31.940000534057621</v>
      </c>
      <c r="F1316" s="39">
        <v>336100</v>
      </c>
    </row>
    <row r="1317" spans="1:6">
      <c r="A1317" s="41">
        <v>45742</v>
      </c>
      <c r="B1317" s="39">
        <v>31.360000610351559</v>
      </c>
      <c r="C1317" s="39">
        <v>32.400001525878913</v>
      </c>
      <c r="D1317" s="39">
        <v>31.20999908447266</v>
      </c>
      <c r="E1317" s="39">
        <v>32.099998474121087</v>
      </c>
      <c r="F1317" s="39">
        <v>314800</v>
      </c>
    </row>
    <row r="1318" spans="1:6">
      <c r="A1318" s="41">
        <v>45743</v>
      </c>
      <c r="B1318" s="39">
        <v>31.270000457763668</v>
      </c>
      <c r="C1318" s="39">
        <v>31.670000076293949</v>
      </c>
      <c r="D1318" s="39">
        <v>31.010000228881839</v>
      </c>
      <c r="E1318" s="39">
        <v>31.219999313354489</v>
      </c>
      <c r="F1318" s="39">
        <v>200300</v>
      </c>
    </row>
    <row r="1319" spans="1:6">
      <c r="A1319" s="41">
        <v>45744</v>
      </c>
      <c r="B1319" s="39">
        <v>31.010000228881839</v>
      </c>
      <c r="C1319" s="39">
        <v>31.190000534057621</v>
      </c>
      <c r="D1319" s="39">
        <v>30.760000228881839</v>
      </c>
      <c r="E1319" s="39">
        <v>31.04000091552734</v>
      </c>
      <c r="F1319" s="39">
        <v>400900</v>
      </c>
    </row>
    <row r="1320" spans="1:6">
      <c r="A1320" s="41">
        <v>45747</v>
      </c>
      <c r="B1320" s="39">
        <v>30.45999908447266</v>
      </c>
      <c r="C1320" s="39">
        <v>30.569999694824219</v>
      </c>
      <c r="D1320" s="39">
        <v>29.760000228881839</v>
      </c>
      <c r="E1320" s="39">
        <v>30.510000228881839</v>
      </c>
      <c r="F1320" s="39">
        <v>574400</v>
      </c>
    </row>
    <row r="1321" spans="1:6">
      <c r="A1321" s="41">
        <v>45748</v>
      </c>
      <c r="B1321" s="39">
        <v>30.79999923706055</v>
      </c>
      <c r="C1321" s="39">
        <v>30.840000152587891</v>
      </c>
      <c r="D1321" s="39">
        <v>29.909999847412109</v>
      </c>
      <c r="E1321" s="39">
        <v>30.569999694824219</v>
      </c>
      <c r="F1321" s="39">
        <v>707100</v>
      </c>
    </row>
    <row r="1322" spans="1:6">
      <c r="A1322" s="41">
        <v>45749</v>
      </c>
      <c r="B1322" s="39">
        <v>31.079999923706051</v>
      </c>
      <c r="C1322" s="39">
        <v>31.170000076293949</v>
      </c>
      <c r="D1322" s="39">
        <v>30.440000534057621</v>
      </c>
      <c r="E1322" s="39">
        <v>30.440000534057621</v>
      </c>
      <c r="F1322" s="39">
        <v>206200</v>
      </c>
    </row>
    <row r="1323" spans="1:6">
      <c r="A1323" s="41">
        <v>45750</v>
      </c>
      <c r="B1323" s="39">
        <v>30.35000038146973</v>
      </c>
      <c r="C1323" s="39">
        <v>30.860000610351559</v>
      </c>
      <c r="D1323" s="39">
        <v>29.979999542236332</v>
      </c>
      <c r="E1323" s="39">
        <v>30.239999771118161</v>
      </c>
      <c r="F1323" s="39">
        <v>832300</v>
      </c>
    </row>
    <row r="1324" spans="1:6">
      <c r="A1324" s="41">
        <v>45751</v>
      </c>
      <c r="B1324" s="39">
        <v>28.879999160766602</v>
      </c>
      <c r="C1324" s="39">
        <v>29.229999542236332</v>
      </c>
      <c r="D1324" s="39">
        <v>28.20000076293945</v>
      </c>
      <c r="E1324" s="39">
        <v>29.229999542236332</v>
      </c>
      <c r="F1324" s="39">
        <v>1045400</v>
      </c>
    </row>
    <row r="1325" spans="1:6">
      <c r="A1325" s="41">
        <v>45754</v>
      </c>
      <c r="B1325" s="39">
        <v>27.670000076293949</v>
      </c>
      <c r="C1325" s="39">
        <v>29.159999847412109</v>
      </c>
      <c r="D1325" s="39">
        <v>27.030000686645511</v>
      </c>
      <c r="E1325" s="39">
        <v>27.04999923706055</v>
      </c>
      <c r="F1325" s="39">
        <v>1156500</v>
      </c>
    </row>
    <row r="1326" spans="1:6">
      <c r="A1326" s="41">
        <v>45755</v>
      </c>
      <c r="B1326" s="39">
        <v>26.030000686645511</v>
      </c>
      <c r="C1326" s="39">
        <v>28.5</v>
      </c>
      <c r="D1326" s="39">
        <v>25.629999160766602</v>
      </c>
      <c r="E1326" s="39">
        <v>28.329999923706051</v>
      </c>
      <c r="F1326" s="39">
        <v>1462500</v>
      </c>
    </row>
    <row r="1327" spans="1:6">
      <c r="A1327" s="41">
        <v>45756</v>
      </c>
      <c r="B1327" s="39">
        <v>27.969999313354489</v>
      </c>
      <c r="C1327" s="39">
        <v>28.059999465942379</v>
      </c>
      <c r="D1327" s="39">
        <v>25.530000686645511</v>
      </c>
      <c r="E1327" s="39">
        <v>25.879999160766602</v>
      </c>
      <c r="F1327" s="39">
        <v>1090800</v>
      </c>
    </row>
    <row r="1328" spans="1:6">
      <c r="A1328" s="41">
        <v>45757</v>
      </c>
      <c r="B1328" s="39">
        <v>26.70000076293945</v>
      </c>
      <c r="C1328" s="39">
        <v>27.60000038146973</v>
      </c>
      <c r="D1328" s="39">
        <v>25.95000076293945</v>
      </c>
      <c r="E1328" s="39">
        <v>27.270000457763668</v>
      </c>
      <c r="F1328" s="39">
        <v>827300</v>
      </c>
    </row>
    <row r="1329" spans="1:6">
      <c r="A1329" s="41">
        <v>45758</v>
      </c>
      <c r="B1329" s="39">
        <v>27.719999313354489</v>
      </c>
      <c r="C1329" s="39">
        <v>27.79000091552734</v>
      </c>
      <c r="D1329" s="39">
        <v>26.629999160766602</v>
      </c>
      <c r="E1329" s="39">
        <v>27</v>
      </c>
      <c r="F1329" s="39">
        <v>721000</v>
      </c>
    </row>
    <row r="1330" spans="1:6">
      <c r="A1330" s="41">
        <v>45761</v>
      </c>
      <c r="B1330" s="39">
        <v>28.64999961853027</v>
      </c>
      <c r="C1330" s="39">
        <v>28.85000038146973</v>
      </c>
      <c r="D1330" s="39">
        <v>28.059999465942379</v>
      </c>
      <c r="E1330" s="39">
        <v>28.229999542236332</v>
      </c>
      <c r="F1330" s="39">
        <v>1219200</v>
      </c>
    </row>
    <row r="1331" spans="1:6">
      <c r="A1331" s="41">
        <v>45762</v>
      </c>
      <c r="B1331" s="39">
        <v>28.29000091552734</v>
      </c>
      <c r="C1331" s="39">
        <v>28.879999160766602</v>
      </c>
      <c r="D1331" s="39">
        <v>28.190000534057621</v>
      </c>
      <c r="E1331" s="39">
        <v>28.79999923706055</v>
      </c>
      <c r="F1331" s="39">
        <v>324400</v>
      </c>
    </row>
    <row r="1332" spans="1:6">
      <c r="A1332" s="41">
        <v>45763</v>
      </c>
      <c r="B1332" s="39">
        <v>27.829999923706051</v>
      </c>
      <c r="C1332" s="39">
        <v>28.319999694824219</v>
      </c>
      <c r="D1332" s="39">
        <v>27.440000534057621</v>
      </c>
      <c r="E1332" s="39">
        <v>27.89999961853027</v>
      </c>
      <c r="F1332" s="39">
        <v>465600</v>
      </c>
    </row>
    <row r="1333" spans="1:6">
      <c r="A1333" s="41">
        <v>45764</v>
      </c>
      <c r="B1333" s="39">
        <v>28.159999847412109</v>
      </c>
      <c r="C1333" s="39">
        <v>28.239999771118161</v>
      </c>
      <c r="D1333" s="39">
        <v>27.60000038146973</v>
      </c>
      <c r="E1333" s="39">
        <v>27.79000091552734</v>
      </c>
      <c r="F1333" s="39">
        <v>780900</v>
      </c>
    </row>
    <row r="1334" spans="1:6">
      <c r="A1334" s="41">
        <v>45768</v>
      </c>
      <c r="B1334" s="39">
        <v>27.610000610351559</v>
      </c>
      <c r="C1334" s="39">
        <v>28.079999923706051</v>
      </c>
      <c r="D1334" s="39">
        <v>27.229999542236332</v>
      </c>
      <c r="E1334" s="39">
        <v>28.079999923706051</v>
      </c>
      <c r="F1334" s="39">
        <v>608600</v>
      </c>
    </row>
    <row r="1335" spans="1:6">
      <c r="A1335" s="41">
        <v>45769</v>
      </c>
      <c r="B1335" s="39">
        <v>28.85000038146973</v>
      </c>
      <c r="C1335" s="39">
        <v>29.309999465942379</v>
      </c>
      <c r="D1335" s="39">
        <v>28.14999961853027</v>
      </c>
      <c r="E1335" s="39">
        <v>28.219999313354489</v>
      </c>
      <c r="F1335" s="39">
        <v>883500</v>
      </c>
    </row>
    <row r="1336" spans="1:6">
      <c r="A1336" s="41">
        <v>45770</v>
      </c>
      <c r="B1336" s="39">
        <v>28.29000091552734</v>
      </c>
      <c r="C1336" s="39">
        <v>29.170000076293949</v>
      </c>
      <c r="D1336" s="39">
        <v>28.129999160766602</v>
      </c>
      <c r="E1336" s="39">
        <v>28.930000305175781</v>
      </c>
      <c r="F1336" s="39">
        <v>861200</v>
      </c>
    </row>
    <row r="1337" spans="1:6">
      <c r="A1337" s="41">
        <v>45771</v>
      </c>
      <c r="B1337" s="39">
        <v>29</v>
      </c>
      <c r="C1337" s="39">
        <v>29.180000305175781</v>
      </c>
      <c r="D1337" s="39">
        <v>28.389999389648441</v>
      </c>
      <c r="E1337" s="39">
        <v>28.409999847412109</v>
      </c>
      <c r="F1337" s="39">
        <v>810700</v>
      </c>
    </row>
    <row r="1338" spans="1:6">
      <c r="A1338" s="41">
        <v>45772</v>
      </c>
      <c r="B1338" s="39">
        <v>29.879999160766602</v>
      </c>
      <c r="C1338" s="39">
        <v>30.010000228881839</v>
      </c>
      <c r="D1338" s="39">
        <v>28.860000610351559</v>
      </c>
      <c r="E1338" s="39">
        <v>28.969999313354489</v>
      </c>
      <c r="F1338" s="39">
        <v>559200</v>
      </c>
    </row>
    <row r="1339" spans="1:6">
      <c r="A1339" s="41">
        <v>45775</v>
      </c>
      <c r="B1339" s="39">
        <v>29.79000091552734</v>
      </c>
      <c r="C1339" s="39">
        <v>30.030000686645511</v>
      </c>
      <c r="D1339" s="39">
        <v>29.479999542236332</v>
      </c>
      <c r="E1339" s="39">
        <v>29.819999694824219</v>
      </c>
      <c r="F1339" s="39">
        <v>456200</v>
      </c>
    </row>
    <row r="1340" spans="1:6">
      <c r="A1340" s="41">
        <v>45776</v>
      </c>
      <c r="B1340" s="39">
        <v>29.610000610351559</v>
      </c>
      <c r="C1340" s="39">
        <v>29.85000038146973</v>
      </c>
      <c r="D1340" s="39">
        <v>29.370000839233398</v>
      </c>
      <c r="E1340" s="39">
        <v>29.54000091552734</v>
      </c>
      <c r="F1340" s="39">
        <v>350900</v>
      </c>
    </row>
    <row r="1341" spans="1:6">
      <c r="A1341" s="41">
        <v>45777</v>
      </c>
      <c r="B1341" s="39">
        <v>28.379999160766602</v>
      </c>
      <c r="C1341" s="39">
        <v>28.719999313354489</v>
      </c>
      <c r="D1341" s="39">
        <v>27.819999694824219</v>
      </c>
      <c r="E1341" s="39">
        <v>28.629999160766602</v>
      </c>
      <c r="F1341" s="39">
        <v>1604800</v>
      </c>
    </row>
    <row r="1342" spans="1:6">
      <c r="A1342" s="41">
        <v>45778</v>
      </c>
      <c r="B1342" s="39">
        <v>28.79999923706055</v>
      </c>
      <c r="C1342" s="39">
        <v>29.14999961853027</v>
      </c>
      <c r="D1342" s="39">
        <v>28.569999694824219</v>
      </c>
      <c r="E1342" s="39">
        <v>28.64999961853027</v>
      </c>
      <c r="F1342" s="39">
        <v>690600</v>
      </c>
    </row>
    <row r="1343" spans="1:6">
      <c r="A1343" s="41">
        <v>45779</v>
      </c>
      <c r="B1343" s="39">
        <v>29.35000038146973</v>
      </c>
      <c r="C1343" s="39">
        <v>29.54999923706055</v>
      </c>
      <c r="D1343" s="39">
        <v>29.120000839233398</v>
      </c>
      <c r="E1343" s="39">
        <v>29.25</v>
      </c>
      <c r="F1343" s="39">
        <v>780100</v>
      </c>
    </row>
    <row r="1344" spans="1:6">
      <c r="A1344" s="41">
        <v>45782</v>
      </c>
      <c r="B1344" s="39">
        <v>28.85000038146973</v>
      </c>
      <c r="C1344" s="39">
        <v>29.139999389648441</v>
      </c>
      <c r="D1344" s="39">
        <v>28.610000610351559</v>
      </c>
      <c r="E1344" s="39">
        <v>29.120000839233398</v>
      </c>
      <c r="F1344" s="39">
        <v>1998900</v>
      </c>
    </row>
    <row r="1345" spans="1:6">
      <c r="A1345" s="41">
        <v>45783</v>
      </c>
      <c r="B1345" s="39">
        <v>29.29999923706055</v>
      </c>
      <c r="C1345" s="39">
        <v>29.920000076293949</v>
      </c>
      <c r="D1345" s="39">
        <v>29.090000152587891</v>
      </c>
      <c r="E1345" s="39">
        <v>29.20000076293945</v>
      </c>
      <c r="F1345" s="39">
        <v>1121600</v>
      </c>
    </row>
    <row r="1346" spans="1:6">
      <c r="A1346" s="41">
        <v>45784</v>
      </c>
      <c r="B1346" s="39">
        <v>29.60000038146973</v>
      </c>
      <c r="C1346" s="39">
        <v>29.75</v>
      </c>
      <c r="D1346" s="39">
        <v>29.20999908447266</v>
      </c>
      <c r="E1346" s="39">
        <v>29.270000457763668</v>
      </c>
      <c r="F1346" s="39">
        <v>283300</v>
      </c>
    </row>
    <row r="1347" spans="1:6">
      <c r="A1347" s="41">
        <v>45785</v>
      </c>
      <c r="B1347" s="39">
        <v>30.729999542236332</v>
      </c>
      <c r="C1347" s="39">
        <v>30.979999542236332</v>
      </c>
      <c r="D1347" s="39">
        <v>29.75</v>
      </c>
      <c r="E1347" s="39">
        <v>30.129999160766602</v>
      </c>
      <c r="F1347" s="39">
        <v>1340500</v>
      </c>
    </row>
    <row r="1348" spans="1:6">
      <c r="A1348" s="41">
        <v>45786</v>
      </c>
      <c r="B1348" s="39">
        <v>31.70999908447266</v>
      </c>
      <c r="C1348" s="39">
        <v>31.85000038146973</v>
      </c>
      <c r="D1348" s="39">
        <v>30.79999923706055</v>
      </c>
      <c r="E1348" s="39">
        <v>30.79999923706055</v>
      </c>
      <c r="F1348" s="39">
        <v>1474300</v>
      </c>
    </row>
    <row r="1349" spans="1:6">
      <c r="A1349" s="41">
        <v>45789</v>
      </c>
      <c r="B1349" s="39">
        <v>33.029998779296882</v>
      </c>
      <c r="C1349" s="39">
        <v>33.729999542236328</v>
      </c>
      <c r="D1349" s="39">
        <v>32.349998474121087</v>
      </c>
      <c r="E1349" s="39">
        <v>33.200000762939453</v>
      </c>
      <c r="F1349" s="39">
        <v>5843400</v>
      </c>
    </row>
    <row r="1350" spans="1:6">
      <c r="A1350" s="41">
        <v>45790</v>
      </c>
      <c r="B1350" s="39">
        <v>34.720001220703118</v>
      </c>
      <c r="C1350" s="39">
        <v>35.549999237060547</v>
      </c>
      <c r="D1350" s="39">
        <v>34</v>
      </c>
      <c r="E1350" s="39">
        <v>34.130001068115227</v>
      </c>
      <c r="F1350" s="39">
        <v>2287100</v>
      </c>
    </row>
    <row r="1351" spans="1:6">
      <c r="A1351" s="41">
        <v>45791</v>
      </c>
      <c r="B1351" s="39">
        <v>35.259998321533203</v>
      </c>
      <c r="C1351" s="39">
        <v>35.590000152587891</v>
      </c>
      <c r="D1351" s="39">
        <v>34.619998931884773</v>
      </c>
      <c r="E1351" s="39">
        <v>34.799999237060547</v>
      </c>
      <c r="F1351" s="39">
        <v>1529300</v>
      </c>
    </row>
    <row r="1352" spans="1:6">
      <c r="A1352" s="41">
        <v>45792</v>
      </c>
      <c r="B1352" s="39">
        <v>35.659999847412109</v>
      </c>
      <c r="C1352" s="39">
        <v>35.709999084472663</v>
      </c>
      <c r="D1352" s="39">
        <v>34.450000762939453</v>
      </c>
      <c r="E1352" s="39">
        <v>34.639999389648438</v>
      </c>
      <c r="F1352" s="39">
        <v>1406500</v>
      </c>
    </row>
    <row r="1353" spans="1:6">
      <c r="A1353" s="41">
        <v>45793</v>
      </c>
      <c r="B1353" s="39">
        <v>35.139999389648438</v>
      </c>
      <c r="C1353" s="39">
        <v>35.930000305175781</v>
      </c>
      <c r="D1353" s="39">
        <v>34.900001525878913</v>
      </c>
      <c r="E1353" s="39">
        <v>35.430000305175781</v>
      </c>
      <c r="F1353" s="39">
        <v>956100</v>
      </c>
    </row>
    <row r="1354" spans="1:6">
      <c r="A1354" s="41">
        <v>45796</v>
      </c>
      <c r="B1354" s="39">
        <v>34.270000457763672</v>
      </c>
      <c r="C1354" s="39">
        <v>34.580001831054688</v>
      </c>
      <c r="D1354" s="39">
        <v>33.830001831054688</v>
      </c>
      <c r="E1354" s="39">
        <v>34.360000610351562</v>
      </c>
      <c r="F1354" s="39">
        <v>3033500</v>
      </c>
    </row>
    <row r="1355" spans="1:6">
      <c r="A1355" s="41">
        <v>45797</v>
      </c>
      <c r="B1355" s="39">
        <v>34.479999542236328</v>
      </c>
      <c r="C1355" s="39">
        <v>35.119998931884773</v>
      </c>
      <c r="D1355" s="39">
        <v>34.209999084472663</v>
      </c>
      <c r="E1355" s="39">
        <v>34.229999542236328</v>
      </c>
      <c r="F1355" s="39">
        <v>550600</v>
      </c>
    </row>
    <row r="1356" spans="1:6">
      <c r="A1356" s="41">
        <v>45798</v>
      </c>
      <c r="B1356" s="39">
        <v>33.970001220703118</v>
      </c>
      <c r="C1356" s="39">
        <v>34.439998626708977</v>
      </c>
      <c r="D1356" s="39">
        <v>33.770000457763672</v>
      </c>
      <c r="E1356" s="39">
        <v>34.220001220703118</v>
      </c>
      <c r="F1356" s="39">
        <v>704800</v>
      </c>
    </row>
    <row r="1357" spans="1:6">
      <c r="A1357" s="41">
        <v>45799</v>
      </c>
      <c r="B1357" s="39">
        <v>31.440000534057621</v>
      </c>
      <c r="C1357" s="39">
        <v>31.620000839233398</v>
      </c>
      <c r="D1357" s="39">
        <v>30.569999694824219</v>
      </c>
      <c r="E1357" s="39">
        <v>31.20999908447266</v>
      </c>
      <c r="F1357" s="39">
        <v>3756400</v>
      </c>
    </row>
    <row r="1358" spans="1:6">
      <c r="A1358" s="41">
        <v>45800</v>
      </c>
      <c r="B1358" s="39">
        <v>31.729999542236332</v>
      </c>
      <c r="C1358" s="39">
        <v>32.040000915527337</v>
      </c>
      <c r="D1358" s="39">
        <v>30.75</v>
      </c>
      <c r="E1358" s="39">
        <v>30.95999908447266</v>
      </c>
      <c r="F1358" s="39">
        <v>880200</v>
      </c>
    </row>
    <row r="1359" spans="1:6">
      <c r="A1359" s="41">
        <v>45804</v>
      </c>
      <c r="B1359" s="39">
        <v>31.930000305175781</v>
      </c>
      <c r="C1359" s="39">
        <v>32.069999694824219</v>
      </c>
      <c r="D1359" s="39">
        <v>31.54999923706055</v>
      </c>
      <c r="E1359" s="39">
        <v>31.979999542236332</v>
      </c>
      <c r="F1359" s="39">
        <v>724400</v>
      </c>
    </row>
    <row r="1360" spans="1:6">
      <c r="A1360" s="41">
        <v>45805</v>
      </c>
      <c r="B1360" s="39">
        <v>31.680000305175781</v>
      </c>
      <c r="C1360" s="39">
        <v>31.89999961853027</v>
      </c>
      <c r="D1360" s="39">
        <v>31.54000091552734</v>
      </c>
      <c r="E1360" s="39">
        <v>31.79000091552734</v>
      </c>
      <c r="F1360" s="39">
        <v>455500</v>
      </c>
    </row>
    <row r="1361" spans="1:6">
      <c r="A1361" s="41">
        <v>45806</v>
      </c>
      <c r="B1361" s="39">
        <v>31.930000305175781</v>
      </c>
      <c r="C1361" s="39">
        <v>32.400001525878913</v>
      </c>
      <c r="D1361" s="39">
        <v>31.770000457763668</v>
      </c>
      <c r="E1361" s="39">
        <v>32.25</v>
      </c>
      <c r="F1361" s="39">
        <v>727300</v>
      </c>
    </row>
    <row r="1362" spans="1:6">
      <c r="A1362" s="41">
        <v>45807</v>
      </c>
      <c r="B1362" s="39">
        <v>32.349998474121087</v>
      </c>
      <c r="C1362" s="39">
        <v>32.659999847412109</v>
      </c>
      <c r="D1362" s="39">
        <v>31.54000091552734</v>
      </c>
      <c r="E1362" s="39">
        <v>31.879999160766602</v>
      </c>
      <c r="F1362" s="39">
        <v>677900</v>
      </c>
    </row>
    <row r="1363" spans="1:6">
      <c r="A1363" s="41">
        <v>45810</v>
      </c>
      <c r="B1363" s="39">
        <v>31.819999694824219</v>
      </c>
      <c r="C1363" s="39">
        <v>32.409999847412109</v>
      </c>
      <c r="D1363" s="39">
        <v>31.45999908447266</v>
      </c>
      <c r="E1363" s="39">
        <v>32.229999542236328</v>
      </c>
      <c r="F1363" s="39">
        <v>620300</v>
      </c>
    </row>
    <row r="1364" spans="1:6">
      <c r="A1364" s="41">
        <v>45811</v>
      </c>
      <c r="B1364" s="39">
        <v>33.090000152587891</v>
      </c>
      <c r="C1364" s="39">
        <v>33.169998168945312</v>
      </c>
      <c r="D1364" s="39">
        <v>31.579999923706051</v>
      </c>
      <c r="E1364" s="39">
        <v>31.870000839233398</v>
      </c>
      <c r="F1364" s="39">
        <v>1019000</v>
      </c>
    </row>
    <row r="1365" spans="1:6">
      <c r="A1365" s="41">
        <v>45812</v>
      </c>
      <c r="B1365" s="39">
        <v>33.119998931884773</v>
      </c>
      <c r="C1365" s="39">
        <v>33.529998779296882</v>
      </c>
      <c r="D1365" s="39">
        <v>32.950000762939453</v>
      </c>
      <c r="E1365" s="39">
        <v>33.459999084472663</v>
      </c>
      <c r="F1365" s="39">
        <v>698400</v>
      </c>
    </row>
    <row r="1366" spans="1:6">
      <c r="A1366" s="41">
        <v>45813</v>
      </c>
      <c r="B1366" s="39">
        <v>33.330001831054688</v>
      </c>
      <c r="C1366" s="39">
        <v>33.700000762939453</v>
      </c>
      <c r="D1366" s="39">
        <v>32.740001678466797</v>
      </c>
      <c r="E1366" s="39">
        <v>33.259998321533203</v>
      </c>
      <c r="F1366" s="39">
        <v>756200</v>
      </c>
    </row>
    <row r="1367" spans="1:6">
      <c r="A1367" s="41">
        <v>45814</v>
      </c>
      <c r="B1367" s="39">
        <v>33.590000152587891</v>
      </c>
      <c r="C1367" s="39">
        <v>33.75</v>
      </c>
      <c r="D1367" s="39">
        <v>33.259998321533203</v>
      </c>
      <c r="E1367" s="39">
        <v>33.540000915527337</v>
      </c>
      <c r="F1367" s="39">
        <v>494300</v>
      </c>
    </row>
    <row r="1368" spans="1:6">
      <c r="A1368" s="41">
        <v>45817</v>
      </c>
      <c r="B1368" s="39">
        <v>33.779998779296882</v>
      </c>
      <c r="C1368" s="39">
        <v>34.439998626708977</v>
      </c>
      <c r="D1368" s="39">
        <v>33.700000762939453</v>
      </c>
      <c r="E1368" s="39">
        <v>33.990001678466797</v>
      </c>
      <c r="F1368" s="39">
        <v>452900</v>
      </c>
    </row>
    <row r="1369" spans="1:6">
      <c r="A1369" s="41">
        <v>45818</v>
      </c>
      <c r="B1369" s="39">
        <v>34.319999694824219</v>
      </c>
      <c r="C1369" s="39">
        <v>34.599998474121087</v>
      </c>
      <c r="D1369" s="39">
        <v>33.849998474121087</v>
      </c>
      <c r="E1369" s="39">
        <v>34.389999389648438</v>
      </c>
      <c r="F1369" s="39">
        <v>548400</v>
      </c>
    </row>
    <row r="1370" spans="1:6">
      <c r="A1370" s="41">
        <v>45819</v>
      </c>
      <c r="B1370" s="39">
        <v>34.540000915527337</v>
      </c>
      <c r="C1370" s="39">
        <v>34.919998168945312</v>
      </c>
      <c r="D1370" s="39">
        <v>34.270000457763672</v>
      </c>
      <c r="E1370" s="39">
        <v>34.599998474121087</v>
      </c>
      <c r="F1370" s="39">
        <v>812300</v>
      </c>
    </row>
    <row r="1371" spans="1:6">
      <c r="A1371" s="41">
        <v>45820</v>
      </c>
      <c r="B1371" s="39">
        <v>34.229999542236328</v>
      </c>
      <c r="C1371" s="39">
        <v>34.569999694824219</v>
      </c>
      <c r="D1371" s="39">
        <v>34.110000610351562</v>
      </c>
      <c r="E1371" s="39">
        <v>34.270000457763672</v>
      </c>
      <c r="F1371" s="39">
        <v>307700</v>
      </c>
    </row>
    <row r="1372" spans="1:6">
      <c r="A1372" s="41">
        <v>45821</v>
      </c>
      <c r="B1372" s="39">
        <v>34.970001220703118</v>
      </c>
      <c r="C1372" s="39">
        <v>35.259998321533203</v>
      </c>
      <c r="D1372" s="39">
        <v>33.450000762939453</v>
      </c>
      <c r="E1372" s="39">
        <v>33.5</v>
      </c>
      <c r="F1372" s="39">
        <v>1205700</v>
      </c>
    </row>
    <row r="1373" spans="1:6">
      <c r="A1373" s="41">
        <v>45824</v>
      </c>
      <c r="B1373" s="39">
        <v>35.380001068115227</v>
      </c>
      <c r="C1373" s="39">
        <v>35.639999389648438</v>
      </c>
      <c r="D1373" s="39">
        <v>34.75</v>
      </c>
      <c r="E1373" s="39">
        <v>35.360000610351562</v>
      </c>
      <c r="F1373" s="39">
        <v>911900</v>
      </c>
    </row>
    <row r="1374" spans="1:6">
      <c r="A1374" s="41">
        <v>45825</v>
      </c>
      <c r="B1374" s="39">
        <v>32.139999389648438</v>
      </c>
      <c r="C1374" s="39">
        <v>32.5</v>
      </c>
      <c r="D1374" s="39">
        <v>31.39999961853027</v>
      </c>
      <c r="E1374" s="39">
        <v>31.680000305175781</v>
      </c>
      <c r="F1374" s="39">
        <v>2879500</v>
      </c>
    </row>
    <row r="1375" spans="1:6">
      <c r="A1375" s="41">
        <v>45826</v>
      </c>
      <c r="B1375" s="39">
        <v>32.490001678466797</v>
      </c>
      <c r="C1375" s="39">
        <v>32.799999237060547</v>
      </c>
      <c r="D1375" s="39">
        <v>32.049999237060547</v>
      </c>
      <c r="E1375" s="39">
        <v>32.080001831054688</v>
      </c>
      <c r="F1375" s="39">
        <v>668900</v>
      </c>
    </row>
    <row r="1376" spans="1:6">
      <c r="A1376" s="41">
        <v>45828</v>
      </c>
      <c r="B1376" s="39">
        <v>32.049999237060547</v>
      </c>
      <c r="C1376" s="39">
        <v>33.009998321533203</v>
      </c>
      <c r="D1376" s="39">
        <v>32.040000915527337</v>
      </c>
      <c r="E1376" s="39">
        <v>32.650001525878913</v>
      </c>
      <c r="F1376" s="39">
        <v>1432600</v>
      </c>
    </row>
    <row r="1377" spans="1:6">
      <c r="A1377" s="41">
        <v>45831</v>
      </c>
      <c r="B1377" s="39">
        <v>32.060001373291023</v>
      </c>
      <c r="C1377" s="39">
        <v>32.319999694824219</v>
      </c>
      <c r="D1377" s="39">
        <v>31.590000152587891</v>
      </c>
      <c r="E1377" s="39">
        <v>31.989999771118161</v>
      </c>
      <c r="F1377" s="39">
        <v>556900</v>
      </c>
    </row>
    <row r="1378" spans="1:6">
      <c r="A1378" s="41">
        <v>45832</v>
      </c>
      <c r="B1378" s="39">
        <v>33.409999847412109</v>
      </c>
      <c r="C1378" s="39">
        <v>33.659999847412109</v>
      </c>
      <c r="D1378" s="39">
        <v>31.930000305175781</v>
      </c>
      <c r="E1378" s="39">
        <v>32.310001373291023</v>
      </c>
      <c r="F1378" s="39">
        <v>1142800</v>
      </c>
    </row>
    <row r="1379" spans="1:6">
      <c r="A1379" s="41">
        <v>45833</v>
      </c>
      <c r="B1379" s="39">
        <v>33.470001220703118</v>
      </c>
      <c r="C1379" s="39">
        <v>33.569999694824219</v>
      </c>
      <c r="D1379" s="39">
        <v>33.009998321533203</v>
      </c>
      <c r="E1379" s="39">
        <v>33.540000915527337</v>
      </c>
      <c r="F1379" s="39">
        <v>312700</v>
      </c>
    </row>
    <row r="1380" spans="1:6">
      <c r="A1380" s="41">
        <v>45834</v>
      </c>
      <c r="B1380" s="39">
        <v>34.310001373291023</v>
      </c>
      <c r="C1380" s="39">
        <v>34.560001373291023</v>
      </c>
      <c r="D1380" s="39">
        <v>33.830001831054688</v>
      </c>
      <c r="E1380" s="39">
        <v>33.830001831054688</v>
      </c>
      <c r="F1380" s="39">
        <v>572300</v>
      </c>
    </row>
    <row r="1381" spans="1:6">
      <c r="A1381" s="41">
        <v>45835</v>
      </c>
      <c r="B1381" s="39">
        <v>34.139999389648438</v>
      </c>
      <c r="C1381" s="39">
        <v>34.619998931884773</v>
      </c>
      <c r="D1381" s="39">
        <v>33.75</v>
      </c>
      <c r="E1381" s="39">
        <v>34.619998931884773</v>
      </c>
      <c r="F1381" s="39">
        <v>269900</v>
      </c>
    </row>
    <row r="1382" spans="1:6">
      <c r="A1382" s="41">
        <v>45838</v>
      </c>
      <c r="B1382" s="39">
        <v>34.259998321533203</v>
      </c>
      <c r="C1382" s="39">
        <v>34.689998626708977</v>
      </c>
      <c r="D1382" s="39">
        <v>33.720001220703118</v>
      </c>
      <c r="E1382" s="39">
        <v>33.950000762939453</v>
      </c>
      <c r="F1382" s="39">
        <v>589300</v>
      </c>
    </row>
    <row r="1383" spans="1:6">
      <c r="A1383" s="41">
        <v>45839</v>
      </c>
      <c r="B1383" s="39">
        <v>35.240001678466797</v>
      </c>
      <c r="C1383" s="39">
        <v>36.110000610351562</v>
      </c>
      <c r="D1383" s="39">
        <v>33.970001220703118</v>
      </c>
      <c r="E1383" s="39">
        <v>34.560001373291023</v>
      </c>
      <c r="F1383" s="39">
        <v>1228000</v>
      </c>
    </row>
    <row r="1384" spans="1:6">
      <c r="A1384" s="41">
        <v>45840</v>
      </c>
      <c r="B1384" s="39">
        <v>37.040000915527337</v>
      </c>
      <c r="C1384" s="39">
        <v>37.619998931884773</v>
      </c>
      <c r="D1384" s="39">
        <v>36.279998779296882</v>
      </c>
      <c r="E1384" s="39">
        <v>36.369998931884773</v>
      </c>
      <c r="F1384" s="39">
        <v>1478600</v>
      </c>
    </row>
    <row r="1385" spans="1:6">
      <c r="A1385" s="41">
        <v>45841</v>
      </c>
      <c r="B1385" s="39">
        <v>38.729999542236328</v>
      </c>
      <c r="C1385" s="39">
        <v>38.919998168945312</v>
      </c>
      <c r="D1385" s="39">
        <v>37.549999237060547</v>
      </c>
      <c r="E1385" s="39">
        <v>37.75</v>
      </c>
      <c r="F1385" s="39">
        <v>1963100</v>
      </c>
    </row>
    <row r="1386" spans="1:6">
      <c r="A1386" s="41">
        <v>45845</v>
      </c>
      <c r="B1386" s="39">
        <v>38.549999237060547</v>
      </c>
      <c r="C1386" s="39">
        <v>38.930000305175781</v>
      </c>
      <c r="D1386" s="39">
        <v>38.159999847412109</v>
      </c>
      <c r="E1386" s="39">
        <v>38.490001678466797</v>
      </c>
      <c r="F1386" s="39">
        <v>890300</v>
      </c>
    </row>
    <row r="1387" spans="1:6">
      <c r="A1387" s="41">
        <v>45846</v>
      </c>
      <c r="B1387" s="39">
        <v>38.080001831054688</v>
      </c>
      <c r="C1387" s="39">
        <v>38.520000457763672</v>
      </c>
      <c r="D1387" s="39">
        <v>37.819999694824219</v>
      </c>
      <c r="E1387" s="39">
        <v>38.099998474121087</v>
      </c>
      <c r="F1387" s="39">
        <v>856800</v>
      </c>
    </row>
    <row r="1388" spans="1:6">
      <c r="A1388" s="41">
        <v>45847</v>
      </c>
      <c r="B1388" s="39">
        <v>38.580001831054688</v>
      </c>
      <c r="C1388" s="39">
        <v>38.680000305175781</v>
      </c>
      <c r="D1388" s="39">
        <v>37.819999694824219</v>
      </c>
      <c r="E1388" s="39">
        <v>38.009998321533203</v>
      </c>
      <c r="F1388" s="39">
        <v>1145800</v>
      </c>
    </row>
    <row r="1389" spans="1:6">
      <c r="A1389" s="41">
        <v>45848</v>
      </c>
      <c r="B1389" s="39">
        <v>38.919998168945312</v>
      </c>
      <c r="C1389" s="39">
        <v>39.099998474121087</v>
      </c>
      <c r="D1389" s="39">
        <v>38.630001068115227</v>
      </c>
      <c r="E1389" s="39">
        <v>38.880001068115227</v>
      </c>
      <c r="F1389" s="39">
        <v>321400</v>
      </c>
    </row>
    <row r="1390" spans="1:6">
      <c r="A1390" s="41">
        <v>45849</v>
      </c>
      <c r="B1390" s="39">
        <v>38.099998474121087</v>
      </c>
      <c r="C1390" s="39">
        <v>38.619998931884773</v>
      </c>
      <c r="D1390" s="39">
        <v>37.860000610351562</v>
      </c>
      <c r="E1390" s="39">
        <v>38.549999237060547</v>
      </c>
      <c r="F1390" s="39">
        <v>378100</v>
      </c>
    </row>
    <row r="1391" spans="1:6">
      <c r="A1391" s="41">
        <v>45852</v>
      </c>
      <c r="B1391" s="39">
        <v>38.299999237060547</v>
      </c>
      <c r="C1391" s="39">
        <v>38.779998779296882</v>
      </c>
      <c r="D1391" s="39">
        <v>37.889999389648438</v>
      </c>
      <c r="E1391" s="39">
        <v>38.110000610351562</v>
      </c>
      <c r="F1391" s="39">
        <v>690900</v>
      </c>
    </row>
    <row r="1392" spans="1:6">
      <c r="A1392" s="41">
        <v>45853</v>
      </c>
      <c r="B1392" s="39">
        <v>38.319999694824219</v>
      </c>
      <c r="C1392" s="39">
        <v>38.840000152587891</v>
      </c>
      <c r="D1392" s="39">
        <v>38.130001068115227</v>
      </c>
      <c r="E1392" s="39">
        <v>38.139999389648438</v>
      </c>
      <c r="F1392" s="39">
        <v>455100</v>
      </c>
    </row>
    <row r="1393" spans="1:6">
      <c r="A1393" s="41">
        <v>45854</v>
      </c>
      <c r="B1393" s="39">
        <v>37.869998931884773</v>
      </c>
      <c r="C1393" s="39">
        <v>38.509998321533203</v>
      </c>
      <c r="D1393" s="39">
        <v>37.599998474121087</v>
      </c>
      <c r="E1393" s="39">
        <v>38.380001068115227</v>
      </c>
      <c r="F1393" s="39">
        <v>362500</v>
      </c>
    </row>
    <row r="1394" spans="1:6">
      <c r="A1394" s="41">
        <v>45855</v>
      </c>
      <c r="B1394" s="39">
        <v>37.970001220703118</v>
      </c>
      <c r="C1394" s="39">
        <v>38.360000610351562</v>
      </c>
      <c r="D1394" s="39">
        <v>37.810001373291023</v>
      </c>
      <c r="E1394" s="39">
        <v>37.810001373291023</v>
      </c>
      <c r="F1394" s="39">
        <v>833600</v>
      </c>
    </row>
    <row r="1395" spans="1:6">
      <c r="A1395" s="41">
        <v>45856</v>
      </c>
      <c r="B1395" s="39">
        <v>37.990001678466797</v>
      </c>
      <c r="C1395" s="39">
        <v>38.200000762939453</v>
      </c>
      <c r="D1395" s="39">
        <v>37.680000305175781</v>
      </c>
      <c r="E1395" s="39">
        <v>37.990001678466797</v>
      </c>
      <c r="F1395" s="39">
        <v>481000</v>
      </c>
    </row>
    <row r="1396" spans="1:6">
      <c r="A1396" s="41">
        <v>45859</v>
      </c>
      <c r="B1396" s="39">
        <v>38.360000610351562</v>
      </c>
      <c r="C1396" s="39">
        <v>38.880001068115227</v>
      </c>
      <c r="D1396" s="39">
        <v>38.009998321533203</v>
      </c>
      <c r="E1396" s="39">
        <v>38.090000152587891</v>
      </c>
      <c r="F1396" s="39">
        <v>516800</v>
      </c>
    </row>
    <row r="1397" spans="1:6">
      <c r="A1397" s="41">
        <v>45860</v>
      </c>
      <c r="B1397" s="39">
        <v>40.119998931884773</v>
      </c>
      <c r="C1397" s="39">
        <v>40.349998474121087</v>
      </c>
      <c r="D1397" s="39">
        <v>39.020000457763672</v>
      </c>
      <c r="E1397" s="39">
        <v>39.099998474121087</v>
      </c>
      <c r="F1397" s="39">
        <v>1015400</v>
      </c>
    </row>
    <row r="1398" spans="1:6">
      <c r="A1398" s="41">
        <v>45861</v>
      </c>
      <c r="B1398" s="39">
        <v>39.270000457763672</v>
      </c>
      <c r="C1398" s="39">
        <v>39.869998931884773</v>
      </c>
      <c r="D1398" s="39">
        <v>38.950000762939453</v>
      </c>
      <c r="E1398" s="39">
        <v>39.869998931884773</v>
      </c>
      <c r="F1398" s="39">
        <v>949200</v>
      </c>
    </row>
    <row r="1399" spans="1:6">
      <c r="A1399" s="41">
        <v>45862</v>
      </c>
      <c r="B1399" s="39">
        <v>39.130001068115227</v>
      </c>
      <c r="C1399" s="39">
        <v>39.790000915527337</v>
      </c>
      <c r="D1399" s="39">
        <v>38.939998626708977</v>
      </c>
      <c r="E1399" s="39">
        <v>39.639999389648438</v>
      </c>
      <c r="F1399" s="39">
        <v>428900</v>
      </c>
    </row>
    <row r="1400" spans="1:6">
      <c r="A1400" s="41">
        <v>45863</v>
      </c>
      <c r="B1400" s="39">
        <v>39.110000610351562</v>
      </c>
      <c r="C1400" s="39">
        <v>39.169998168945312</v>
      </c>
      <c r="D1400" s="39">
        <v>38.659999847412109</v>
      </c>
      <c r="E1400" s="39">
        <v>39.099998474121087</v>
      </c>
      <c r="F1400" s="39">
        <v>187800</v>
      </c>
    </row>
    <row r="1401" spans="1:6">
      <c r="A1401" s="41">
        <v>45866</v>
      </c>
      <c r="B1401" s="39">
        <v>38.680000305175781</v>
      </c>
      <c r="C1401" s="39">
        <v>38.959999084472663</v>
      </c>
      <c r="D1401" s="39">
        <v>38.419998168945312</v>
      </c>
      <c r="E1401" s="39">
        <v>38.959999084472663</v>
      </c>
      <c r="F1401" s="39">
        <v>393900</v>
      </c>
    </row>
    <row r="1402" spans="1:6">
      <c r="A1402" s="41">
        <v>45867</v>
      </c>
      <c r="B1402" s="39">
        <v>38.419998168945312</v>
      </c>
      <c r="C1402" s="39">
        <v>39.020000457763672</v>
      </c>
      <c r="D1402" s="39">
        <v>38.310001373291023</v>
      </c>
      <c r="E1402" s="39">
        <v>38.970001220703118</v>
      </c>
      <c r="F1402" s="39">
        <v>360700</v>
      </c>
    </row>
    <row r="1403" spans="1:6">
      <c r="A1403" s="41">
        <v>45868</v>
      </c>
      <c r="B1403" s="39">
        <v>37.560001373291023</v>
      </c>
      <c r="C1403" s="39">
        <v>38.139999389648438</v>
      </c>
      <c r="D1403" s="39">
        <v>37.310001373291023</v>
      </c>
      <c r="E1403" s="39">
        <v>38.110000610351562</v>
      </c>
      <c r="F1403" s="39">
        <v>535400</v>
      </c>
    </row>
    <row r="1404" spans="1:6">
      <c r="A1404" s="41">
        <v>45869</v>
      </c>
      <c r="B1404" s="39">
        <v>36.799999237060547</v>
      </c>
      <c r="C1404" s="39">
        <v>37.340000152587891</v>
      </c>
      <c r="D1404" s="39">
        <v>36.540000915527337</v>
      </c>
      <c r="E1404" s="39">
        <v>37.090000152587891</v>
      </c>
      <c r="F1404" s="39">
        <v>885000</v>
      </c>
    </row>
    <row r="1405" spans="1:6">
      <c r="A1405" s="41">
        <v>45870</v>
      </c>
      <c r="B1405" s="39">
        <v>36.459999084472663</v>
      </c>
      <c r="C1405" s="39">
        <v>37.25</v>
      </c>
      <c r="D1405" s="39">
        <v>36.349998474121087</v>
      </c>
      <c r="E1405" s="39">
        <v>37.139999389648438</v>
      </c>
      <c r="F1405" s="39">
        <v>531600</v>
      </c>
    </row>
    <row r="1406" spans="1:6">
      <c r="A1406" s="41">
        <v>45873</v>
      </c>
      <c r="B1406" s="39">
        <v>36.689998626708977</v>
      </c>
      <c r="C1406" s="39">
        <v>36.889999389648438</v>
      </c>
      <c r="D1406" s="39">
        <v>36.490001678466797</v>
      </c>
      <c r="E1406" s="39">
        <v>36.619998931884773</v>
      </c>
      <c r="F1406" s="39">
        <v>301400</v>
      </c>
    </row>
    <row r="1407" spans="1:6">
      <c r="A1407" s="41">
        <v>45874</v>
      </c>
      <c r="B1407" s="39">
        <v>36.459999084472663</v>
      </c>
      <c r="C1407" s="39">
        <v>36.709999084472663</v>
      </c>
      <c r="D1407" s="39">
        <v>36.279998779296882</v>
      </c>
      <c r="E1407" s="39">
        <v>36.700000762939453</v>
      </c>
      <c r="F1407" s="39">
        <v>313600</v>
      </c>
    </row>
    <row r="1408" spans="1:6">
      <c r="A1408" s="41">
        <v>45875</v>
      </c>
      <c r="B1408" s="39">
        <v>36.069999694824219</v>
      </c>
      <c r="C1408" s="39">
        <v>36.540000915527337</v>
      </c>
      <c r="D1408" s="39">
        <v>35.979999542236328</v>
      </c>
      <c r="E1408" s="39">
        <v>36.450000762939453</v>
      </c>
      <c r="F1408" s="39">
        <v>485500</v>
      </c>
    </row>
    <row r="1409" spans="1:6">
      <c r="A1409" s="41">
        <v>45876</v>
      </c>
      <c r="B1409" s="39">
        <v>36.479999542236328</v>
      </c>
      <c r="C1409" s="39">
        <v>37.159999847412109</v>
      </c>
      <c r="D1409" s="39">
        <v>36.479999542236328</v>
      </c>
      <c r="E1409" s="39">
        <v>36.830001831054688</v>
      </c>
      <c r="F1409" s="39">
        <v>528900</v>
      </c>
    </row>
    <row r="1410" spans="1:6">
      <c r="A1410" s="41">
        <v>45877</v>
      </c>
      <c r="B1410" s="39">
        <v>36.75</v>
      </c>
      <c r="C1410" s="39">
        <v>37.130001068115227</v>
      </c>
      <c r="D1410" s="39">
        <v>36.569999694824219</v>
      </c>
      <c r="E1410" s="39">
        <v>36.979999542236328</v>
      </c>
      <c r="F1410" s="39">
        <v>508400</v>
      </c>
    </row>
    <row r="1411" spans="1:6">
      <c r="A1411" s="41">
        <v>45880</v>
      </c>
      <c r="B1411" s="39">
        <v>36.599998474121087</v>
      </c>
      <c r="C1411" s="39">
        <v>37.650001525878913</v>
      </c>
      <c r="D1411" s="39">
        <v>36.490001678466797</v>
      </c>
      <c r="E1411" s="39">
        <v>37.209999084472663</v>
      </c>
      <c r="F1411" s="39">
        <v>597200</v>
      </c>
    </row>
    <row r="1412" spans="1:6">
      <c r="A1412" s="41">
        <v>45881</v>
      </c>
      <c r="B1412" s="39">
        <v>36.880001068115227</v>
      </c>
      <c r="C1412" s="39">
        <v>36.970001220703118</v>
      </c>
      <c r="D1412" s="39">
        <v>36.490001678466797</v>
      </c>
      <c r="E1412" s="39">
        <v>36.759998321533203</v>
      </c>
      <c r="F1412" s="39">
        <v>331100</v>
      </c>
    </row>
    <row r="1413" spans="1:6">
      <c r="A1413" s="41">
        <v>45882</v>
      </c>
      <c r="B1413" s="39">
        <v>37.25</v>
      </c>
      <c r="C1413" s="39">
        <v>37.790000915527337</v>
      </c>
      <c r="D1413" s="39">
        <v>36.959999084472663</v>
      </c>
      <c r="E1413" s="39">
        <v>36.959999084472663</v>
      </c>
      <c r="F1413" s="39">
        <v>497000</v>
      </c>
    </row>
    <row r="1414" spans="1:6">
      <c r="A1414" s="41">
        <v>45883</v>
      </c>
      <c r="B1414" s="39">
        <v>36.619998931884773</v>
      </c>
      <c r="C1414" s="39">
        <v>36.849998474121087</v>
      </c>
      <c r="D1414" s="39">
        <v>36.110000610351562</v>
      </c>
      <c r="E1414" s="39">
        <v>36.75</v>
      </c>
      <c r="F1414" s="39">
        <v>469800</v>
      </c>
    </row>
    <row r="1415" spans="1:6">
      <c r="A1415" s="41">
        <v>45884</v>
      </c>
      <c r="B1415" s="39">
        <v>39.840000152587891</v>
      </c>
      <c r="C1415" s="39">
        <v>40.639999389648438</v>
      </c>
      <c r="D1415" s="39">
        <v>37.150001525878913</v>
      </c>
      <c r="E1415" s="39">
        <v>37.159999847412109</v>
      </c>
      <c r="F1415" s="39">
        <v>2175400</v>
      </c>
    </row>
    <row r="1416" spans="1:6">
      <c r="A1416" s="41">
        <v>45887</v>
      </c>
      <c r="B1416" s="39">
        <v>41.689998626708977</v>
      </c>
      <c r="C1416" s="39">
        <v>41.970001220703118</v>
      </c>
      <c r="D1416" s="39">
        <v>40.869998931884773</v>
      </c>
      <c r="E1416" s="39">
        <v>40.919998168945312</v>
      </c>
      <c r="F1416" s="39">
        <v>1600100</v>
      </c>
    </row>
    <row r="1417" spans="1:6">
      <c r="A1417" s="41">
        <v>45888</v>
      </c>
      <c r="B1417" s="39">
        <v>41</v>
      </c>
      <c r="C1417" s="39">
        <v>41.650001525878913</v>
      </c>
      <c r="D1417" s="39">
        <v>40.759998321533203</v>
      </c>
      <c r="E1417" s="39">
        <v>41.279998779296882</v>
      </c>
      <c r="F1417" s="39">
        <v>1321100</v>
      </c>
    </row>
    <row r="1418" spans="1:6">
      <c r="A1418" s="41">
        <v>45889</v>
      </c>
      <c r="B1418" s="39">
        <v>41.029998779296882</v>
      </c>
      <c r="C1418" s="39">
        <v>41.619998931884773</v>
      </c>
      <c r="D1418" s="39">
        <v>40.740001678466797</v>
      </c>
      <c r="E1418" s="39">
        <v>41</v>
      </c>
      <c r="F1418" s="39">
        <v>897500</v>
      </c>
    </row>
    <row r="1419" spans="1:6">
      <c r="A1419" s="41">
        <v>45890</v>
      </c>
      <c r="B1419" s="39">
        <v>39.619998931884773</v>
      </c>
      <c r="C1419" s="39">
        <v>40.459999084472663</v>
      </c>
      <c r="D1419" s="39">
        <v>39.360000610351562</v>
      </c>
      <c r="E1419" s="39">
        <v>40.459999084472663</v>
      </c>
      <c r="F1419" s="39">
        <v>1038700</v>
      </c>
    </row>
    <row r="1420" spans="1:6">
      <c r="A1420" s="41">
        <v>45891</v>
      </c>
      <c r="B1420" s="39">
        <v>41.889999389648438</v>
      </c>
      <c r="C1420" s="39">
        <v>42.040000915527337</v>
      </c>
      <c r="D1420" s="39">
        <v>39.770000457763672</v>
      </c>
      <c r="E1420" s="39">
        <v>39.799999237060547</v>
      </c>
      <c r="F1420" s="39">
        <v>1523900</v>
      </c>
    </row>
    <row r="1421" spans="1:6">
      <c r="A1421" s="41">
        <v>45894</v>
      </c>
      <c r="B1421" s="39">
        <v>41.669998168945312</v>
      </c>
      <c r="C1421" s="39">
        <v>41.990001678466797</v>
      </c>
      <c r="D1421" s="39">
        <v>41.150001525878913</v>
      </c>
      <c r="E1421" s="39">
        <v>41.520000457763672</v>
      </c>
      <c r="F1421" s="39">
        <v>1037200</v>
      </c>
    </row>
    <row r="1422" spans="1:6">
      <c r="A1422" s="41">
        <v>45895</v>
      </c>
      <c r="B1422" s="39">
        <v>41.810001373291023</v>
      </c>
      <c r="C1422" s="39">
        <v>42.630001068115227</v>
      </c>
      <c r="D1422" s="39">
        <v>41.490001678466797</v>
      </c>
      <c r="E1422" s="39">
        <v>41.689998626708977</v>
      </c>
      <c r="F1422" s="39">
        <v>1732800</v>
      </c>
    </row>
    <row r="1423" spans="1:6">
      <c r="A1423" s="41">
        <v>45896</v>
      </c>
      <c r="B1423" s="39">
        <v>40.959999084472663</v>
      </c>
      <c r="C1423" s="39">
        <v>41.700000762939453</v>
      </c>
      <c r="D1423" s="39">
        <v>40.849998474121087</v>
      </c>
      <c r="E1423" s="39">
        <v>41.700000762939453</v>
      </c>
      <c r="F1423" s="39">
        <v>989600</v>
      </c>
    </row>
    <row r="1424" spans="1:6">
      <c r="A1424" s="41">
        <v>45897</v>
      </c>
      <c r="B1424" s="39">
        <v>41.459999084472663</v>
      </c>
      <c r="C1424" s="39">
        <v>41.709999084472663</v>
      </c>
      <c r="D1424" s="39">
        <v>41.080001831054688</v>
      </c>
      <c r="E1424" s="39">
        <v>41.529998779296882</v>
      </c>
      <c r="F1424" s="39">
        <v>321100</v>
      </c>
    </row>
    <row r="1425" spans="1:6">
      <c r="A1425" s="41">
        <v>45898</v>
      </c>
      <c r="B1425" s="39">
        <v>41.549999237060547</v>
      </c>
      <c r="C1425" s="39">
        <v>42.040000915527337</v>
      </c>
      <c r="D1425" s="39">
        <v>41.439998626708977</v>
      </c>
      <c r="E1425" s="39">
        <v>41.610000610351562</v>
      </c>
      <c r="F1425" s="39">
        <v>390800</v>
      </c>
    </row>
    <row r="1426" spans="1:6">
      <c r="A1426" s="41">
        <v>45902</v>
      </c>
      <c r="B1426" s="39">
        <v>40.979999542236328</v>
      </c>
      <c r="C1426" s="39">
        <v>41.020000457763672</v>
      </c>
      <c r="D1426" s="39">
        <v>39.75</v>
      </c>
      <c r="E1426" s="39">
        <v>40.159999847412109</v>
      </c>
      <c r="F1426" s="39">
        <v>799800</v>
      </c>
    </row>
    <row r="1427" spans="1:6">
      <c r="A1427" s="41">
        <v>45903</v>
      </c>
      <c r="B1427" s="39">
        <v>41.569999694824219</v>
      </c>
      <c r="C1427" s="39">
        <v>42.040000915527337</v>
      </c>
      <c r="D1427" s="39">
        <v>41</v>
      </c>
      <c r="E1427" s="39">
        <v>41</v>
      </c>
      <c r="F1427" s="39">
        <v>1071100</v>
      </c>
    </row>
    <row r="1428" spans="1:6">
      <c r="A1428" s="41">
        <v>45904</v>
      </c>
      <c r="B1428" s="39">
        <v>42.020000457763672</v>
      </c>
      <c r="C1428" s="39">
        <v>42.159999847412109</v>
      </c>
      <c r="D1428" s="39">
        <v>41.419998168945312</v>
      </c>
      <c r="E1428" s="39">
        <v>41.819999694824219</v>
      </c>
      <c r="F1428" s="39">
        <v>611200</v>
      </c>
    </row>
    <row r="1429" spans="1:6">
      <c r="A1429" s="41">
        <v>45905</v>
      </c>
      <c r="B1429" s="39">
        <v>44.040000915527337</v>
      </c>
      <c r="C1429" s="39">
        <v>44.490001678466797</v>
      </c>
      <c r="D1429" s="39">
        <v>42.930000305175781</v>
      </c>
      <c r="E1429" s="39">
        <v>43.439998626708977</v>
      </c>
      <c r="F1429" s="39">
        <v>1550800</v>
      </c>
    </row>
    <row r="1430" spans="1:6">
      <c r="A1430" s="41">
        <v>45908</v>
      </c>
      <c r="B1430" s="39">
        <v>43.330001831054688</v>
      </c>
      <c r="C1430" s="39">
        <v>44.130001068115227</v>
      </c>
      <c r="D1430" s="39">
        <v>42.909999847412109</v>
      </c>
      <c r="E1430" s="39">
        <v>44.119998931884773</v>
      </c>
      <c r="F1430" s="39">
        <v>1142000</v>
      </c>
    </row>
    <row r="1431" spans="1:6">
      <c r="A1431" s="41">
        <v>45909</v>
      </c>
      <c r="B1431" s="39">
        <v>41.970001220703118</v>
      </c>
      <c r="C1431" s="39">
        <v>43.180000305175781</v>
      </c>
      <c r="D1431" s="39">
        <v>41.650001525878913</v>
      </c>
      <c r="E1431" s="39">
        <v>43.020000457763672</v>
      </c>
      <c r="F1431" s="39">
        <v>898200</v>
      </c>
    </row>
    <row r="1432" spans="1:6">
      <c r="A1432" s="41">
        <v>45910</v>
      </c>
      <c r="B1432" s="39">
        <v>41.909999847412109</v>
      </c>
      <c r="C1432" s="39">
        <v>42.360000610351562</v>
      </c>
      <c r="D1432" s="39">
        <v>41.610000610351562</v>
      </c>
      <c r="E1432" s="39">
        <v>42</v>
      </c>
      <c r="F1432" s="39">
        <v>699500</v>
      </c>
    </row>
    <row r="1433" spans="1:6">
      <c r="A1433" s="41">
        <v>45911</v>
      </c>
      <c r="B1433" s="39">
        <v>41.860000610351562</v>
      </c>
      <c r="C1433" s="39">
        <v>42.599998474121087</v>
      </c>
      <c r="D1433" s="39">
        <v>41.599998474121087</v>
      </c>
      <c r="E1433" s="39">
        <v>42.080001831054688</v>
      </c>
      <c r="F1433" s="39">
        <v>443800</v>
      </c>
    </row>
    <row r="1434" spans="1:6">
      <c r="A1434" s="41">
        <v>45912</v>
      </c>
      <c r="B1434" s="39">
        <v>41.779998779296882</v>
      </c>
      <c r="C1434" s="39">
        <v>41.950000762939453</v>
      </c>
      <c r="D1434" s="39">
        <v>41.400001525878913</v>
      </c>
      <c r="E1434" s="39">
        <v>41.599998474121087</v>
      </c>
      <c r="F1434" s="39">
        <v>537400</v>
      </c>
    </row>
    <row r="1435" spans="1:6">
      <c r="A1435" s="41">
        <v>45915</v>
      </c>
      <c r="B1435" s="39">
        <v>42.349998474121087</v>
      </c>
      <c r="C1435" s="39">
        <v>42.549999237060547</v>
      </c>
      <c r="D1435" s="39">
        <v>41.330001831054688</v>
      </c>
      <c r="E1435" s="39">
        <v>41.770000457763672</v>
      </c>
      <c r="F1435" s="39">
        <v>523700</v>
      </c>
    </row>
    <row r="1436" spans="1:6">
      <c r="A1436" s="41">
        <v>45916</v>
      </c>
      <c r="B1436" s="39">
        <v>42.669998168945312</v>
      </c>
      <c r="C1436" s="39">
        <v>42.930000305175781</v>
      </c>
      <c r="D1436" s="39">
        <v>42.319999694824219</v>
      </c>
      <c r="E1436" s="39">
        <v>42.529998779296882</v>
      </c>
      <c r="F1436" s="39">
        <v>364100</v>
      </c>
    </row>
    <row r="1437" spans="1:6">
      <c r="A1437" s="41">
        <v>45917</v>
      </c>
      <c r="B1437" s="39">
        <v>42.860000610351562</v>
      </c>
      <c r="C1437" s="39">
        <v>43.779998779296882</v>
      </c>
      <c r="D1437" s="39">
        <v>42.330001831054688</v>
      </c>
      <c r="E1437" s="39">
        <v>42.720001220703118</v>
      </c>
      <c r="F1437" s="39">
        <v>668600</v>
      </c>
    </row>
    <row r="1438" spans="1:6">
      <c r="A1438" s="41">
        <v>45918</v>
      </c>
      <c r="B1438" s="39">
        <v>42.810001373291023</v>
      </c>
      <c r="C1438" s="39">
        <v>43.060001373291023</v>
      </c>
      <c r="D1438" s="39">
        <v>42.110000610351562</v>
      </c>
      <c r="E1438" s="39">
        <v>43.060001373291023</v>
      </c>
      <c r="F1438" s="39">
        <v>1070200</v>
      </c>
    </row>
    <row r="1439" spans="1:6">
      <c r="A1439" s="41">
        <v>45919</v>
      </c>
      <c r="B1439" s="39">
        <v>43.169998168945312</v>
      </c>
      <c r="C1439" s="39">
        <v>43.369998931884773</v>
      </c>
      <c r="D1439" s="39">
        <v>42.669998168945312</v>
      </c>
      <c r="E1439" s="39">
        <v>42.720001220703118</v>
      </c>
      <c r="F1439" s="39">
        <v>1562200</v>
      </c>
    </row>
    <row r="1440" spans="1:6">
      <c r="A1440" s="41">
        <v>45922</v>
      </c>
      <c r="B1440" s="39">
        <v>43.889999389648438</v>
      </c>
      <c r="C1440" s="39">
        <v>43.919998168945312</v>
      </c>
      <c r="D1440" s="39">
        <v>42.569999694824219</v>
      </c>
      <c r="E1440" s="39">
        <v>42.610000610351562</v>
      </c>
      <c r="F1440" s="39">
        <v>505300</v>
      </c>
    </row>
    <row r="1441" spans="1:6">
      <c r="A1441" s="41">
        <v>45923</v>
      </c>
      <c r="B1441" s="39">
        <v>42.369998931884773</v>
      </c>
      <c r="C1441" s="39">
        <v>43.979999542236328</v>
      </c>
      <c r="D1441" s="39">
        <v>42.220001220703118</v>
      </c>
      <c r="E1441" s="39">
        <v>43.979999542236328</v>
      </c>
      <c r="F1441" s="39">
        <v>877600</v>
      </c>
    </row>
    <row r="1442" spans="1:6">
      <c r="A1442" s="41">
        <v>45924</v>
      </c>
      <c r="B1442" s="39">
        <v>43.349998474121087</v>
      </c>
      <c r="C1442" s="39">
        <v>44.080001831054688</v>
      </c>
      <c r="D1442" s="39">
        <v>42.799999237060547</v>
      </c>
      <c r="E1442" s="39">
        <v>42.950000762939453</v>
      </c>
      <c r="F1442" s="39">
        <v>743900</v>
      </c>
    </row>
    <row r="1443" spans="1:6">
      <c r="A1443" s="41">
        <v>45925</v>
      </c>
      <c r="B1443" s="39">
        <v>43.709999084472663</v>
      </c>
      <c r="C1443" s="39">
        <v>43.770000457763672</v>
      </c>
      <c r="D1443" s="39">
        <v>42.299999237060547</v>
      </c>
      <c r="E1443" s="39">
        <v>42.840000152587891</v>
      </c>
      <c r="F1443" s="39">
        <v>402200</v>
      </c>
    </row>
    <row r="1444" spans="1:6">
      <c r="A1444" s="41">
        <v>45926</v>
      </c>
      <c r="B1444" s="39">
        <v>43.419998168945312</v>
      </c>
      <c r="C1444" s="39">
        <v>43.580001831054688</v>
      </c>
      <c r="D1444" s="39">
        <v>42.759998321533203</v>
      </c>
      <c r="E1444" s="39">
        <v>43.430000305175781</v>
      </c>
      <c r="F1444" s="39">
        <v>534000</v>
      </c>
    </row>
    <row r="1445" spans="1:6">
      <c r="A1445" s="41">
        <v>45929</v>
      </c>
      <c r="B1445" s="39">
        <v>43.819999694824219</v>
      </c>
      <c r="C1445" s="39">
        <v>44.209999084472663</v>
      </c>
      <c r="D1445" s="39">
        <v>43.560001373291023</v>
      </c>
      <c r="E1445" s="39">
        <v>43.900001525878913</v>
      </c>
      <c r="F1445" s="39">
        <v>874400</v>
      </c>
    </row>
    <row r="1446" spans="1:6">
      <c r="A1446" s="41">
        <v>45930</v>
      </c>
      <c r="B1446" s="39">
        <v>43.630001068115227</v>
      </c>
      <c r="C1446" s="39">
        <v>44.330001831054688</v>
      </c>
      <c r="D1446" s="39">
        <v>43.180000305175781</v>
      </c>
      <c r="E1446" s="39">
        <v>44.240001678466797</v>
      </c>
      <c r="F1446" s="39">
        <v>288500</v>
      </c>
    </row>
    <row r="1447" spans="1:6">
      <c r="A1447" s="41">
        <v>45931</v>
      </c>
      <c r="B1447" s="39">
        <v>45.080001831054688</v>
      </c>
      <c r="C1447" s="39">
        <v>45.319999694824219</v>
      </c>
      <c r="D1447" s="39">
        <v>44.060001373291023</v>
      </c>
      <c r="E1447" s="39">
        <v>44.060001373291023</v>
      </c>
      <c r="F1447" s="39">
        <v>839300</v>
      </c>
    </row>
    <row r="1448" spans="1:6">
      <c r="A1448" s="41">
        <v>45932</v>
      </c>
      <c r="B1448" s="39">
        <v>46.180000305175781</v>
      </c>
      <c r="C1448" s="39">
        <v>46.419998168945312</v>
      </c>
      <c r="D1448" s="39">
        <v>45.830001831054688</v>
      </c>
      <c r="E1448" s="39">
        <v>46.090000152587891</v>
      </c>
      <c r="F1448" s="39">
        <v>872500</v>
      </c>
    </row>
    <row r="1449" spans="1:6">
      <c r="A1449" s="41">
        <v>45933</v>
      </c>
      <c r="B1449" s="39">
        <v>45.979999542236328</v>
      </c>
      <c r="C1449" s="39">
        <v>46.959999084472663</v>
      </c>
      <c r="D1449" s="39">
        <v>45.599998474121087</v>
      </c>
      <c r="E1449" s="39">
        <v>46.520000457763672</v>
      </c>
      <c r="F1449" s="39">
        <v>869000</v>
      </c>
    </row>
    <row r="1450" spans="1:6">
      <c r="A1450" s="41">
        <v>45936</v>
      </c>
      <c r="B1450" s="39">
        <v>46.240001678466797</v>
      </c>
      <c r="C1450" s="39">
        <v>46.709999084472663</v>
      </c>
      <c r="D1450" s="39">
        <v>46.150001525878913</v>
      </c>
      <c r="E1450" s="39">
        <v>46.5</v>
      </c>
      <c r="F1450" s="39">
        <v>491600</v>
      </c>
    </row>
    <row r="1451" spans="1:6">
      <c r="A1451" s="41">
        <v>45937</v>
      </c>
      <c r="B1451" s="39">
        <v>45.680000305175781</v>
      </c>
      <c r="C1451" s="39">
        <v>46.520000457763672</v>
      </c>
      <c r="D1451" s="39">
        <v>45.360000610351562</v>
      </c>
      <c r="E1451" s="39">
        <v>46.299999237060547</v>
      </c>
      <c r="F1451" s="39">
        <v>866600</v>
      </c>
    </row>
    <row r="1452" spans="1:6">
      <c r="A1452" s="41">
        <v>45938</v>
      </c>
      <c r="B1452" s="39">
        <v>46.139999389648438</v>
      </c>
      <c r="C1452" s="39">
        <v>46.400001525878913</v>
      </c>
      <c r="D1452" s="39">
        <v>45.950000762939453</v>
      </c>
      <c r="E1452" s="39">
        <v>46.310001373291023</v>
      </c>
      <c r="F1452" s="39">
        <v>400700</v>
      </c>
    </row>
    <row r="1453" spans="1:6">
      <c r="A1453" s="41">
        <v>45939</v>
      </c>
      <c r="B1453" s="39">
        <v>47.540000915527337</v>
      </c>
      <c r="C1453" s="39">
        <v>48.569999694824219</v>
      </c>
      <c r="D1453" s="39">
        <v>46.599998474121087</v>
      </c>
      <c r="E1453" s="39">
        <v>46.729999542236328</v>
      </c>
      <c r="F1453" s="39">
        <v>1295100</v>
      </c>
    </row>
    <row r="1454" spans="1:6">
      <c r="A1454" s="41">
        <v>45940</v>
      </c>
      <c r="B1454" s="39">
        <v>44.950000762939453</v>
      </c>
      <c r="C1454" s="39">
        <v>47.669998168945312</v>
      </c>
      <c r="D1454" s="39">
        <v>44.619998931884773</v>
      </c>
      <c r="E1454" s="39">
        <v>47.650001525878913</v>
      </c>
      <c r="F1454" s="39">
        <v>1875500</v>
      </c>
    </row>
    <row r="1455" spans="1:6">
      <c r="A1455" s="41">
        <v>45943</v>
      </c>
      <c r="B1455" s="39">
        <v>46.319999694824219</v>
      </c>
      <c r="C1455" s="39">
        <v>47</v>
      </c>
      <c r="D1455" s="39">
        <v>45.880001068115227</v>
      </c>
      <c r="E1455" s="39">
        <v>45.950000762939453</v>
      </c>
      <c r="F1455" s="39">
        <v>882700</v>
      </c>
    </row>
    <row r="1456" spans="1:6">
      <c r="A1456" s="41">
        <v>45944</v>
      </c>
      <c r="B1456" s="39">
        <v>46.889999389648438</v>
      </c>
      <c r="C1456" s="39">
        <v>47.610000610351562</v>
      </c>
      <c r="D1456" s="39">
        <v>45.369998931884773</v>
      </c>
      <c r="E1456" s="39">
        <v>45.810001373291023</v>
      </c>
      <c r="F1456" s="39">
        <v>905600</v>
      </c>
    </row>
    <row r="1457" spans="1:6">
      <c r="A1457" s="41">
        <v>45945</v>
      </c>
      <c r="B1457" s="39">
        <v>48.930000305175781</v>
      </c>
      <c r="C1457" s="39">
        <v>49.319999694824219</v>
      </c>
      <c r="D1457" s="39">
        <v>47.509998321533203</v>
      </c>
      <c r="E1457" s="39">
        <v>48.259998321533203</v>
      </c>
      <c r="F1457" s="39">
        <v>2165500</v>
      </c>
    </row>
    <row r="1458" spans="1:6">
      <c r="A1458" s="41">
        <v>45946</v>
      </c>
      <c r="B1458" s="39">
        <v>48.029998779296882</v>
      </c>
      <c r="C1458" s="39">
        <v>49.599998474121087</v>
      </c>
      <c r="D1458" s="39">
        <v>47.799999237060547</v>
      </c>
      <c r="E1458" s="39">
        <v>49.5</v>
      </c>
      <c r="F1458" s="39">
        <v>1364300</v>
      </c>
    </row>
    <row r="1459" spans="1:6">
      <c r="A1459" s="41">
        <v>45947</v>
      </c>
      <c r="B1459" s="39">
        <v>46.560001373291023</v>
      </c>
      <c r="C1459" s="39">
        <v>47.310001373291023</v>
      </c>
      <c r="D1459" s="39">
        <v>46.279998779296882</v>
      </c>
      <c r="E1459" s="39">
        <v>46.959999084472663</v>
      </c>
      <c r="F1459" s="39">
        <v>1277900</v>
      </c>
    </row>
    <row r="1460" spans="1:6">
      <c r="A1460" s="41">
        <v>45950</v>
      </c>
      <c r="B1460" s="39">
        <v>47.240001678466797</v>
      </c>
      <c r="C1460" s="39">
        <v>47.529998779296882</v>
      </c>
      <c r="D1460" s="39">
        <v>46.919998168945312</v>
      </c>
      <c r="E1460" s="39">
        <v>47.009998321533203</v>
      </c>
      <c r="F1460" s="39">
        <v>562900</v>
      </c>
    </row>
    <row r="1461" spans="1:6">
      <c r="A1461" s="41">
        <v>45951</v>
      </c>
      <c r="B1461" s="39">
        <v>46.810001373291023</v>
      </c>
      <c r="C1461" s="39">
        <v>47.700000762939453</v>
      </c>
      <c r="D1461" s="39">
        <v>46.479999542236328</v>
      </c>
      <c r="E1461" s="39">
        <v>47.700000762939453</v>
      </c>
      <c r="F1461" s="39">
        <v>385800</v>
      </c>
    </row>
    <row r="1462" spans="1:6">
      <c r="A1462" s="41">
        <v>45952</v>
      </c>
      <c r="B1462" s="39">
        <v>45.950000762939453</v>
      </c>
      <c r="C1462" s="39">
        <v>46.659999847412109</v>
      </c>
      <c r="D1462" s="39">
        <v>45.029998779296882</v>
      </c>
      <c r="E1462" s="39">
        <v>46.409999847412109</v>
      </c>
      <c r="F1462" s="39">
        <v>670400</v>
      </c>
    </row>
    <row r="1463" spans="1:6">
      <c r="A1463" s="41">
        <v>45953</v>
      </c>
      <c r="B1463" s="39">
        <v>46.529998779296882</v>
      </c>
      <c r="C1463" s="39">
        <v>46.759998321533203</v>
      </c>
      <c r="D1463" s="39">
        <v>45.669998168945312</v>
      </c>
      <c r="E1463" s="39">
        <v>45.860000610351562</v>
      </c>
      <c r="F1463" s="39">
        <v>254400</v>
      </c>
    </row>
    <row r="1464" spans="1:6">
      <c r="A1464" s="41">
        <v>45954</v>
      </c>
      <c r="B1464" s="39">
        <v>48.099998474121087</v>
      </c>
      <c r="C1464" s="39">
        <v>48.619998931884773</v>
      </c>
      <c r="D1464" s="39">
        <v>47.810001373291023</v>
      </c>
      <c r="E1464" s="39">
        <v>47.950000762939453</v>
      </c>
      <c r="F1464" s="39">
        <v>583800</v>
      </c>
    </row>
    <row r="1465" spans="1:6">
      <c r="A1465" s="41">
        <v>45957</v>
      </c>
      <c r="B1465" s="39">
        <v>48.909999847412109</v>
      </c>
      <c r="C1465" s="39">
        <v>49.159999847412109</v>
      </c>
      <c r="D1465" s="39">
        <v>48.369998931884773</v>
      </c>
      <c r="E1465" s="39">
        <v>49.150001525878913</v>
      </c>
      <c r="F1465" s="39">
        <v>807600</v>
      </c>
    </row>
    <row r="1466" spans="1:6">
      <c r="A1466" s="41">
        <v>45958</v>
      </c>
      <c r="B1466" s="39">
        <v>48.450000762939453</v>
      </c>
      <c r="C1466" s="39">
        <v>49.340000152587891</v>
      </c>
      <c r="D1466" s="39">
        <v>48.279998779296882</v>
      </c>
      <c r="E1466" s="39">
        <v>49.340000152587891</v>
      </c>
      <c r="F1466" s="39">
        <v>560400</v>
      </c>
    </row>
    <row r="1467" spans="1:6">
      <c r="A1467" s="41">
        <v>45959</v>
      </c>
      <c r="B1467" s="39">
        <v>48.599998474121087</v>
      </c>
      <c r="C1467" s="39">
        <v>49.819999694824219</v>
      </c>
      <c r="D1467" s="39">
        <v>48.340000152587891</v>
      </c>
      <c r="E1467" s="39">
        <v>48.520000457763672</v>
      </c>
      <c r="F1467" s="39">
        <v>980000</v>
      </c>
    </row>
    <row r="1468" spans="1:6">
      <c r="A1468" s="41">
        <v>45960</v>
      </c>
      <c r="B1468" s="39">
        <v>47.729999542236328</v>
      </c>
      <c r="C1468" s="39">
        <v>48.529998779296882</v>
      </c>
      <c r="D1468" s="39">
        <v>47.709999084472663</v>
      </c>
      <c r="E1468" s="39">
        <v>48.529998779296882</v>
      </c>
      <c r="F1468" s="39">
        <v>314400</v>
      </c>
    </row>
    <row r="1469" spans="1:6">
      <c r="A1469" s="41">
        <v>45961</v>
      </c>
      <c r="B1469" s="39">
        <v>49.119998931884773</v>
      </c>
      <c r="C1469" s="39">
        <v>49.330001831054688</v>
      </c>
      <c r="D1469" s="39">
        <v>48.020000457763672</v>
      </c>
      <c r="E1469" s="39">
        <v>48.020000457763672</v>
      </c>
      <c r="F1469" s="39">
        <v>684300</v>
      </c>
    </row>
    <row r="1470" spans="1:6">
      <c r="A1470" s="41">
        <v>45964</v>
      </c>
      <c r="B1470" s="39">
        <v>49.139999389648438</v>
      </c>
      <c r="C1470" s="39">
        <v>49.950000762939453</v>
      </c>
      <c r="D1470" s="39">
        <v>48.970001220703118</v>
      </c>
      <c r="E1470" s="39">
        <v>49.950000762939453</v>
      </c>
      <c r="F1470" s="39">
        <v>950100</v>
      </c>
    </row>
    <row r="1471" spans="1:6">
      <c r="A1471" s="41">
        <v>45965</v>
      </c>
      <c r="B1471" s="39">
        <v>47.930000305175781</v>
      </c>
      <c r="C1471" s="39">
        <v>48.689998626708977</v>
      </c>
      <c r="D1471" s="39">
        <v>47.25</v>
      </c>
      <c r="E1471" s="39">
        <v>47.659999847412109</v>
      </c>
      <c r="F1471" s="39">
        <v>666000</v>
      </c>
    </row>
    <row r="1472" spans="1:6">
      <c r="A1472" s="41">
        <v>45966</v>
      </c>
      <c r="B1472" s="39">
        <v>51.279998779296882</v>
      </c>
      <c r="C1472" s="39">
        <v>51.729999542236328</v>
      </c>
      <c r="D1472" s="39">
        <v>48.330001831054688</v>
      </c>
      <c r="E1472" s="39">
        <v>48.569999694824219</v>
      </c>
      <c r="F1472" s="39">
        <v>1999200</v>
      </c>
    </row>
    <row r="1473" spans="1:6">
      <c r="A1473" s="41">
        <v>45967</v>
      </c>
      <c r="B1473" s="39">
        <v>50.240001678466797</v>
      </c>
      <c r="C1473" s="39">
        <v>51.790000915527337</v>
      </c>
      <c r="D1473" s="39">
        <v>50.029998779296882</v>
      </c>
      <c r="E1473" s="39">
        <v>51.599998474121087</v>
      </c>
      <c r="F1473" s="39">
        <v>1282800</v>
      </c>
    </row>
    <row r="1474" spans="1:6">
      <c r="A1474" s="41">
        <v>45968</v>
      </c>
      <c r="B1474" s="39">
        <v>50.389999389648438</v>
      </c>
      <c r="C1474" s="39">
        <v>50.470001220703118</v>
      </c>
      <c r="D1474" s="39">
        <v>48.349998474121087</v>
      </c>
      <c r="E1474" s="39">
        <v>49.689998626708977</v>
      </c>
      <c r="F1474" s="39">
        <v>1790600</v>
      </c>
    </row>
    <row r="1475" spans="1:6">
      <c r="A1475" s="41">
        <v>45971</v>
      </c>
      <c r="B1475" s="39">
        <v>52.860000610351562</v>
      </c>
      <c r="C1475" s="39">
        <v>53.680000305175781</v>
      </c>
      <c r="D1475" s="39">
        <v>51.549999237060547</v>
      </c>
      <c r="E1475" s="39">
        <v>51.959999084472663</v>
      </c>
      <c r="F1475" s="39">
        <v>2155200</v>
      </c>
    </row>
    <row r="1476" spans="1:6">
      <c r="A1476" s="41">
        <v>45972</v>
      </c>
      <c r="B1476" s="39">
        <v>51.849998474121087</v>
      </c>
      <c r="C1476" s="39">
        <v>52.419998168945312</v>
      </c>
      <c r="D1476" s="39">
        <v>51.180000305175781</v>
      </c>
      <c r="E1476" s="39">
        <v>52.189998626708977</v>
      </c>
      <c r="F1476" s="39">
        <v>902700</v>
      </c>
    </row>
    <row r="1477" spans="1:6">
      <c r="A1477" s="41">
        <v>45973</v>
      </c>
      <c r="B1477" s="39">
        <v>50.569999694824219</v>
      </c>
      <c r="C1477" s="39">
        <v>52.080001831054688</v>
      </c>
      <c r="D1477" s="39">
        <v>50.060001373291023</v>
      </c>
      <c r="E1477" s="39">
        <v>51.959999084472663</v>
      </c>
      <c r="F1477" s="39">
        <v>1074400</v>
      </c>
    </row>
    <row r="1478" spans="1:6">
      <c r="A1478" s="41">
        <v>45974</v>
      </c>
      <c r="B1478" s="39">
        <v>48.479999542236328</v>
      </c>
      <c r="C1478" s="39">
        <v>50.669998168945312</v>
      </c>
      <c r="D1478" s="39">
        <v>48.240001678466797</v>
      </c>
      <c r="E1478" s="39">
        <v>50.540000915527337</v>
      </c>
      <c r="F1478" s="39">
        <v>829800</v>
      </c>
    </row>
    <row r="1479" spans="1:6">
      <c r="A1479" s="41">
        <v>45975</v>
      </c>
      <c r="B1479" s="39">
        <v>49.509998321533203</v>
      </c>
      <c r="C1479" s="39">
        <v>49.950000762939453</v>
      </c>
      <c r="D1479" s="39">
        <v>46.869998931884773</v>
      </c>
      <c r="E1479" s="39">
        <v>47.090000152587891</v>
      </c>
      <c r="F1479" s="39">
        <v>1736500</v>
      </c>
    </row>
    <row r="1480" spans="1:6">
      <c r="A1480" s="41">
        <v>45978</v>
      </c>
      <c r="B1480" s="39">
        <v>48.759998321533203</v>
      </c>
      <c r="C1480" s="39">
        <v>49.729999542236328</v>
      </c>
      <c r="D1480" s="39">
        <v>48.389999389648438</v>
      </c>
      <c r="E1480" s="39">
        <v>49.270000457763672</v>
      </c>
      <c r="F1480" s="39">
        <v>1206500</v>
      </c>
    </row>
    <row r="1481" spans="1:6">
      <c r="A1481" s="41">
        <v>45979</v>
      </c>
      <c r="B1481" s="39">
        <v>48.220001220703118</v>
      </c>
      <c r="C1481" s="39">
        <v>49.009998321533203</v>
      </c>
      <c r="D1481" s="39">
        <v>47.259998321533203</v>
      </c>
      <c r="E1481" s="39">
        <v>47.810001373291023</v>
      </c>
      <c r="F1481" s="39">
        <v>1143600</v>
      </c>
    </row>
    <row r="1482" spans="1:6">
      <c r="A1482" s="41">
        <v>45980</v>
      </c>
      <c r="B1482" s="39">
        <v>47.619998931884773</v>
      </c>
      <c r="C1482" s="39">
        <v>48.580001831054688</v>
      </c>
      <c r="D1482" s="39">
        <v>47.5</v>
      </c>
      <c r="E1482" s="39">
        <v>47.840000152587891</v>
      </c>
      <c r="F1482" s="39">
        <v>524100</v>
      </c>
    </row>
    <row r="1483" spans="1:6">
      <c r="A1483" s="41">
        <v>45981</v>
      </c>
      <c r="B1483" s="39">
        <v>45.659999847412109</v>
      </c>
      <c r="C1483" s="39">
        <v>48.680000305175781</v>
      </c>
      <c r="D1483" s="39">
        <v>45.590000152587891</v>
      </c>
      <c r="E1483" s="39">
        <v>48.360000610351562</v>
      </c>
      <c r="F1483" s="39">
        <v>1381000</v>
      </c>
    </row>
    <row r="1484" spans="1:6">
      <c r="A1484" s="41">
        <v>45982</v>
      </c>
      <c r="B1484" s="39">
        <v>45.939998626708977</v>
      </c>
      <c r="C1484" s="39">
        <v>46.330001831054688</v>
      </c>
      <c r="D1484" s="39">
        <v>44.450000762939453</v>
      </c>
      <c r="E1484" s="39">
        <v>45.200000762939453</v>
      </c>
      <c r="F1484" s="39">
        <v>1332400</v>
      </c>
    </row>
    <row r="1485" spans="1:6">
      <c r="A1485" s="41">
        <v>45985</v>
      </c>
      <c r="B1485" s="39">
        <v>46.459999084472663</v>
      </c>
      <c r="C1485" s="39">
        <v>46.75</v>
      </c>
      <c r="D1485" s="39">
        <v>45.520000457763672</v>
      </c>
      <c r="E1485" s="39">
        <v>45.75</v>
      </c>
      <c r="F1485" s="39">
        <v>441000</v>
      </c>
    </row>
    <row r="1486" spans="1:6">
      <c r="A1486" s="41">
        <v>45986</v>
      </c>
      <c r="B1486" s="39">
        <v>47.080001831054688</v>
      </c>
      <c r="C1486" s="39">
        <v>47.310001373291023</v>
      </c>
      <c r="D1486" s="39">
        <v>45.509998321533203</v>
      </c>
      <c r="E1486" s="39">
        <v>46.380001068115227</v>
      </c>
      <c r="F1486" s="39">
        <v>385500</v>
      </c>
    </row>
    <row r="1487" spans="1:6">
      <c r="A1487" s="41">
        <v>45987</v>
      </c>
      <c r="B1487" s="39">
        <v>47.900001525878913</v>
      </c>
      <c r="C1487" s="39">
        <v>48.169998168945312</v>
      </c>
      <c r="D1487" s="39">
        <v>46.919998168945312</v>
      </c>
      <c r="E1487" s="39">
        <v>47.319999694824219</v>
      </c>
      <c r="F1487" s="39">
        <v>718900</v>
      </c>
    </row>
    <row r="1488" spans="1:6">
      <c r="A1488" s="41">
        <v>45989</v>
      </c>
      <c r="B1488" s="39">
        <v>48.909999847412109</v>
      </c>
      <c r="C1488" s="39">
        <v>49.029998779296882</v>
      </c>
      <c r="D1488" s="39">
        <v>48.220001220703118</v>
      </c>
      <c r="E1488" s="39">
        <v>48.610000610351562</v>
      </c>
      <c r="F1488" s="39">
        <v>573800</v>
      </c>
    </row>
    <row r="1489" spans="1:6">
      <c r="A1489" s="41">
        <v>45992</v>
      </c>
      <c r="B1489" s="39">
        <v>47.639999389648438</v>
      </c>
      <c r="C1489" s="39">
        <v>48.450000762939453</v>
      </c>
      <c r="D1489" s="39">
        <v>47.569999694824219</v>
      </c>
      <c r="E1489" s="39">
        <v>48.450000762939453</v>
      </c>
      <c r="F1489" s="39">
        <v>470800</v>
      </c>
    </row>
    <row r="1490" spans="1:6">
      <c r="A1490" s="41">
        <v>45993</v>
      </c>
      <c r="B1490" s="39">
        <v>47.630001068115227</v>
      </c>
      <c r="C1490" s="39">
        <v>48.270000457763672</v>
      </c>
      <c r="D1490" s="39">
        <v>47.209999084472663</v>
      </c>
      <c r="E1490" s="39">
        <v>48.270000457763672</v>
      </c>
      <c r="F1490" s="39">
        <v>241100</v>
      </c>
    </row>
    <row r="1491" spans="1:6">
      <c r="A1491" s="41">
        <v>45994</v>
      </c>
      <c r="B1491" s="39">
        <v>47.380001068115227</v>
      </c>
      <c r="C1491" s="39">
        <v>47.799999237060547</v>
      </c>
      <c r="D1491" s="39">
        <v>46.720001220703118</v>
      </c>
      <c r="E1491" s="39">
        <v>47.799999237060547</v>
      </c>
      <c r="F1491" s="39">
        <v>351400</v>
      </c>
    </row>
    <row r="1492" spans="1:6">
      <c r="A1492" s="41">
        <v>45995</v>
      </c>
      <c r="B1492" s="39">
        <v>48.040000915527337</v>
      </c>
      <c r="C1492" s="39">
        <v>48.209999084472663</v>
      </c>
      <c r="D1492" s="39">
        <v>47.189998626708977</v>
      </c>
      <c r="E1492" s="39">
        <v>47.310001373291023</v>
      </c>
      <c r="F1492" s="39">
        <v>434300</v>
      </c>
    </row>
    <row r="1493" spans="1:6">
      <c r="A1493" s="41">
        <v>45996</v>
      </c>
      <c r="B1493" s="39">
        <v>47.689998626708977</v>
      </c>
      <c r="C1493" s="39">
        <v>48.270000457763672</v>
      </c>
      <c r="D1493" s="39">
        <v>47.540000915527337</v>
      </c>
      <c r="E1493" s="39">
        <v>48</v>
      </c>
      <c r="F1493" s="39">
        <v>312400</v>
      </c>
    </row>
    <row r="1494" spans="1:6">
      <c r="A1494" s="41">
        <v>45999</v>
      </c>
      <c r="B1494" s="39">
        <v>47.590000152587891</v>
      </c>
      <c r="C1494" s="39">
        <v>48.119998931884773</v>
      </c>
      <c r="D1494" s="39">
        <v>47.110000610351562</v>
      </c>
      <c r="E1494" s="39">
        <v>47.849998474121087</v>
      </c>
      <c r="F1494" s="39">
        <v>319200</v>
      </c>
    </row>
    <row r="1495" spans="1:6">
      <c r="A1495" s="41">
        <v>46000</v>
      </c>
      <c r="B1495" s="39">
        <v>47.470001220703118</v>
      </c>
      <c r="C1495" s="39">
        <v>48.400001525878913</v>
      </c>
      <c r="D1495" s="39">
        <v>47.319999694824219</v>
      </c>
      <c r="E1495" s="39">
        <v>47.470001220703118</v>
      </c>
      <c r="F1495" s="39">
        <v>646000</v>
      </c>
    </row>
    <row r="1496" spans="1:6">
      <c r="A1496" s="41">
        <v>46001</v>
      </c>
      <c r="B1496" s="39">
        <v>48.779998779296882</v>
      </c>
      <c r="C1496" s="39">
        <v>49.279998779296882</v>
      </c>
      <c r="D1496" s="39">
        <v>47.159999847412109</v>
      </c>
      <c r="E1496" s="39">
        <v>47.319999694824219</v>
      </c>
      <c r="F1496" s="39">
        <v>1254900</v>
      </c>
    </row>
    <row r="1497" spans="1:6">
      <c r="A1497" s="41">
        <v>46002</v>
      </c>
      <c r="B1497" s="39">
        <v>49.409198760986328</v>
      </c>
      <c r="C1497" s="39">
        <v>49.409198760986328</v>
      </c>
      <c r="D1497" s="39">
        <v>47.330101013183587</v>
      </c>
      <c r="E1497" s="39">
        <v>48.029998779296882</v>
      </c>
      <c r="F1497" s="39">
        <v>812109</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502F-359A-C84B-9458-A67F5FF58A75}">
  <dimension ref="B2:K216"/>
  <sheetViews>
    <sheetView workbookViewId="0">
      <selection activeCell="F6" sqref="F6:F7"/>
    </sheetView>
  </sheetViews>
  <sheetFormatPr baseColWidth="10" defaultRowHeight="16"/>
  <sheetData>
    <row r="2" spans="2:11">
      <c r="B2" s="29" t="s">
        <v>0</v>
      </c>
      <c r="C2" s="29" t="s">
        <v>1</v>
      </c>
      <c r="D2" s="29" t="s">
        <v>2</v>
      </c>
      <c r="E2" s="29" t="s">
        <v>3</v>
      </c>
      <c r="F2" s="1" t="s">
        <v>4</v>
      </c>
      <c r="G2" s="29" t="s">
        <v>6</v>
      </c>
      <c r="H2" s="29" t="s">
        <v>7</v>
      </c>
      <c r="I2" s="29" t="s">
        <v>8</v>
      </c>
      <c r="J2" s="29" t="s">
        <v>9</v>
      </c>
      <c r="K2" s="29" t="s">
        <v>10</v>
      </c>
    </row>
    <row r="3" spans="2:11">
      <c r="B3" s="29"/>
      <c r="C3" s="29"/>
      <c r="D3" s="29"/>
      <c r="E3" s="29"/>
      <c r="F3" s="1" t="s">
        <v>5</v>
      </c>
      <c r="G3" s="29"/>
      <c r="H3" s="29"/>
      <c r="I3" s="29"/>
      <c r="J3" s="29"/>
      <c r="K3" s="29"/>
    </row>
    <row r="4" spans="2:11">
      <c r="B4" s="29" t="s">
        <v>0</v>
      </c>
      <c r="C4" s="29" t="s">
        <v>1</v>
      </c>
      <c r="D4" s="29" t="s">
        <v>2</v>
      </c>
      <c r="E4" s="29" t="s">
        <v>3</v>
      </c>
      <c r="F4" s="1" t="s">
        <v>4</v>
      </c>
      <c r="G4" s="29" t="s">
        <v>6</v>
      </c>
      <c r="H4" s="29" t="s">
        <v>7</v>
      </c>
      <c r="I4" s="29" t="s">
        <v>8</v>
      </c>
      <c r="J4" s="29" t="s">
        <v>9</v>
      </c>
      <c r="K4" s="29" t="s">
        <v>10</v>
      </c>
    </row>
    <row r="5" spans="2:11">
      <c r="B5" s="29"/>
      <c r="C5" s="29"/>
      <c r="D5" s="29"/>
      <c r="E5" s="29"/>
      <c r="F5" s="1" t="s">
        <v>5</v>
      </c>
      <c r="G5" s="29"/>
      <c r="H5" s="29"/>
      <c r="I5" s="29"/>
      <c r="J5" s="29"/>
      <c r="K5" s="29"/>
    </row>
    <row r="6" spans="2:11">
      <c r="B6" s="2">
        <v>46023</v>
      </c>
      <c r="C6" s="28"/>
      <c r="D6" s="27" t="s">
        <v>12</v>
      </c>
      <c r="E6" s="27" t="s">
        <v>12</v>
      </c>
      <c r="F6" s="27">
        <v>67.05</v>
      </c>
      <c r="G6" s="27" t="s">
        <v>12</v>
      </c>
      <c r="H6" s="27" t="s">
        <v>12</v>
      </c>
      <c r="I6" s="27" t="s">
        <v>12</v>
      </c>
      <c r="J6" s="27">
        <v>0</v>
      </c>
      <c r="K6" s="3" t="s">
        <v>13</v>
      </c>
    </row>
    <row r="7" spans="2:11">
      <c r="B7" s="3" t="s">
        <v>11</v>
      </c>
      <c r="C7" s="28"/>
      <c r="D7" s="27"/>
      <c r="E7" s="27"/>
      <c r="F7" s="27"/>
      <c r="G7" s="27"/>
      <c r="H7" s="27"/>
      <c r="I7" s="27"/>
      <c r="J7" s="27"/>
      <c r="K7" s="4">
        <v>46000</v>
      </c>
    </row>
    <row r="8" spans="2:11">
      <c r="B8" s="2">
        <v>46054</v>
      </c>
      <c r="C8" s="28"/>
      <c r="D8" s="27" t="s">
        <v>12</v>
      </c>
      <c r="E8" s="27" t="s">
        <v>12</v>
      </c>
      <c r="F8" s="27">
        <v>68.540000000000006</v>
      </c>
      <c r="G8" s="27" t="s">
        <v>12</v>
      </c>
      <c r="H8" s="27" t="s">
        <v>12</v>
      </c>
      <c r="I8" s="27" t="s">
        <v>12</v>
      </c>
      <c r="J8" s="27">
        <v>0</v>
      </c>
      <c r="K8" s="3" t="s">
        <v>15</v>
      </c>
    </row>
    <row r="9" spans="2:11">
      <c r="B9" s="3" t="s">
        <v>14</v>
      </c>
      <c r="C9" s="28"/>
      <c r="D9" s="27"/>
      <c r="E9" s="27"/>
      <c r="F9" s="27"/>
      <c r="G9" s="27"/>
      <c r="H9" s="27"/>
      <c r="I9" s="27"/>
      <c r="J9" s="27"/>
      <c r="K9" s="4">
        <v>46000</v>
      </c>
    </row>
    <row r="10" spans="2:11">
      <c r="B10" s="2">
        <v>46082</v>
      </c>
      <c r="C10" s="28"/>
      <c r="D10" s="27" t="s">
        <v>12</v>
      </c>
      <c r="E10" s="27" t="s">
        <v>12</v>
      </c>
      <c r="F10" s="27">
        <v>40.19</v>
      </c>
      <c r="G10" s="27" t="s">
        <v>12</v>
      </c>
      <c r="H10" s="27" t="s">
        <v>12</v>
      </c>
      <c r="I10" s="27" t="s">
        <v>12</v>
      </c>
      <c r="J10" s="27">
        <v>0</v>
      </c>
      <c r="K10" s="3" t="s">
        <v>17</v>
      </c>
    </row>
    <row r="11" spans="2:11">
      <c r="B11" s="3" t="s">
        <v>16</v>
      </c>
      <c r="C11" s="28"/>
      <c r="D11" s="27"/>
      <c r="E11" s="27"/>
      <c r="F11" s="27"/>
      <c r="G11" s="27"/>
      <c r="H11" s="27"/>
      <c r="I11" s="27"/>
      <c r="J11" s="27"/>
      <c r="K11" s="4">
        <v>46000</v>
      </c>
    </row>
    <row r="12" spans="2:11">
      <c r="B12" s="2">
        <v>46113</v>
      </c>
      <c r="C12" s="28"/>
      <c r="D12" s="27" t="s">
        <v>12</v>
      </c>
      <c r="E12" s="27" t="s">
        <v>12</v>
      </c>
      <c r="F12" s="27">
        <v>41.64</v>
      </c>
      <c r="G12" s="27" t="s">
        <v>12</v>
      </c>
      <c r="H12" s="27" t="s">
        <v>12</v>
      </c>
      <c r="I12" s="27" t="s">
        <v>12</v>
      </c>
      <c r="J12" s="27">
        <v>0</v>
      </c>
      <c r="K12" s="3" t="s">
        <v>19</v>
      </c>
    </row>
    <row r="13" spans="2:11">
      <c r="B13" s="3" t="s">
        <v>18</v>
      </c>
      <c r="C13" s="28"/>
      <c r="D13" s="27"/>
      <c r="E13" s="27"/>
      <c r="F13" s="27"/>
      <c r="G13" s="27"/>
      <c r="H13" s="27"/>
      <c r="I13" s="27"/>
      <c r="J13" s="27"/>
      <c r="K13" s="4">
        <v>46000</v>
      </c>
    </row>
    <row r="14" spans="2:11">
      <c r="B14" s="2">
        <v>46143</v>
      </c>
      <c r="C14" s="28"/>
      <c r="D14" s="27" t="s">
        <v>12</v>
      </c>
      <c r="E14" s="27" t="s">
        <v>12</v>
      </c>
      <c r="F14" s="27">
        <v>47.94</v>
      </c>
      <c r="G14" s="27" t="s">
        <v>12</v>
      </c>
      <c r="H14" s="27" t="s">
        <v>12</v>
      </c>
      <c r="I14" s="27" t="s">
        <v>12</v>
      </c>
      <c r="J14" s="27">
        <v>0</v>
      </c>
      <c r="K14" s="3" t="s">
        <v>21</v>
      </c>
    </row>
    <row r="15" spans="2:11">
      <c r="B15" s="3" t="s">
        <v>20</v>
      </c>
      <c r="C15" s="28"/>
      <c r="D15" s="27"/>
      <c r="E15" s="27"/>
      <c r="F15" s="27"/>
      <c r="G15" s="27"/>
      <c r="H15" s="27"/>
      <c r="I15" s="27"/>
      <c r="J15" s="27"/>
      <c r="K15" s="4">
        <v>46000</v>
      </c>
    </row>
    <row r="16" spans="2:11">
      <c r="B16" s="2">
        <v>46174</v>
      </c>
      <c r="C16" s="28"/>
      <c r="D16" s="27" t="s">
        <v>12</v>
      </c>
      <c r="E16" s="27" t="s">
        <v>12</v>
      </c>
      <c r="F16" s="27">
        <v>53.86</v>
      </c>
      <c r="G16" s="27" t="s">
        <v>12</v>
      </c>
      <c r="H16" s="27" t="s">
        <v>12</v>
      </c>
      <c r="I16" s="27" t="s">
        <v>12</v>
      </c>
      <c r="J16" s="27">
        <v>0</v>
      </c>
      <c r="K16" s="3" t="s">
        <v>17</v>
      </c>
    </row>
    <row r="17" spans="2:11">
      <c r="B17" s="3" t="s">
        <v>22</v>
      </c>
      <c r="C17" s="28"/>
      <c r="D17" s="27"/>
      <c r="E17" s="27"/>
      <c r="F17" s="27"/>
      <c r="G17" s="27"/>
      <c r="H17" s="27"/>
      <c r="I17" s="27"/>
      <c r="J17" s="27"/>
      <c r="K17" s="4">
        <v>46000</v>
      </c>
    </row>
    <row r="18" spans="2:11">
      <c r="B18" s="2">
        <v>46204</v>
      </c>
      <c r="C18" s="28"/>
      <c r="D18" s="27" t="s">
        <v>12</v>
      </c>
      <c r="E18" s="27" t="s">
        <v>12</v>
      </c>
      <c r="F18" s="27">
        <v>94.3</v>
      </c>
      <c r="G18" s="27" t="s">
        <v>12</v>
      </c>
      <c r="H18" s="27" t="s">
        <v>12</v>
      </c>
      <c r="I18" s="27" t="s">
        <v>12</v>
      </c>
      <c r="J18" s="27">
        <v>0</v>
      </c>
      <c r="K18" s="3" t="s">
        <v>24</v>
      </c>
    </row>
    <row r="19" spans="2:11">
      <c r="B19" s="3" t="s">
        <v>23</v>
      </c>
      <c r="C19" s="28"/>
      <c r="D19" s="27"/>
      <c r="E19" s="27"/>
      <c r="F19" s="27"/>
      <c r="G19" s="27"/>
      <c r="H19" s="27"/>
      <c r="I19" s="27"/>
      <c r="J19" s="27"/>
      <c r="K19" s="4">
        <v>46000</v>
      </c>
    </row>
    <row r="20" spans="2:11">
      <c r="B20" s="2">
        <v>46235</v>
      </c>
      <c r="C20" s="28"/>
      <c r="D20" s="27" t="s">
        <v>12</v>
      </c>
      <c r="E20" s="27" t="s">
        <v>12</v>
      </c>
      <c r="F20" s="27">
        <v>134.69</v>
      </c>
      <c r="G20" s="27" t="s">
        <v>12</v>
      </c>
      <c r="H20" s="27" t="s">
        <v>12</v>
      </c>
      <c r="I20" s="27" t="s">
        <v>12</v>
      </c>
      <c r="J20" s="27">
        <v>0</v>
      </c>
      <c r="K20" s="3" t="s">
        <v>13</v>
      </c>
    </row>
    <row r="21" spans="2:11">
      <c r="B21" s="3" t="s">
        <v>25</v>
      </c>
      <c r="C21" s="28"/>
      <c r="D21" s="27"/>
      <c r="E21" s="27"/>
      <c r="F21" s="27"/>
      <c r="G21" s="27"/>
      <c r="H21" s="27"/>
      <c r="I21" s="27"/>
      <c r="J21" s="27"/>
      <c r="K21" s="4">
        <v>46000</v>
      </c>
    </row>
    <row r="22" spans="2:11">
      <c r="B22" s="2">
        <v>46266</v>
      </c>
      <c r="C22" s="28"/>
      <c r="D22" s="27" t="s">
        <v>12</v>
      </c>
      <c r="E22" s="27" t="s">
        <v>12</v>
      </c>
      <c r="F22" s="27">
        <v>61.18</v>
      </c>
      <c r="G22" s="27" t="s">
        <v>12</v>
      </c>
      <c r="H22" s="27" t="s">
        <v>12</v>
      </c>
      <c r="I22" s="27" t="s">
        <v>12</v>
      </c>
      <c r="J22" s="27">
        <v>0</v>
      </c>
      <c r="K22" s="3" t="s">
        <v>13</v>
      </c>
    </row>
    <row r="23" spans="2:11">
      <c r="B23" s="3" t="s">
        <v>26</v>
      </c>
      <c r="C23" s="28"/>
      <c r="D23" s="27"/>
      <c r="E23" s="27"/>
      <c r="F23" s="27"/>
      <c r="G23" s="27"/>
      <c r="H23" s="27"/>
      <c r="I23" s="27"/>
      <c r="J23" s="27"/>
      <c r="K23" s="4">
        <v>46000</v>
      </c>
    </row>
    <row r="24" spans="2:11">
      <c r="B24" s="2">
        <v>46296</v>
      </c>
      <c r="C24" s="28"/>
      <c r="D24" s="27" t="s">
        <v>12</v>
      </c>
      <c r="E24" s="27" t="s">
        <v>12</v>
      </c>
      <c r="F24" s="27">
        <v>44.9</v>
      </c>
      <c r="G24" s="27" t="s">
        <v>12</v>
      </c>
      <c r="H24" s="27" t="s">
        <v>12</v>
      </c>
      <c r="I24" s="27" t="s">
        <v>12</v>
      </c>
      <c r="J24" s="27">
        <v>0</v>
      </c>
      <c r="K24" s="3" t="s">
        <v>28</v>
      </c>
    </row>
    <row r="25" spans="2:11">
      <c r="B25" s="3" t="s">
        <v>27</v>
      </c>
      <c r="C25" s="28"/>
      <c r="D25" s="27"/>
      <c r="E25" s="27"/>
      <c r="F25" s="27"/>
      <c r="G25" s="27"/>
      <c r="H25" s="27"/>
      <c r="I25" s="27"/>
      <c r="J25" s="27"/>
      <c r="K25" s="4">
        <v>46000</v>
      </c>
    </row>
    <row r="26" spans="2:11">
      <c r="B26" s="2">
        <v>46327</v>
      </c>
      <c r="C26" s="28"/>
      <c r="D26" s="27" t="s">
        <v>12</v>
      </c>
      <c r="E26" s="27" t="s">
        <v>12</v>
      </c>
      <c r="F26" s="27">
        <v>44.75</v>
      </c>
      <c r="G26" s="27" t="s">
        <v>12</v>
      </c>
      <c r="H26" s="27" t="s">
        <v>12</v>
      </c>
      <c r="I26" s="27" t="s">
        <v>12</v>
      </c>
      <c r="J26" s="27">
        <v>0</v>
      </c>
      <c r="K26" s="3" t="s">
        <v>30</v>
      </c>
    </row>
    <row r="27" spans="2:11">
      <c r="B27" s="3" t="s">
        <v>29</v>
      </c>
      <c r="C27" s="28"/>
      <c r="D27" s="27"/>
      <c r="E27" s="27"/>
      <c r="F27" s="27"/>
      <c r="G27" s="27"/>
      <c r="H27" s="27"/>
      <c r="I27" s="27"/>
      <c r="J27" s="27"/>
      <c r="K27" s="4">
        <v>46000</v>
      </c>
    </row>
    <row r="28" spans="2:11">
      <c r="B28" s="2">
        <v>46357</v>
      </c>
      <c r="C28" s="28"/>
      <c r="D28" s="27" t="s">
        <v>12</v>
      </c>
      <c r="E28" s="27" t="s">
        <v>12</v>
      </c>
      <c r="F28" s="27">
        <v>51.78</v>
      </c>
      <c r="G28" s="27" t="s">
        <v>12</v>
      </c>
      <c r="H28" s="27" t="s">
        <v>12</v>
      </c>
      <c r="I28" s="27" t="s">
        <v>12</v>
      </c>
      <c r="J28" s="27">
        <v>0</v>
      </c>
      <c r="K28" s="3" t="s">
        <v>32</v>
      </c>
    </row>
    <row r="29" spans="2:11">
      <c r="B29" s="3" t="s">
        <v>31</v>
      </c>
      <c r="C29" s="28"/>
      <c r="D29" s="27"/>
      <c r="E29" s="27"/>
      <c r="F29" s="27"/>
      <c r="G29" s="27"/>
      <c r="H29" s="27"/>
      <c r="I29" s="27"/>
      <c r="J29" s="27"/>
      <c r="K29" s="4">
        <v>46000</v>
      </c>
    </row>
    <row r="30" spans="2:11">
      <c r="B30" s="2">
        <v>46388</v>
      </c>
      <c r="C30" s="28"/>
      <c r="D30" s="27" t="s">
        <v>12</v>
      </c>
      <c r="E30" s="27" t="s">
        <v>12</v>
      </c>
      <c r="F30" s="27">
        <v>77.52</v>
      </c>
      <c r="G30" s="27" t="s">
        <v>12</v>
      </c>
      <c r="H30" s="27" t="s">
        <v>12</v>
      </c>
      <c r="I30" s="27" t="s">
        <v>12</v>
      </c>
      <c r="J30" s="27">
        <v>0</v>
      </c>
      <c r="K30" s="3" t="s">
        <v>34</v>
      </c>
    </row>
    <row r="31" spans="2:11">
      <c r="B31" s="3" t="s">
        <v>33</v>
      </c>
      <c r="C31" s="28"/>
      <c r="D31" s="27"/>
      <c r="E31" s="27"/>
      <c r="F31" s="27"/>
      <c r="G31" s="27"/>
      <c r="H31" s="27"/>
      <c r="I31" s="27"/>
      <c r="J31" s="27"/>
      <c r="K31" s="4">
        <v>46000</v>
      </c>
    </row>
    <row r="32" spans="2:11">
      <c r="B32" s="2">
        <v>46419</v>
      </c>
      <c r="C32" s="28"/>
      <c r="D32" s="27" t="s">
        <v>12</v>
      </c>
      <c r="E32" s="27" t="s">
        <v>12</v>
      </c>
      <c r="F32" s="27">
        <v>75.86</v>
      </c>
      <c r="G32" s="27" t="s">
        <v>12</v>
      </c>
      <c r="H32" s="27" t="s">
        <v>12</v>
      </c>
      <c r="I32" s="27" t="s">
        <v>12</v>
      </c>
      <c r="J32" s="27">
        <v>0</v>
      </c>
      <c r="K32" s="3" t="s">
        <v>36</v>
      </c>
    </row>
    <row r="33" spans="2:11">
      <c r="B33" s="3" t="s">
        <v>35</v>
      </c>
      <c r="C33" s="28"/>
      <c r="D33" s="27"/>
      <c r="E33" s="27"/>
      <c r="F33" s="27"/>
      <c r="G33" s="27"/>
      <c r="H33" s="27"/>
      <c r="I33" s="27"/>
      <c r="J33" s="27"/>
      <c r="K33" s="4">
        <v>46000</v>
      </c>
    </row>
    <row r="34" spans="2:11">
      <c r="B34" s="2">
        <v>46447</v>
      </c>
      <c r="C34" s="28"/>
      <c r="D34" s="27" t="s">
        <v>12</v>
      </c>
      <c r="E34" s="27" t="s">
        <v>12</v>
      </c>
      <c r="F34" s="27">
        <v>46.54</v>
      </c>
      <c r="G34" s="27" t="s">
        <v>12</v>
      </c>
      <c r="H34" s="27" t="s">
        <v>12</v>
      </c>
      <c r="I34" s="27" t="s">
        <v>12</v>
      </c>
      <c r="J34" s="27">
        <v>0</v>
      </c>
      <c r="K34" s="3" t="s">
        <v>38</v>
      </c>
    </row>
    <row r="35" spans="2:11">
      <c r="B35" s="3" t="s">
        <v>37</v>
      </c>
      <c r="C35" s="28"/>
      <c r="D35" s="27"/>
      <c r="E35" s="27"/>
      <c r="F35" s="27"/>
      <c r="G35" s="27"/>
      <c r="H35" s="27"/>
      <c r="I35" s="27"/>
      <c r="J35" s="27"/>
      <c r="K35" s="4">
        <v>46000</v>
      </c>
    </row>
    <row r="36" spans="2:11">
      <c r="B36" s="2">
        <v>46478</v>
      </c>
      <c r="C36" s="28"/>
      <c r="D36" s="27" t="s">
        <v>12</v>
      </c>
      <c r="E36" s="27" t="s">
        <v>12</v>
      </c>
      <c r="F36" s="27">
        <v>41.67</v>
      </c>
      <c r="G36" s="27" t="s">
        <v>12</v>
      </c>
      <c r="H36" s="27" t="s">
        <v>12</v>
      </c>
      <c r="I36" s="27" t="s">
        <v>12</v>
      </c>
      <c r="J36" s="27">
        <v>0</v>
      </c>
      <c r="K36" s="3" t="s">
        <v>40</v>
      </c>
    </row>
    <row r="37" spans="2:11">
      <c r="B37" s="3" t="s">
        <v>39</v>
      </c>
      <c r="C37" s="28"/>
      <c r="D37" s="27"/>
      <c r="E37" s="27"/>
      <c r="F37" s="27"/>
      <c r="G37" s="27"/>
      <c r="H37" s="27"/>
      <c r="I37" s="27"/>
      <c r="J37" s="27"/>
      <c r="K37" s="4">
        <v>46000</v>
      </c>
    </row>
    <row r="38" spans="2:11">
      <c r="B38" s="2">
        <v>46508</v>
      </c>
      <c r="C38" s="28"/>
      <c r="D38" s="27" t="s">
        <v>12</v>
      </c>
      <c r="E38" s="27" t="s">
        <v>12</v>
      </c>
      <c r="F38" s="27">
        <v>51.78</v>
      </c>
      <c r="G38" s="27" t="s">
        <v>12</v>
      </c>
      <c r="H38" s="27" t="s">
        <v>12</v>
      </c>
      <c r="I38" s="27" t="s">
        <v>12</v>
      </c>
      <c r="J38" s="27">
        <v>0</v>
      </c>
      <c r="K38" s="3" t="s">
        <v>19</v>
      </c>
    </row>
    <row r="39" spans="2:11">
      <c r="B39" s="3" t="s">
        <v>41</v>
      </c>
      <c r="C39" s="28"/>
      <c r="D39" s="27"/>
      <c r="E39" s="27"/>
      <c r="F39" s="27"/>
      <c r="G39" s="27"/>
      <c r="H39" s="27"/>
      <c r="I39" s="27"/>
      <c r="J39" s="27"/>
      <c r="K39" s="4">
        <v>46000</v>
      </c>
    </row>
    <row r="40" spans="2:11">
      <c r="B40" s="2">
        <v>46539</v>
      </c>
      <c r="C40" s="28"/>
      <c r="D40" s="27" t="s">
        <v>12</v>
      </c>
      <c r="E40" s="27" t="s">
        <v>12</v>
      </c>
      <c r="F40" s="27">
        <v>67.16</v>
      </c>
      <c r="G40" s="27" t="s">
        <v>12</v>
      </c>
      <c r="H40" s="27" t="s">
        <v>12</v>
      </c>
      <c r="I40" s="27" t="s">
        <v>12</v>
      </c>
      <c r="J40" s="27">
        <v>0</v>
      </c>
      <c r="K40" s="3" t="s">
        <v>43</v>
      </c>
    </row>
    <row r="41" spans="2:11">
      <c r="B41" s="3" t="s">
        <v>42</v>
      </c>
      <c r="C41" s="28"/>
      <c r="D41" s="27"/>
      <c r="E41" s="27"/>
      <c r="F41" s="27"/>
      <c r="G41" s="27"/>
      <c r="H41" s="27"/>
      <c r="I41" s="27"/>
      <c r="J41" s="27"/>
      <c r="K41" s="4">
        <v>46000</v>
      </c>
    </row>
    <row r="42" spans="2:11">
      <c r="B42" s="2">
        <v>46569</v>
      </c>
      <c r="C42" s="28"/>
      <c r="D42" s="27" t="s">
        <v>12</v>
      </c>
      <c r="E42" s="27" t="s">
        <v>12</v>
      </c>
      <c r="F42" s="27">
        <v>90.19</v>
      </c>
      <c r="G42" s="27" t="s">
        <v>12</v>
      </c>
      <c r="H42" s="27" t="s">
        <v>12</v>
      </c>
      <c r="I42" s="27" t="s">
        <v>12</v>
      </c>
      <c r="J42" s="27">
        <v>0</v>
      </c>
      <c r="K42" s="3" t="s">
        <v>45</v>
      </c>
    </row>
    <row r="43" spans="2:11">
      <c r="B43" s="3" t="s">
        <v>44</v>
      </c>
      <c r="C43" s="28"/>
      <c r="D43" s="27"/>
      <c r="E43" s="27"/>
      <c r="F43" s="27"/>
      <c r="G43" s="27"/>
      <c r="H43" s="27"/>
      <c r="I43" s="27"/>
      <c r="J43" s="27"/>
      <c r="K43" s="4">
        <v>46000</v>
      </c>
    </row>
    <row r="44" spans="2:11">
      <c r="B44" s="2">
        <v>46600</v>
      </c>
      <c r="C44" s="28"/>
      <c r="D44" s="27" t="s">
        <v>12</v>
      </c>
      <c r="E44" s="27" t="s">
        <v>12</v>
      </c>
      <c r="F44" s="27">
        <v>117.79</v>
      </c>
      <c r="G44" s="27" t="s">
        <v>12</v>
      </c>
      <c r="H44" s="27" t="s">
        <v>12</v>
      </c>
      <c r="I44" s="27" t="s">
        <v>12</v>
      </c>
      <c r="J44" s="27">
        <v>0</v>
      </c>
      <c r="K44" s="3" t="s">
        <v>17</v>
      </c>
    </row>
    <row r="45" spans="2:11">
      <c r="B45" s="3" t="s">
        <v>46</v>
      </c>
      <c r="C45" s="28"/>
      <c r="D45" s="27"/>
      <c r="E45" s="27"/>
      <c r="F45" s="27"/>
      <c r="G45" s="27"/>
      <c r="H45" s="27"/>
      <c r="I45" s="27"/>
      <c r="J45" s="27"/>
      <c r="K45" s="4">
        <v>46000</v>
      </c>
    </row>
    <row r="46" spans="2:11">
      <c r="B46" s="2">
        <v>46631</v>
      </c>
      <c r="C46" s="28"/>
      <c r="D46" s="27" t="s">
        <v>12</v>
      </c>
      <c r="E46" s="27" t="s">
        <v>12</v>
      </c>
      <c r="F46" s="27">
        <v>75.98</v>
      </c>
      <c r="G46" s="27" t="s">
        <v>12</v>
      </c>
      <c r="H46" s="27" t="s">
        <v>12</v>
      </c>
      <c r="I46" s="27" t="s">
        <v>12</v>
      </c>
      <c r="J46" s="27">
        <v>0</v>
      </c>
      <c r="K46" s="3" t="s">
        <v>48</v>
      </c>
    </row>
    <row r="47" spans="2:11">
      <c r="B47" s="3" t="s">
        <v>47</v>
      </c>
      <c r="C47" s="28"/>
      <c r="D47" s="27"/>
      <c r="E47" s="27"/>
      <c r="F47" s="27"/>
      <c r="G47" s="27"/>
      <c r="H47" s="27"/>
      <c r="I47" s="27"/>
      <c r="J47" s="27"/>
      <c r="K47" s="4">
        <v>46000</v>
      </c>
    </row>
    <row r="48" spans="2:11">
      <c r="B48" s="2">
        <v>46661</v>
      </c>
      <c r="C48" s="28"/>
      <c r="D48" s="27" t="s">
        <v>12</v>
      </c>
      <c r="E48" s="27" t="s">
        <v>12</v>
      </c>
      <c r="F48" s="27">
        <v>45.35</v>
      </c>
      <c r="G48" s="27" t="s">
        <v>12</v>
      </c>
      <c r="H48" s="27" t="s">
        <v>12</v>
      </c>
      <c r="I48" s="27" t="s">
        <v>12</v>
      </c>
      <c r="J48" s="27">
        <v>0</v>
      </c>
      <c r="K48" s="3" t="s">
        <v>43</v>
      </c>
    </row>
    <row r="49" spans="2:11">
      <c r="B49" s="3" t="s">
        <v>49</v>
      </c>
      <c r="C49" s="28"/>
      <c r="D49" s="27"/>
      <c r="E49" s="27"/>
      <c r="F49" s="27"/>
      <c r="G49" s="27"/>
      <c r="H49" s="27"/>
      <c r="I49" s="27"/>
      <c r="J49" s="27"/>
      <c r="K49" s="4">
        <v>46000</v>
      </c>
    </row>
    <row r="50" spans="2:11">
      <c r="B50" s="2">
        <v>46692</v>
      </c>
      <c r="C50" s="28"/>
      <c r="D50" s="27" t="s">
        <v>12</v>
      </c>
      <c r="E50" s="27" t="s">
        <v>12</v>
      </c>
      <c r="F50" s="27">
        <v>42.98</v>
      </c>
      <c r="G50" s="27" t="s">
        <v>12</v>
      </c>
      <c r="H50" s="27" t="s">
        <v>12</v>
      </c>
      <c r="I50" s="27" t="s">
        <v>12</v>
      </c>
      <c r="J50" s="27">
        <v>0</v>
      </c>
      <c r="K50" s="3" t="s">
        <v>51</v>
      </c>
    </row>
    <row r="51" spans="2:11">
      <c r="B51" s="3" t="s">
        <v>50</v>
      </c>
      <c r="C51" s="28"/>
      <c r="D51" s="27"/>
      <c r="E51" s="27"/>
      <c r="F51" s="27"/>
      <c r="G51" s="27"/>
      <c r="H51" s="27"/>
      <c r="I51" s="27"/>
      <c r="J51" s="27"/>
      <c r="K51" s="4">
        <v>46000</v>
      </c>
    </row>
    <row r="52" spans="2:11">
      <c r="B52" s="2">
        <v>46722</v>
      </c>
      <c r="C52" s="28"/>
      <c r="D52" s="27" t="s">
        <v>12</v>
      </c>
      <c r="E52" s="27" t="s">
        <v>12</v>
      </c>
      <c r="F52" s="27">
        <v>50.34</v>
      </c>
      <c r="G52" s="27" t="s">
        <v>12</v>
      </c>
      <c r="H52" s="27" t="s">
        <v>12</v>
      </c>
      <c r="I52" s="27" t="s">
        <v>12</v>
      </c>
      <c r="J52" s="27">
        <v>0</v>
      </c>
      <c r="K52" s="3" t="s">
        <v>53</v>
      </c>
    </row>
    <row r="53" spans="2:11">
      <c r="B53" s="3" t="s">
        <v>52</v>
      </c>
      <c r="C53" s="28"/>
      <c r="D53" s="27"/>
      <c r="E53" s="27"/>
      <c r="F53" s="27"/>
      <c r="G53" s="27"/>
      <c r="H53" s="27"/>
      <c r="I53" s="27"/>
      <c r="J53" s="27"/>
      <c r="K53" s="4">
        <v>46000</v>
      </c>
    </row>
    <row r="54" spans="2:11">
      <c r="B54" s="2">
        <v>46753</v>
      </c>
      <c r="C54" s="28"/>
      <c r="D54" s="27" t="s">
        <v>12</v>
      </c>
      <c r="E54" s="27" t="s">
        <v>12</v>
      </c>
      <c r="F54" s="27">
        <v>94.77</v>
      </c>
      <c r="G54" s="27" t="s">
        <v>12</v>
      </c>
      <c r="H54" s="27" t="s">
        <v>12</v>
      </c>
      <c r="I54" s="27" t="s">
        <v>12</v>
      </c>
      <c r="J54" s="27">
        <v>0</v>
      </c>
      <c r="K54" s="3" t="s">
        <v>55</v>
      </c>
    </row>
    <row r="55" spans="2:11">
      <c r="B55" s="3" t="s">
        <v>54</v>
      </c>
      <c r="C55" s="28"/>
      <c r="D55" s="27"/>
      <c r="E55" s="27"/>
      <c r="F55" s="27"/>
      <c r="G55" s="27"/>
      <c r="H55" s="27"/>
      <c r="I55" s="27"/>
      <c r="J55" s="27"/>
      <c r="K55" s="4">
        <v>46000</v>
      </c>
    </row>
    <row r="56" spans="2:11">
      <c r="B56" s="2">
        <v>46784</v>
      </c>
      <c r="C56" s="28"/>
      <c r="D56" s="27" t="s">
        <v>12</v>
      </c>
      <c r="E56" s="27" t="s">
        <v>12</v>
      </c>
      <c r="F56" s="27">
        <v>88.08</v>
      </c>
      <c r="G56" s="27" t="s">
        <v>12</v>
      </c>
      <c r="H56" s="27" t="s">
        <v>12</v>
      </c>
      <c r="I56" s="27" t="s">
        <v>12</v>
      </c>
      <c r="J56" s="27">
        <v>0</v>
      </c>
      <c r="K56" s="3" t="s">
        <v>57</v>
      </c>
    </row>
    <row r="57" spans="2:11">
      <c r="B57" s="3" t="s">
        <v>56</v>
      </c>
      <c r="C57" s="28"/>
      <c r="D57" s="27"/>
      <c r="E57" s="27"/>
      <c r="F57" s="27"/>
      <c r="G57" s="27"/>
      <c r="H57" s="27"/>
      <c r="I57" s="27"/>
      <c r="J57" s="27"/>
      <c r="K57" s="4">
        <v>46000</v>
      </c>
    </row>
    <row r="58" spans="2:11">
      <c r="B58" s="2">
        <v>46813</v>
      </c>
      <c r="C58" s="28"/>
      <c r="D58" s="27" t="s">
        <v>12</v>
      </c>
      <c r="E58" s="27" t="s">
        <v>12</v>
      </c>
      <c r="F58" s="27">
        <v>49.1</v>
      </c>
      <c r="G58" s="27" t="s">
        <v>12</v>
      </c>
      <c r="H58" s="27" t="s">
        <v>12</v>
      </c>
      <c r="I58" s="27" t="s">
        <v>12</v>
      </c>
      <c r="J58" s="27">
        <v>0</v>
      </c>
      <c r="K58" s="3" t="s">
        <v>59</v>
      </c>
    </row>
    <row r="59" spans="2:11">
      <c r="B59" s="3" t="s">
        <v>58</v>
      </c>
      <c r="C59" s="28"/>
      <c r="D59" s="27"/>
      <c r="E59" s="27"/>
      <c r="F59" s="27"/>
      <c r="G59" s="27"/>
      <c r="H59" s="27"/>
      <c r="I59" s="27"/>
      <c r="J59" s="27"/>
      <c r="K59" s="4">
        <v>46000</v>
      </c>
    </row>
    <row r="60" spans="2:11">
      <c r="B60" s="2">
        <v>46844</v>
      </c>
      <c r="C60" s="28"/>
      <c r="D60" s="27" t="s">
        <v>12</v>
      </c>
      <c r="E60" s="27" t="s">
        <v>12</v>
      </c>
      <c r="F60" s="27">
        <v>35.450000000000003</v>
      </c>
      <c r="G60" s="27" t="s">
        <v>12</v>
      </c>
      <c r="H60" s="27" t="s">
        <v>12</v>
      </c>
      <c r="I60" s="27" t="s">
        <v>12</v>
      </c>
      <c r="J60" s="27">
        <v>0</v>
      </c>
      <c r="K60" s="3" t="s">
        <v>61</v>
      </c>
    </row>
    <row r="61" spans="2:11">
      <c r="B61" s="3" t="s">
        <v>60</v>
      </c>
      <c r="C61" s="28"/>
      <c r="D61" s="27"/>
      <c r="E61" s="27"/>
      <c r="F61" s="27"/>
      <c r="G61" s="27"/>
      <c r="H61" s="27"/>
      <c r="I61" s="27"/>
      <c r="J61" s="27"/>
      <c r="K61" s="4">
        <v>46000</v>
      </c>
    </row>
    <row r="62" spans="2:11">
      <c r="B62" s="2">
        <v>46874</v>
      </c>
      <c r="C62" s="28"/>
      <c r="D62" s="27" t="s">
        <v>12</v>
      </c>
      <c r="E62" s="27" t="s">
        <v>12</v>
      </c>
      <c r="F62" s="27">
        <v>40.75</v>
      </c>
      <c r="G62" s="27" t="s">
        <v>12</v>
      </c>
      <c r="H62" s="27" t="s">
        <v>12</v>
      </c>
      <c r="I62" s="27" t="s">
        <v>12</v>
      </c>
      <c r="J62" s="27">
        <v>0</v>
      </c>
      <c r="K62" s="3" t="s">
        <v>57</v>
      </c>
    </row>
    <row r="63" spans="2:11">
      <c r="B63" s="3" t="s">
        <v>62</v>
      </c>
      <c r="C63" s="28"/>
      <c r="D63" s="27"/>
      <c r="E63" s="27"/>
      <c r="F63" s="27"/>
      <c r="G63" s="27"/>
      <c r="H63" s="27"/>
      <c r="I63" s="27"/>
      <c r="J63" s="27"/>
      <c r="K63" s="4">
        <v>46000</v>
      </c>
    </row>
    <row r="64" spans="2:11">
      <c r="B64" s="2">
        <v>46905</v>
      </c>
      <c r="C64" s="28"/>
      <c r="D64" s="27" t="s">
        <v>12</v>
      </c>
      <c r="E64" s="27" t="s">
        <v>12</v>
      </c>
      <c r="F64" s="27">
        <v>59.55</v>
      </c>
      <c r="G64" s="27" t="s">
        <v>12</v>
      </c>
      <c r="H64" s="27" t="s">
        <v>12</v>
      </c>
      <c r="I64" s="27" t="s">
        <v>12</v>
      </c>
      <c r="J64" s="27">
        <v>0</v>
      </c>
      <c r="K64" s="3" t="s">
        <v>64</v>
      </c>
    </row>
    <row r="65" spans="2:11">
      <c r="B65" s="3" t="s">
        <v>63</v>
      </c>
      <c r="C65" s="28"/>
      <c r="D65" s="27"/>
      <c r="E65" s="27"/>
      <c r="F65" s="27"/>
      <c r="G65" s="27"/>
      <c r="H65" s="27"/>
      <c r="I65" s="27"/>
      <c r="J65" s="27"/>
      <c r="K65" s="4">
        <v>46000</v>
      </c>
    </row>
    <row r="66" spans="2:11">
      <c r="B66" s="2">
        <v>46935</v>
      </c>
      <c r="C66" s="28"/>
      <c r="D66" s="27" t="s">
        <v>12</v>
      </c>
      <c r="E66" s="27" t="s">
        <v>12</v>
      </c>
      <c r="F66" s="27">
        <v>89.47</v>
      </c>
      <c r="G66" s="27" t="s">
        <v>12</v>
      </c>
      <c r="H66" s="27" t="s">
        <v>12</v>
      </c>
      <c r="I66" s="27" t="s">
        <v>12</v>
      </c>
      <c r="J66" s="27">
        <v>0</v>
      </c>
      <c r="K66" s="3" t="s">
        <v>66</v>
      </c>
    </row>
    <row r="67" spans="2:11">
      <c r="B67" s="3" t="s">
        <v>65</v>
      </c>
      <c r="C67" s="28"/>
      <c r="D67" s="27"/>
      <c r="E67" s="27"/>
      <c r="F67" s="27"/>
      <c r="G67" s="27"/>
      <c r="H67" s="27"/>
      <c r="I67" s="27"/>
      <c r="J67" s="27"/>
      <c r="K67" s="4">
        <v>46000</v>
      </c>
    </row>
    <row r="68" spans="2:11">
      <c r="B68" s="2">
        <v>46966</v>
      </c>
      <c r="C68" s="28"/>
      <c r="D68" s="27" t="s">
        <v>12</v>
      </c>
      <c r="E68" s="27" t="s">
        <v>12</v>
      </c>
      <c r="F68" s="27">
        <v>113.57</v>
      </c>
      <c r="G68" s="27" t="s">
        <v>12</v>
      </c>
      <c r="H68" s="27" t="s">
        <v>12</v>
      </c>
      <c r="I68" s="27" t="s">
        <v>12</v>
      </c>
      <c r="J68" s="27">
        <v>0</v>
      </c>
      <c r="K68" s="3" t="s">
        <v>68</v>
      </c>
    </row>
    <row r="69" spans="2:11">
      <c r="B69" s="3" t="s">
        <v>67</v>
      </c>
      <c r="C69" s="28"/>
      <c r="D69" s="27"/>
      <c r="E69" s="27"/>
      <c r="F69" s="27"/>
      <c r="G69" s="27"/>
      <c r="H69" s="27"/>
      <c r="I69" s="27"/>
      <c r="J69" s="27"/>
      <c r="K69" s="4">
        <v>46000</v>
      </c>
    </row>
    <row r="70" spans="2:11">
      <c r="B70" s="2">
        <v>46997</v>
      </c>
      <c r="C70" s="28"/>
      <c r="D70" s="27" t="s">
        <v>12</v>
      </c>
      <c r="E70" s="27" t="s">
        <v>12</v>
      </c>
      <c r="F70" s="27">
        <v>66.28</v>
      </c>
      <c r="G70" s="27" t="s">
        <v>12</v>
      </c>
      <c r="H70" s="27" t="s">
        <v>12</v>
      </c>
      <c r="I70" s="27" t="s">
        <v>12</v>
      </c>
      <c r="J70" s="27">
        <v>0</v>
      </c>
      <c r="K70" s="3" t="s">
        <v>70</v>
      </c>
    </row>
    <row r="71" spans="2:11">
      <c r="B71" s="3" t="s">
        <v>69</v>
      </c>
      <c r="C71" s="28"/>
      <c r="D71" s="27"/>
      <c r="E71" s="27"/>
      <c r="F71" s="27"/>
      <c r="G71" s="27"/>
      <c r="H71" s="27"/>
      <c r="I71" s="27"/>
      <c r="J71" s="27"/>
      <c r="K71" s="4">
        <v>46000</v>
      </c>
    </row>
    <row r="72" spans="2:11">
      <c r="B72" s="2">
        <v>47027</v>
      </c>
      <c r="C72" s="28"/>
      <c r="D72" s="27" t="s">
        <v>12</v>
      </c>
      <c r="E72" s="27" t="s">
        <v>12</v>
      </c>
      <c r="F72" s="27">
        <v>47.77</v>
      </c>
      <c r="G72" s="27" t="s">
        <v>12</v>
      </c>
      <c r="H72" s="27" t="s">
        <v>12</v>
      </c>
      <c r="I72" s="27" t="s">
        <v>12</v>
      </c>
      <c r="J72" s="27">
        <v>0</v>
      </c>
      <c r="K72" s="3" t="s">
        <v>72</v>
      </c>
    </row>
    <row r="73" spans="2:11">
      <c r="B73" s="3" t="s">
        <v>71</v>
      </c>
      <c r="C73" s="28"/>
      <c r="D73" s="27"/>
      <c r="E73" s="27"/>
      <c r="F73" s="27"/>
      <c r="G73" s="27"/>
      <c r="H73" s="27"/>
      <c r="I73" s="27"/>
      <c r="J73" s="27"/>
      <c r="K73" s="4">
        <v>46000</v>
      </c>
    </row>
    <row r="74" spans="2:11">
      <c r="B74" s="2">
        <v>47058</v>
      </c>
      <c r="C74" s="28"/>
      <c r="D74" s="27" t="s">
        <v>12</v>
      </c>
      <c r="E74" s="27" t="s">
        <v>12</v>
      </c>
      <c r="F74" s="27">
        <v>44.08</v>
      </c>
      <c r="G74" s="27" t="s">
        <v>12</v>
      </c>
      <c r="H74" s="27" t="s">
        <v>12</v>
      </c>
      <c r="I74" s="27" t="s">
        <v>12</v>
      </c>
      <c r="J74" s="27">
        <v>0</v>
      </c>
      <c r="K74" s="3" t="s">
        <v>74</v>
      </c>
    </row>
    <row r="75" spans="2:11">
      <c r="B75" s="3" t="s">
        <v>73</v>
      </c>
      <c r="C75" s="28"/>
      <c r="D75" s="27"/>
      <c r="E75" s="27"/>
      <c r="F75" s="27"/>
      <c r="G75" s="27"/>
      <c r="H75" s="27"/>
      <c r="I75" s="27"/>
      <c r="J75" s="27"/>
      <c r="K75" s="4">
        <v>46000</v>
      </c>
    </row>
    <row r="76" spans="2:11">
      <c r="B76" s="2">
        <v>47088</v>
      </c>
      <c r="C76" s="28"/>
      <c r="D76" s="27" t="s">
        <v>12</v>
      </c>
      <c r="E76" s="27" t="s">
        <v>12</v>
      </c>
      <c r="F76" s="27">
        <v>51.3</v>
      </c>
      <c r="G76" s="27" t="s">
        <v>12</v>
      </c>
      <c r="H76" s="27" t="s">
        <v>12</v>
      </c>
      <c r="I76" s="27" t="s">
        <v>12</v>
      </c>
      <c r="J76" s="27">
        <v>0</v>
      </c>
      <c r="K76" s="3" t="s">
        <v>76</v>
      </c>
    </row>
    <row r="77" spans="2:11">
      <c r="B77" s="3" t="s">
        <v>75</v>
      </c>
      <c r="C77" s="28"/>
      <c r="D77" s="27"/>
      <c r="E77" s="27"/>
      <c r="F77" s="27"/>
      <c r="G77" s="27"/>
      <c r="H77" s="27"/>
      <c r="I77" s="27"/>
      <c r="J77" s="27"/>
      <c r="K77" s="4">
        <v>46000</v>
      </c>
    </row>
    <row r="78" spans="2:11">
      <c r="B78" s="2">
        <v>47119</v>
      </c>
      <c r="C78" s="28"/>
      <c r="D78" s="27" t="s">
        <v>12</v>
      </c>
      <c r="E78" s="27" t="s">
        <v>12</v>
      </c>
      <c r="F78" s="27">
        <v>91.78</v>
      </c>
      <c r="G78" s="27" t="s">
        <v>12</v>
      </c>
      <c r="H78" s="27" t="s">
        <v>12</v>
      </c>
      <c r="I78" s="27" t="s">
        <v>12</v>
      </c>
      <c r="J78" s="27">
        <v>0</v>
      </c>
      <c r="K78" s="3" t="s">
        <v>78</v>
      </c>
    </row>
    <row r="79" spans="2:11">
      <c r="B79" s="3" t="s">
        <v>77</v>
      </c>
      <c r="C79" s="28"/>
      <c r="D79" s="27"/>
      <c r="E79" s="27"/>
      <c r="F79" s="27"/>
      <c r="G79" s="27"/>
      <c r="H79" s="27"/>
      <c r="I79" s="27"/>
      <c r="J79" s="27"/>
      <c r="K79" s="4">
        <v>46000</v>
      </c>
    </row>
    <row r="80" spans="2:11">
      <c r="B80" s="2">
        <v>47150</v>
      </c>
      <c r="C80" s="28"/>
      <c r="D80" s="27" t="s">
        <v>12</v>
      </c>
      <c r="E80" s="27" t="s">
        <v>12</v>
      </c>
      <c r="F80" s="27">
        <v>86.23</v>
      </c>
      <c r="G80" s="27" t="s">
        <v>12</v>
      </c>
      <c r="H80" s="27" t="s">
        <v>12</v>
      </c>
      <c r="I80" s="27" t="s">
        <v>12</v>
      </c>
      <c r="J80" s="27">
        <v>0</v>
      </c>
      <c r="K80" s="3" t="s">
        <v>80</v>
      </c>
    </row>
    <row r="81" spans="2:11">
      <c r="B81" s="3" t="s">
        <v>79</v>
      </c>
      <c r="C81" s="28"/>
      <c r="D81" s="27"/>
      <c r="E81" s="27"/>
      <c r="F81" s="27"/>
      <c r="G81" s="27"/>
      <c r="H81" s="27"/>
      <c r="I81" s="27"/>
      <c r="J81" s="27"/>
      <c r="K81" s="4">
        <v>46000</v>
      </c>
    </row>
    <row r="82" spans="2:11">
      <c r="B82" s="2">
        <v>47178</v>
      </c>
      <c r="C82" s="28"/>
      <c r="D82" s="27" t="s">
        <v>12</v>
      </c>
      <c r="E82" s="27" t="s">
        <v>12</v>
      </c>
      <c r="F82" s="27">
        <v>40.520000000000003</v>
      </c>
      <c r="G82" s="27" t="s">
        <v>12</v>
      </c>
      <c r="H82" s="27" t="s">
        <v>12</v>
      </c>
      <c r="I82" s="27" t="s">
        <v>12</v>
      </c>
      <c r="J82" s="27">
        <v>0</v>
      </c>
      <c r="K82" s="3" t="s">
        <v>82</v>
      </c>
    </row>
    <row r="83" spans="2:11">
      <c r="B83" s="3" t="s">
        <v>81</v>
      </c>
      <c r="C83" s="28"/>
      <c r="D83" s="27"/>
      <c r="E83" s="27"/>
      <c r="F83" s="27"/>
      <c r="G83" s="27"/>
      <c r="H83" s="27"/>
      <c r="I83" s="27"/>
      <c r="J83" s="27"/>
      <c r="K83" s="4">
        <v>46000</v>
      </c>
    </row>
    <row r="84" spans="2:11">
      <c r="B84" s="2">
        <v>47209</v>
      </c>
      <c r="C84" s="28"/>
      <c r="D84" s="27" t="s">
        <v>12</v>
      </c>
      <c r="E84" s="27" t="s">
        <v>12</v>
      </c>
      <c r="F84" s="27">
        <v>36.229999999999997</v>
      </c>
      <c r="G84" s="27" t="s">
        <v>12</v>
      </c>
      <c r="H84" s="27" t="s">
        <v>12</v>
      </c>
      <c r="I84" s="27" t="s">
        <v>12</v>
      </c>
      <c r="J84" s="27">
        <v>0</v>
      </c>
      <c r="K84" s="3" t="s">
        <v>84</v>
      </c>
    </row>
    <row r="85" spans="2:11">
      <c r="B85" s="3" t="s">
        <v>83</v>
      </c>
      <c r="C85" s="28"/>
      <c r="D85" s="27"/>
      <c r="E85" s="27"/>
      <c r="F85" s="27"/>
      <c r="G85" s="27"/>
      <c r="H85" s="27"/>
      <c r="I85" s="27"/>
      <c r="J85" s="27"/>
      <c r="K85" s="4">
        <v>46000</v>
      </c>
    </row>
    <row r="86" spans="2:11">
      <c r="B86" s="2">
        <v>47239</v>
      </c>
      <c r="C86" s="28"/>
      <c r="D86" s="27" t="s">
        <v>12</v>
      </c>
      <c r="E86" s="27" t="s">
        <v>12</v>
      </c>
      <c r="F86" s="27">
        <v>44.63</v>
      </c>
      <c r="G86" s="27" t="s">
        <v>12</v>
      </c>
      <c r="H86" s="27" t="s">
        <v>12</v>
      </c>
      <c r="I86" s="27" t="s">
        <v>12</v>
      </c>
      <c r="J86" s="27">
        <v>0</v>
      </c>
      <c r="K86" s="3" t="s">
        <v>86</v>
      </c>
    </row>
    <row r="87" spans="2:11">
      <c r="B87" s="3" t="s">
        <v>85</v>
      </c>
      <c r="C87" s="28"/>
      <c r="D87" s="27"/>
      <c r="E87" s="27"/>
      <c r="F87" s="27"/>
      <c r="G87" s="27"/>
      <c r="H87" s="27"/>
      <c r="I87" s="27"/>
      <c r="J87" s="27"/>
      <c r="K87" s="4">
        <v>46000</v>
      </c>
    </row>
    <row r="88" spans="2:11">
      <c r="B88" s="2">
        <v>47270</v>
      </c>
      <c r="C88" s="28"/>
      <c r="D88" s="27" t="s">
        <v>12</v>
      </c>
      <c r="E88" s="27" t="s">
        <v>12</v>
      </c>
      <c r="F88" s="27">
        <v>62.22</v>
      </c>
      <c r="G88" s="27" t="s">
        <v>12</v>
      </c>
      <c r="H88" s="27" t="s">
        <v>12</v>
      </c>
      <c r="I88" s="27" t="s">
        <v>12</v>
      </c>
      <c r="J88" s="27">
        <v>0</v>
      </c>
      <c r="K88" s="3" t="s">
        <v>82</v>
      </c>
    </row>
    <row r="89" spans="2:11">
      <c r="B89" s="3" t="s">
        <v>87</v>
      </c>
      <c r="C89" s="28"/>
      <c r="D89" s="27"/>
      <c r="E89" s="27"/>
      <c r="F89" s="27"/>
      <c r="G89" s="27"/>
      <c r="H89" s="27"/>
      <c r="I89" s="27"/>
      <c r="J89" s="27"/>
      <c r="K89" s="4">
        <v>46000</v>
      </c>
    </row>
    <row r="90" spans="2:11">
      <c r="B90" s="2">
        <v>47300</v>
      </c>
      <c r="C90" s="28"/>
      <c r="D90" s="27" t="s">
        <v>12</v>
      </c>
      <c r="E90" s="27" t="s">
        <v>12</v>
      </c>
      <c r="F90" s="27">
        <v>92.42</v>
      </c>
      <c r="G90" s="27" t="s">
        <v>12</v>
      </c>
      <c r="H90" s="27" t="s">
        <v>12</v>
      </c>
      <c r="I90" s="27" t="s">
        <v>12</v>
      </c>
      <c r="J90" s="27">
        <v>0</v>
      </c>
      <c r="K90" s="3" t="s">
        <v>84</v>
      </c>
    </row>
    <row r="91" spans="2:11">
      <c r="B91" s="3" t="s">
        <v>88</v>
      </c>
      <c r="C91" s="28"/>
      <c r="D91" s="27"/>
      <c r="E91" s="27"/>
      <c r="F91" s="27"/>
      <c r="G91" s="27"/>
      <c r="H91" s="27"/>
      <c r="I91" s="27"/>
      <c r="J91" s="27"/>
      <c r="K91" s="4">
        <v>46000</v>
      </c>
    </row>
    <row r="92" spans="2:11">
      <c r="B92" s="2">
        <v>47331</v>
      </c>
      <c r="C92" s="28"/>
      <c r="D92" s="27" t="s">
        <v>12</v>
      </c>
      <c r="E92" s="27" t="s">
        <v>12</v>
      </c>
      <c r="F92" s="27">
        <v>116.04</v>
      </c>
      <c r="G92" s="27" t="s">
        <v>12</v>
      </c>
      <c r="H92" s="27" t="s">
        <v>12</v>
      </c>
      <c r="I92" s="27" t="s">
        <v>12</v>
      </c>
      <c r="J92" s="27">
        <v>0</v>
      </c>
      <c r="K92" s="3" t="s">
        <v>86</v>
      </c>
    </row>
    <row r="93" spans="2:11">
      <c r="B93" s="3" t="s">
        <v>89</v>
      </c>
      <c r="C93" s="28"/>
      <c r="D93" s="27"/>
      <c r="E93" s="27"/>
      <c r="F93" s="27"/>
      <c r="G93" s="27"/>
      <c r="H93" s="27"/>
      <c r="I93" s="27"/>
      <c r="J93" s="27"/>
      <c r="K93" s="4">
        <v>46000</v>
      </c>
    </row>
    <row r="94" spans="2:11">
      <c r="B94" s="2">
        <v>47362</v>
      </c>
      <c r="C94" s="28"/>
      <c r="D94" s="27" t="s">
        <v>12</v>
      </c>
      <c r="E94" s="27" t="s">
        <v>12</v>
      </c>
      <c r="F94" s="27">
        <v>71.78</v>
      </c>
      <c r="G94" s="27" t="s">
        <v>12</v>
      </c>
      <c r="H94" s="27" t="s">
        <v>12</v>
      </c>
      <c r="I94" s="27" t="s">
        <v>12</v>
      </c>
      <c r="J94" s="27">
        <v>0</v>
      </c>
      <c r="K94" s="3" t="s">
        <v>91</v>
      </c>
    </row>
    <row r="95" spans="2:11">
      <c r="B95" s="3" t="s">
        <v>90</v>
      </c>
      <c r="C95" s="28"/>
      <c r="D95" s="27"/>
      <c r="E95" s="27"/>
      <c r="F95" s="27"/>
      <c r="G95" s="27"/>
      <c r="H95" s="27"/>
      <c r="I95" s="27"/>
      <c r="J95" s="27"/>
      <c r="K95" s="4">
        <v>46000</v>
      </c>
    </row>
    <row r="96" spans="2:11">
      <c r="B96" s="2">
        <v>47392</v>
      </c>
      <c r="C96" s="28"/>
      <c r="D96" s="27" t="s">
        <v>12</v>
      </c>
      <c r="E96" s="27" t="s">
        <v>12</v>
      </c>
      <c r="F96" s="27">
        <v>40.36</v>
      </c>
      <c r="G96" s="27" t="s">
        <v>12</v>
      </c>
      <c r="H96" s="27" t="s">
        <v>12</v>
      </c>
      <c r="I96" s="27" t="s">
        <v>12</v>
      </c>
      <c r="J96" s="27">
        <v>0</v>
      </c>
      <c r="K96" s="3" t="s">
        <v>93</v>
      </c>
    </row>
    <row r="97" spans="2:11">
      <c r="B97" s="3" t="s">
        <v>92</v>
      </c>
      <c r="C97" s="28"/>
      <c r="D97" s="27"/>
      <c r="E97" s="27"/>
      <c r="F97" s="27"/>
      <c r="G97" s="27"/>
      <c r="H97" s="27"/>
      <c r="I97" s="27"/>
      <c r="J97" s="27"/>
      <c r="K97" s="4">
        <v>46000</v>
      </c>
    </row>
    <row r="98" spans="2:11">
      <c r="B98" s="2">
        <v>47423</v>
      </c>
      <c r="C98" s="28"/>
      <c r="D98" s="27" t="s">
        <v>12</v>
      </c>
      <c r="E98" s="27" t="s">
        <v>12</v>
      </c>
      <c r="F98" s="27">
        <v>37.909999999999997</v>
      </c>
      <c r="G98" s="27" t="s">
        <v>12</v>
      </c>
      <c r="H98" s="27" t="s">
        <v>12</v>
      </c>
      <c r="I98" s="27" t="s">
        <v>12</v>
      </c>
      <c r="J98" s="27">
        <v>0</v>
      </c>
      <c r="K98" s="3" t="s">
        <v>80</v>
      </c>
    </row>
    <row r="99" spans="2:11">
      <c r="B99" s="3" t="s">
        <v>94</v>
      </c>
      <c r="C99" s="28"/>
      <c r="D99" s="27"/>
      <c r="E99" s="27"/>
      <c r="F99" s="27"/>
      <c r="G99" s="27"/>
      <c r="H99" s="27"/>
      <c r="I99" s="27"/>
      <c r="J99" s="27"/>
      <c r="K99" s="4">
        <v>46000</v>
      </c>
    </row>
    <row r="100" spans="2:11">
      <c r="B100" s="2">
        <v>47453</v>
      </c>
      <c r="C100" s="28"/>
      <c r="D100" s="27" t="s">
        <v>12</v>
      </c>
      <c r="E100" s="27" t="s">
        <v>12</v>
      </c>
      <c r="F100" s="27">
        <v>45.16</v>
      </c>
      <c r="G100" s="27" t="s">
        <v>12</v>
      </c>
      <c r="H100" s="27" t="s">
        <v>12</v>
      </c>
      <c r="I100" s="27" t="s">
        <v>12</v>
      </c>
      <c r="J100" s="27">
        <v>0</v>
      </c>
      <c r="K100" s="3" t="s">
        <v>84</v>
      </c>
    </row>
    <row r="101" spans="2:11">
      <c r="B101" s="3" t="s">
        <v>95</v>
      </c>
      <c r="C101" s="28"/>
      <c r="D101" s="27"/>
      <c r="E101" s="27"/>
      <c r="F101" s="27"/>
      <c r="G101" s="27"/>
      <c r="H101" s="27"/>
      <c r="I101" s="27"/>
      <c r="J101" s="27"/>
      <c r="K101" s="4">
        <v>46000</v>
      </c>
    </row>
    <row r="102" spans="2:11">
      <c r="B102" s="2">
        <v>47484</v>
      </c>
      <c r="C102" s="28"/>
      <c r="D102" s="27" t="s">
        <v>12</v>
      </c>
      <c r="E102" s="27" t="s">
        <v>12</v>
      </c>
      <c r="F102" s="27">
        <v>90.91</v>
      </c>
      <c r="G102" s="27" t="s">
        <v>12</v>
      </c>
      <c r="H102" s="27" t="s">
        <v>12</v>
      </c>
      <c r="I102" s="27" t="s">
        <v>12</v>
      </c>
      <c r="J102" s="27">
        <v>0</v>
      </c>
      <c r="K102" s="3" t="s">
        <v>97</v>
      </c>
    </row>
    <row r="103" spans="2:11">
      <c r="B103" s="3" t="s">
        <v>96</v>
      </c>
      <c r="C103" s="28"/>
      <c r="D103" s="27"/>
      <c r="E103" s="27"/>
      <c r="F103" s="27"/>
      <c r="G103" s="27"/>
      <c r="H103" s="27"/>
      <c r="I103" s="27"/>
      <c r="J103" s="27"/>
      <c r="K103" s="4">
        <v>46000</v>
      </c>
    </row>
    <row r="104" spans="2:11">
      <c r="B104" s="2">
        <v>47515</v>
      </c>
      <c r="C104" s="28"/>
      <c r="D104" s="27" t="s">
        <v>12</v>
      </c>
      <c r="E104" s="27" t="s">
        <v>12</v>
      </c>
      <c r="F104" s="27">
        <v>85.57</v>
      </c>
      <c r="G104" s="27" t="s">
        <v>12</v>
      </c>
      <c r="H104" s="27" t="s">
        <v>12</v>
      </c>
      <c r="I104" s="27" t="s">
        <v>12</v>
      </c>
      <c r="J104" s="27">
        <v>0</v>
      </c>
      <c r="K104" s="3" t="s">
        <v>99</v>
      </c>
    </row>
    <row r="105" spans="2:11">
      <c r="B105" s="3" t="s">
        <v>98</v>
      </c>
      <c r="C105" s="28"/>
      <c r="D105" s="27"/>
      <c r="E105" s="27"/>
      <c r="F105" s="27"/>
      <c r="G105" s="27"/>
      <c r="H105" s="27"/>
      <c r="I105" s="27"/>
      <c r="J105" s="27"/>
      <c r="K105" s="4">
        <v>46000</v>
      </c>
    </row>
    <row r="106" spans="2:11">
      <c r="B106" s="2">
        <v>47543</v>
      </c>
      <c r="C106" s="28"/>
      <c r="D106" s="27" t="s">
        <v>12</v>
      </c>
      <c r="E106" s="27" t="s">
        <v>12</v>
      </c>
      <c r="F106" s="27">
        <v>40.630000000000003</v>
      </c>
      <c r="G106" s="27" t="s">
        <v>12</v>
      </c>
      <c r="H106" s="27" t="s">
        <v>12</v>
      </c>
      <c r="I106" s="27" t="s">
        <v>12</v>
      </c>
      <c r="J106" s="27">
        <v>0</v>
      </c>
      <c r="K106" s="3" t="s">
        <v>101</v>
      </c>
    </row>
    <row r="107" spans="2:11">
      <c r="B107" s="3" t="s">
        <v>100</v>
      </c>
      <c r="C107" s="28"/>
      <c r="D107" s="27"/>
      <c r="E107" s="27"/>
      <c r="F107" s="27"/>
      <c r="G107" s="27"/>
      <c r="H107" s="27"/>
      <c r="I107" s="27"/>
      <c r="J107" s="27"/>
      <c r="K107" s="4">
        <v>46000</v>
      </c>
    </row>
    <row r="108" spans="2:11">
      <c r="B108" s="2">
        <v>47574</v>
      </c>
      <c r="C108" s="28"/>
      <c r="D108" s="27" t="s">
        <v>12</v>
      </c>
      <c r="E108" s="27" t="s">
        <v>12</v>
      </c>
      <c r="F108" s="27">
        <v>36.130000000000003</v>
      </c>
      <c r="G108" s="27" t="s">
        <v>12</v>
      </c>
      <c r="H108" s="27" t="s">
        <v>12</v>
      </c>
      <c r="I108" s="27" t="s">
        <v>12</v>
      </c>
      <c r="J108" s="27">
        <v>0</v>
      </c>
      <c r="K108" s="3" t="s">
        <v>103</v>
      </c>
    </row>
    <row r="109" spans="2:11">
      <c r="B109" s="3" t="s">
        <v>102</v>
      </c>
      <c r="C109" s="28"/>
      <c r="D109" s="27"/>
      <c r="E109" s="27"/>
      <c r="F109" s="27"/>
      <c r="G109" s="27"/>
      <c r="H109" s="27"/>
      <c r="I109" s="27"/>
      <c r="J109" s="27"/>
      <c r="K109" s="4">
        <v>46000</v>
      </c>
    </row>
    <row r="110" spans="2:11">
      <c r="B110" s="2">
        <v>47604</v>
      </c>
      <c r="C110" s="28"/>
      <c r="D110" s="27" t="s">
        <v>12</v>
      </c>
      <c r="E110" s="27" t="s">
        <v>12</v>
      </c>
      <c r="F110" s="27">
        <v>44.12</v>
      </c>
      <c r="G110" s="27" t="s">
        <v>12</v>
      </c>
      <c r="H110" s="27" t="s">
        <v>12</v>
      </c>
      <c r="I110" s="27" t="s">
        <v>12</v>
      </c>
      <c r="J110" s="27">
        <v>0</v>
      </c>
      <c r="K110" s="3" t="s">
        <v>101</v>
      </c>
    </row>
    <row r="111" spans="2:11">
      <c r="B111" s="3" t="s">
        <v>104</v>
      </c>
      <c r="C111" s="28"/>
      <c r="D111" s="27"/>
      <c r="E111" s="27"/>
      <c r="F111" s="27"/>
      <c r="G111" s="27"/>
      <c r="H111" s="27"/>
      <c r="I111" s="27"/>
      <c r="J111" s="27"/>
      <c r="K111" s="4">
        <v>46000</v>
      </c>
    </row>
    <row r="112" spans="2:11">
      <c r="B112" s="2">
        <v>47635</v>
      </c>
      <c r="C112" s="28"/>
      <c r="D112" s="27" t="s">
        <v>12</v>
      </c>
      <c r="E112" s="27" t="s">
        <v>12</v>
      </c>
      <c r="F112" s="27">
        <v>61.2</v>
      </c>
      <c r="G112" s="27" t="s">
        <v>12</v>
      </c>
      <c r="H112" s="27" t="s">
        <v>12</v>
      </c>
      <c r="I112" s="27" t="s">
        <v>12</v>
      </c>
      <c r="J112" s="27">
        <v>0</v>
      </c>
      <c r="K112" s="3" t="s">
        <v>106</v>
      </c>
    </row>
    <row r="113" spans="2:11">
      <c r="B113" s="3" t="s">
        <v>105</v>
      </c>
      <c r="C113" s="28"/>
      <c r="D113" s="27"/>
      <c r="E113" s="27"/>
      <c r="F113" s="27"/>
      <c r="G113" s="27"/>
      <c r="H113" s="27"/>
      <c r="I113" s="27"/>
      <c r="J113" s="27"/>
      <c r="K113" s="4">
        <v>46000</v>
      </c>
    </row>
    <row r="114" spans="2:11">
      <c r="B114" s="2">
        <v>47665</v>
      </c>
      <c r="C114" s="28"/>
      <c r="D114" s="27" t="s">
        <v>12</v>
      </c>
      <c r="E114" s="27" t="s">
        <v>12</v>
      </c>
      <c r="F114" s="27">
        <v>90.01</v>
      </c>
      <c r="G114" s="27" t="s">
        <v>12</v>
      </c>
      <c r="H114" s="27" t="s">
        <v>12</v>
      </c>
      <c r="I114" s="27" t="s">
        <v>12</v>
      </c>
      <c r="J114" s="27">
        <v>0</v>
      </c>
      <c r="K114" s="3" t="s">
        <v>103</v>
      </c>
    </row>
    <row r="115" spans="2:11">
      <c r="B115" s="3" t="s">
        <v>107</v>
      </c>
      <c r="C115" s="28"/>
      <c r="D115" s="27"/>
      <c r="E115" s="27"/>
      <c r="F115" s="27"/>
      <c r="G115" s="27"/>
      <c r="H115" s="27"/>
      <c r="I115" s="27"/>
      <c r="J115" s="27"/>
      <c r="K115" s="4">
        <v>46000</v>
      </c>
    </row>
    <row r="116" spans="2:11">
      <c r="B116" s="2">
        <v>47696</v>
      </c>
      <c r="C116" s="28"/>
      <c r="D116" s="27" t="s">
        <v>12</v>
      </c>
      <c r="E116" s="27" t="s">
        <v>12</v>
      </c>
      <c r="F116" s="27">
        <v>112.46</v>
      </c>
      <c r="G116" s="27" t="s">
        <v>12</v>
      </c>
      <c r="H116" s="27" t="s">
        <v>12</v>
      </c>
      <c r="I116" s="27" t="s">
        <v>12</v>
      </c>
      <c r="J116" s="27">
        <v>0</v>
      </c>
      <c r="K116" s="3" t="s">
        <v>101</v>
      </c>
    </row>
    <row r="117" spans="2:11">
      <c r="B117" s="3" t="s">
        <v>108</v>
      </c>
      <c r="C117" s="28"/>
      <c r="D117" s="27"/>
      <c r="E117" s="27"/>
      <c r="F117" s="27"/>
      <c r="G117" s="27"/>
      <c r="H117" s="27"/>
      <c r="I117" s="27"/>
      <c r="J117" s="27"/>
      <c r="K117" s="4">
        <v>46000</v>
      </c>
    </row>
    <row r="118" spans="2:11">
      <c r="B118" s="2">
        <v>47727</v>
      </c>
      <c r="C118" s="28"/>
      <c r="D118" s="27" t="s">
        <v>12</v>
      </c>
      <c r="E118" s="27" t="s">
        <v>12</v>
      </c>
      <c r="F118" s="27">
        <v>69.459999999999994</v>
      </c>
      <c r="G118" s="27" t="s">
        <v>12</v>
      </c>
      <c r="H118" s="27" t="s">
        <v>12</v>
      </c>
      <c r="I118" s="27" t="s">
        <v>12</v>
      </c>
      <c r="J118" s="27">
        <v>0</v>
      </c>
      <c r="K118" s="3" t="s">
        <v>99</v>
      </c>
    </row>
    <row r="119" spans="2:11">
      <c r="B119" s="3" t="s">
        <v>109</v>
      </c>
      <c r="C119" s="28"/>
      <c r="D119" s="27"/>
      <c r="E119" s="27"/>
      <c r="F119" s="27"/>
      <c r="G119" s="27"/>
      <c r="H119" s="27"/>
      <c r="I119" s="27"/>
      <c r="J119" s="27"/>
      <c r="K119" s="4">
        <v>46000</v>
      </c>
    </row>
    <row r="120" spans="2:11">
      <c r="B120" s="2">
        <v>47757</v>
      </c>
      <c r="C120" s="28"/>
      <c r="D120" s="27" t="s">
        <v>12</v>
      </c>
      <c r="E120" s="27" t="s">
        <v>12</v>
      </c>
      <c r="F120" s="27">
        <v>39.32</v>
      </c>
      <c r="G120" s="27" t="s">
        <v>12</v>
      </c>
      <c r="H120" s="27" t="s">
        <v>12</v>
      </c>
      <c r="I120" s="27" t="s">
        <v>12</v>
      </c>
      <c r="J120" s="27">
        <v>0</v>
      </c>
      <c r="K120" s="3" t="s">
        <v>111</v>
      </c>
    </row>
    <row r="121" spans="2:11">
      <c r="B121" s="3" t="s">
        <v>110</v>
      </c>
      <c r="C121" s="28"/>
      <c r="D121" s="27"/>
      <c r="E121" s="27"/>
      <c r="F121" s="27"/>
      <c r="G121" s="27"/>
      <c r="H121" s="27"/>
      <c r="I121" s="27"/>
      <c r="J121" s="27"/>
      <c r="K121" s="4">
        <v>46000</v>
      </c>
    </row>
    <row r="122" spans="2:11">
      <c r="B122" s="2">
        <v>47788</v>
      </c>
      <c r="C122" s="28"/>
      <c r="D122" s="27" t="s">
        <v>12</v>
      </c>
      <c r="E122" s="27" t="s">
        <v>12</v>
      </c>
      <c r="F122" s="27">
        <v>36.729999999999997</v>
      </c>
      <c r="G122" s="27" t="s">
        <v>12</v>
      </c>
      <c r="H122" s="27" t="s">
        <v>12</v>
      </c>
      <c r="I122" s="27" t="s">
        <v>12</v>
      </c>
      <c r="J122" s="27">
        <v>0</v>
      </c>
      <c r="K122" s="3" t="s">
        <v>113</v>
      </c>
    </row>
    <row r="123" spans="2:11">
      <c r="B123" s="3" t="s">
        <v>112</v>
      </c>
      <c r="C123" s="28"/>
      <c r="D123" s="27"/>
      <c r="E123" s="27"/>
      <c r="F123" s="27"/>
      <c r="G123" s="27"/>
      <c r="H123" s="27"/>
      <c r="I123" s="27"/>
      <c r="J123" s="27"/>
      <c r="K123" s="4">
        <v>46000</v>
      </c>
    </row>
    <row r="124" spans="2:11">
      <c r="B124" s="2">
        <v>47818</v>
      </c>
      <c r="C124" s="28"/>
      <c r="D124" s="27" t="s">
        <v>12</v>
      </c>
      <c r="E124" s="27" t="s">
        <v>12</v>
      </c>
      <c r="F124" s="27">
        <v>43.76</v>
      </c>
      <c r="G124" s="27" t="s">
        <v>12</v>
      </c>
      <c r="H124" s="27" t="s">
        <v>12</v>
      </c>
      <c r="I124" s="27" t="s">
        <v>12</v>
      </c>
      <c r="J124" s="27">
        <v>0</v>
      </c>
      <c r="K124" s="3" t="s">
        <v>101</v>
      </c>
    </row>
    <row r="125" spans="2:11">
      <c r="B125" s="3" t="s">
        <v>114</v>
      </c>
      <c r="C125" s="28"/>
      <c r="D125" s="27"/>
      <c r="E125" s="27"/>
      <c r="F125" s="27"/>
      <c r="G125" s="27"/>
      <c r="H125" s="27"/>
      <c r="I125" s="27"/>
      <c r="J125" s="27"/>
      <c r="K125" s="4">
        <v>46000</v>
      </c>
    </row>
    <row r="126" spans="2:11">
      <c r="B126" s="2">
        <v>47849</v>
      </c>
      <c r="C126" s="28"/>
      <c r="D126" s="27" t="s">
        <v>12</v>
      </c>
      <c r="E126" s="27" t="s">
        <v>12</v>
      </c>
      <c r="F126" s="27">
        <v>0</v>
      </c>
      <c r="G126" s="27" t="s">
        <v>12</v>
      </c>
      <c r="H126" s="27" t="s">
        <v>12</v>
      </c>
      <c r="I126" s="27" t="s">
        <v>12</v>
      </c>
      <c r="J126" s="27">
        <v>0</v>
      </c>
      <c r="K126" s="3" t="s">
        <v>116</v>
      </c>
    </row>
    <row r="127" spans="2:11">
      <c r="B127" s="3" t="s">
        <v>115</v>
      </c>
      <c r="C127" s="28"/>
      <c r="D127" s="27"/>
      <c r="E127" s="27"/>
      <c r="F127" s="27"/>
      <c r="G127" s="27"/>
      <c r="H127" s="27"/>
      <c r="I127" s="27"/>
      <c r="J127" s="27"/>
      <c r="K127" s="4">
        <v>46000</v>
      </c>
    </row>
    <row r="128" spans="2:11">
      <c r="B128" s="2">
        <v>47880</v>
      </c>
      <c r="C128" s="28"/>
      <c r="D128" s="27" t="s">
        <v>12</v>
      </c>
      <c r="E128" s="27" t="s">
        <v>12</v>
      </c>
      <c r="F128" s="27">
        <v>0</v>
      </c>
      <c r="G128" s="27" t="s">
        <v>12</v>
      </c>
      <c r="H128" s="27" t="s">
        <v>12</v>
      </c>
      <c r="I128" s="27" t="s">
        <v>12</v>
      </c>
      <c r="J128" s="27">
        <v>0</v>
      </c>
      <c r="K128" s="3" t="s">
        <v>116</v>
      </c>
    </row>
    <row r="129" spans="2:11">
      <c r="B129" s="3" t="s">
        <v>117</v>
      </c>
      <c r="C129" s="28"/>
      <c r="D129" s="27"/>
      <c r="E129" s="27"/>
      <c r="F129" s="27"/>
      <c r="G129" s="27"/>
      <c r="H129" s="27"/>
      <c r="I129" s="27"/>
      <c r="J129" s="27"/>
      <c r="K129" s="4">
        <v>46000</v>
      </c>
    </row>
    <row r="130" spans="2:11">
      <c r="B130" s="2">
        <v>47908</v>
      </c>
      <c r="C130" s="28"/>
      <c r="D130" s="27" t="s">
        <v>12</v>
      </c>
      <c r="E130" s="27" t="s">
        <v>12</v>
      </c>
      <c r="F130" s="27">
        <v>0</v>
      </c>
      <c r="G130" s="27" t="s">
        <v>12</v>
      </c>
      <c r="H130" s="27" t="s">
        <v>12</v>
      </c>
      <c r="I130" s="27" t="s">
        <v>12</v>
      </c>
      <c r="J130" s="27">
        <v>0</v>
      </c>
      <c r="K130" s="3" t="s">
        <v>86</v>
      </c>
    </row>
    <row r="131" spans="2:11">
      <c r="B131" s="3" t="s">
        <v>118</v>
      </c>
      <c r="C131" s="28"/>
      <c r="D131" s="27"/>
      <c r="E131" s="27"/>
      <c r="F131" s="27"/>
      <c r="G131" s="27"/>
      <c r="H131" s="27"/>
      <c r="I131" s="27"/>
      <c r="J131" s="27"/>
      <c r="K131" s="4">
        <v>46000</v>
      </c>
    </row>
    <row r="132" spans="2:11">
      <c r="B132" s="2">
        <v>47939</v>
      </c>
      <c r="C132" s="28"/>
      <c r="D132" s="27" t="s">
        <v>12</v>
      </c>
      <c r="E132" s="27" t="s">
        <v>12</v>
      </c>
      <c r="F132" s="27">
        <v>0</v>
      </c>
      <c r="G132" s="27" t="s">
        <v>12</v>
      </c>
      <c r="H132" s="27" t="s">
        <v>12</v>
      </c>
      <c r="I132" s="27" t="s">
        <v>12</v>
      </c>
      <c r="J132" s="27">
        <v>0</v>
      </c>
      <c r="K132" s="3" t="s">
        <v>116</v>
      </c>
    </row>
    <row r="133" spans="2:11">
      <c r="B133" s="3" t="s">
        <v>119</v>
      </c>
      <c r="C133" s="28"/>
      <c r="D133" s="27"/>
      <c r="E133" s="27"/>
      <c r="F133" s="27"/>
      <c r="G133" s="27"/>
      <c r="H133" s="27"/>
      <c r="I133" s="27"/>
      <c r="J133" s="27"/>
      <c r="K133" s="4">
        <v>46000</v>
      </c>
    </row>
    <row r="134" spans="2:11">
      <c r="B134" s="2">
        <v>47969</v>
      </c>
      <c r="C134" s="28"/>
      <c r="D134" s="27" t="s">
        <v>12</v>
      </c>
      <c r="E134" s="27" t="s">
        <v>12</v>
      </c>
      <c r="F134" s="27">
        <v>0</v>
      </c>
      <c r="G134" s="27" t="s">
        <v>12</v>
      </c>
      <c r="H134" s="27" t="s">
        <v>12</v>
      </c>
      <c r="I134" s="27" t="s">
        <v>12</v>
      </c>
      <c r="J134" s="27">
        <v>0</v>
      </c>
      <c r="K134" s="3" t="s">
        <v>116</v>
      </c>
    </row>
    <row r="135" spans="2:11">
      <c r="B135" s="3" t="s">
        <v>120</v>
      </c>
      <c r="C135" s="28"/>
      <c r="D135" s="27"/>
      <c r="E135" s="27"/>
      <c r="F135" s="27"/>
      <c r="G135" s="27"/>
      <c r="H135" s="27"/>
      <c r="I135" s="27"/>
      <c r="J135" s="27"/>
      <c r="K135" s="4">
        <v>46000</v>
      </c>
    </row>
    <row r="136" spans="2:11">
      <c r="B136" s="2">
        <v>48000</v>
      </c>
      <c r="C136" s="28"/>
      <c r="D136" s="27" t="s">
        <v>12</v>
      </c>
      <c r="E136" s="27" t="s">
        <v>12</v>
      </c>
      <c r="F136" s="27">
        <v>0</v>
      </c>
      <c r="G136" s="27" t="s">
        <v>12</v>
      </c>
      <c r="H136" s="27" t="s">
        <v>12</v>
      </c>
      <c r="I136" s="27" t="s">
        <v>12</v>
      </c>
      <c r="J136" s="27">
        <v>0</v>
      </c>
      <c r="K136" s="3" t="s">
        <v>122</v>
      </c>
    </row>
    <row r="137" spans="2:11">
      <c r="B137" s="3" t="s">
        <v>121</v>
      </c>
      <c r="C137" s="28"/>
      <c r="D137" s="27"/>
      <c r="E137" s="27"/>
      <c r="F137" s="27"/>
      <c r="G137" s="27"/>
      <c r="H137" s="27"/>
      <c r="I137" s="27"/>
      <c r="J137" s="27"/>
      <c r="K137" s="4">
        <v>46000</v>
      </c>
    </row>
    <row r="138" spans="2:11">
      <c r="B138" s="2">
        <v>48030</v>
      </c>
      <c r="C138" s="28"/>
      <c r="D138" s="27" t="s">
        <v>12</v>
      </c>
      <c r="E138" s="27" t="s">
        <v>12</v>
      </c>
      <c r="F138" s="27">
        <v>0</v>
      </c>
      <c r="G138" s="27" t="s">
        <v>12</v>
      </c>
      <c r="H138" s="27" t="s">
        <v>12</v>
      </c>
      <c r="I138" s="27" t="s">
        <v>12</v>
      </c>
      <c r="J138" s="27">
        <v>0</v>
      </c>
      <c r="K138" s="3" t="s">
        <v>86</v>
      </c>
    </row>
    <row r="139" spans="2:11">
      <c r="B139" s="3" t="s">
        <v>123</v>
      </c>
      <c r="C139" s="28"/>
      <c r="D139" s="27"/>
      <c r="E139" s="27"/>
      <c r="F139" s="27"/>
      <c r="G139" s="27"/>
      <c r="H139" s="27"/>
      <c r="I139" s="27"/>
      <c r="J139" s="27"/>
      <c r="K139" s="4">
        <v>46000</v>
      </c>
    </row>
    <row r="140" spans="2:11">
      <c r="B140" s="2">
        <v>48061</v>
      </c>
      <c r="C140" s="28"/>
      <c r="D140" s="27" t="s">
        <v>12</v>
      </c>
      <c r="E140" s="27" t="s">
        <v>12</v>
      </c>
      <c r="F140" s="27">
        <v>0</v>
      </c>
      <c r="G140" s="27" t="s">
        <v>12</v>
      </c>
      <c r="H140" s="27" t="s">
        <v>12</v>
      </c>
      <c r="I140" s="27" t="s">
        <v>12</v>
      </c>
      <c r="J140" s="27">
        <v>0</v>
      </c>
      <c r="K140" s="3" t="s">
        <v>86</v>
      </c>
    </row>
    <row r="141" spans="2:11">
      <c r="B141" s="3" t="s">
        <v>124</v>
      </c>
      <c r="C141" s="28"/>
      <c r="D141" s="27"/>
      <c r="E141" s="27"/>
      <c r="F141" s="27"/>
      <c r="G141" s="27"/>
      <c r="H141" s="27"/>
      <c r="I141" s="27"/>
      <c r="J141" s="27"/>
      <c r="K141" s="4">
        <v>46000</v>
      </c>
    </row>
    <row r="142" spans="2:11">
      <c r="B142" s="2">
        <v>48092</v>
      </c>
      <c r="C142" s="28"/>
      <c r="D142" s="27" t="s">
        <v>12</v>
      </c>
      <c r="E142" s="27" t="s">
        <v>12</v>
      </c>
      <c r="F142" s="27">
        <v>0</v>
      </c>
      <c r="G142" s="27" t="s">
        <v>12</v>
      </c>
      <c r="H142" s="27" t="s">
        <v>12</v>
      </c>
      <c r="I142" s="27" t="s">
        <v>12</v>
      </c>
      <c r="J142" s="27">
        <v>0</v>
      </c>
      <c r="K142" s="3" t="s">
        <v>122</v>
      </c>
    </row>
    <row r="143" spans="2:11">
      <c r="B143" s="3" t="s">
        <v>125</v>
      </c>
      <c r="C143" s="28"/>
      <c r="D143" s="27"/>
      <c r="E143" s="27"/>
      <c r="F143" s="27"/>
      <c r="G143" s="27"/>
      <c r="H143" s="27"/>
      <c r="I143" s="27"/>
      <c r="J143" s="27"/>
      <c r="K143" s="4">
        <v>46000</v>
      </c>
    </row>
    <row r="144" spans="2:11">
      <c r="B144" s="2">
        <v>48122</v>
      </c>
      <c r="C144" s="28"/>
      <c r="D144" s="27" t="s">
        <v>12</v>
      </c>
      <c r="E144" s="27" t="s">
        <v>12</v>
      </c>
      <c r="F144" s="27">
        <v>0</v>
      </c>
      <c r="G144" s="27" t="s">
        <v>12</v>
      </c>
      <c r="H144" s="27" t="s">
        <v>12</v>
      </c>
      <c r="I144" s="27" t="s">
        <v>12</v>
      </c>
      <c r="J144" s="27">
        <v>0</v>
      </c>
      <c r="K144" s="3" t="s">
        <v>122</v>
      </c>
    </row>
    <row r="145" spans="2:11">
      <c r="B145" s="3" t="s">
        <v>126</v>
      </c>
      <c r="C145" s="28"/>
      <c r="D145" s="27"/>
      <c r="E145" s="27"/>
      <c r="F145" s="27"/>
      <c r="G145" s="27"/>
      <c r="H145" s="27"/>
      <c r="I145" s="27"/>
      <c r="J145" s="27"/>
      <c r="K145" s="4">
        <v>46000</v>
      </c>
    </row>
    <row r="146" spans="2:11">
      <c r="B146" s="2">
        <v>48153</v>
      </c>
      <c r="C146" s="28"/>
      <c r="D146" s="27" t="s">
        <v>12</v>
      </c>
      <c r="E146" s="27" t="s">
        <v>12</v>
      </c>
      <c r="F146" s="27">
        <v>0</v>
      </c>
      <c r="G146" s="27" t="s">
        <v>12</v>
      </c>
      <c r="H146" s="27" t="s">
        <v>12</v>
      </c>
      <c r="I146" s="27" t="s">
        <v>12</v>
      </c>
      <c r="J146" s="27">
        <v>0</v>
      </c>
      <c r="K146" s="3" t="s">
        <v>128</v>
      </c>
    </row>
    <row r="147" spans="2:11">
      <c r="B147" s="3" t="s">
        <v>127</v>
      </c>
      <c r="C147" s="28"/>
      <c r="D147" s="27"/>
      <c r="E147" s="27"/>
      <c r="F147" s="27"/>
      <c r="G147" s="27"/>
      <c r="H147" s="27"/>
      <c r="I147" s="27"/>
      <c r="J147" s="27"/>
      <c r="K147" s="4">
        <v>46000</v>
      </c>
    </row>
    <row r="148" spans="2:11">
      <c r="B148" s="2">
        <v>48183</v>
      </c>
      <c r="C148" s="28"/>
      <c r="D148" s="27" t="s">
        <v>12</v>
      </c>
      <c r="E148" s="27" t="s">
        <v>12</v>
      </c>
      <c r="F148" s="27">
        <v>0</v>
      </c>
      <c r="G148" s="27" t="s">
        <v>12</v>
      </c>
      <c r="H148" s="27" t="s">
        <v>12</v>
      </c>
      <c r="I148" s="27" t="s">
        <v>12</v>
      </c>
      <c r="J148" s="27">
        <v>0</v>
      </c>
      <c r="K148" s="3" t="s">
        <v>130</v>
      </c>
    </row>
    <row r="149" spans="2:11">
      <c r="B149" s="3" t="s">
        <v>129</v>
      </c>
      <c r="C149" s="28"/>
      <c r="D149" s="27"/>
      <c r="E149" s="27"/>
      <c r="F149" s="27"/>
      <c r="G149" s="27"/>
      <c r="H149" s="27"/>
      <c r="I149" s="27"/>
      <c r="J149" s="27"/>
      <c r="K149" s="4">
        <v>46000</v>
      </c>
    </row>
    <row r="151" spans="2:11">
      <c r="B151" s="6" t="s">
        <v>131</v>
      </c>
    </row>
    <row r="152" spans="2:11">
      <c r="B152" s="7" t="s">
        <v>132</v>
      </c>
    </row>
    <row r="153" spans="2:11">
      <c r="B153" s="7" t="s">
        <v>133</v>
      </c>
    </row>
    <row r="154" spans="2:11">
      <c r="B154" s="7" t="s">
        <v>134</v>
      </c>
    </row>
    <row r="155" spans="2:11">
      <c r="B155" s="7" t="s">
        <v>135</v>
      </c>
    </row>
    <row r="156" spans="2:11">
      <c r="B156" s="7" t="s">
        <v>136</v>
      </c>
    </row>
    <row r="157" spans="2:11">
      <c r="B157" s="7" t="s">
        <v>137</v>
      </c>
    </row>
    <row r="158" spans="2:11">
      <c r="B158" s="7" t="s">
        <v>138</v>
      </c>
    </row>
    <row r="159" spans="2:11">
      <c r="B159" s="7" t="s">
        <v>139</v>
      </c>
    </row>
    <row r="160" spans="2:11" ht="18">
      <c r="B160" s="9" t="s">
        <v>140</v>
      </c>
    </row>
    <row r="163" spans="2:2">
      <c r="B163" s="10" t="s">
        <v>141</v>
      </c>
    </row>
    <row r="166" spans="2:2">
      <c r="B166" s="10" t="s">
        <v>142</v>
      </c>
    </row>
    <row r="167" spans="2:2">
      <c r="B167" s="7" t="s">
        <v>143</v>
      </c>
    </row>
    <row r="168" spans="2:2">
      <c r="B168" s="11" t="s">
        <v>144</v>
      </c>
    </row>
    <row r="169" spans="2:2">
      <c r="B169" s="7" t="s">
        <v>145</v>
      </c>
    </row>
    <row r="170" spans="2:2">
      <c r="B170" s="7" t="s">
        <v>146</v>
      </c>
    </row>
    <row r="171" spans="2:2">
      <c r="B171" s="7" t="s">
        <v>147</v>
      </c>
    </row>
    <row r="172" spans="2:2">
      <c r="B172" s="7" t="s">
        <v>148</v>
      </c>
    </row>
    <row r="173" spans="2:2">
      <c r="B173" s="7" t="s">
        <v>149</v>
      </c>
    </row>
    <row r="174" spans="2:2">
      <c r="B174" s="7" t="s">
        <v>150</v>
      </c>
    </row>
    <row r="175" spans="2:2">
      <c r="B175" s="7" t="s">
        <v>151</v>
      </c>
    </row>
    <row r="176" spans="2:2">
      <c r="B176" s="11" t="s">
        <v>152</v>
      </c>
    </row>
    <row r="177" spans="2:2">
      <c r="B177" s="7" t="s">
        <v>153</v>
      </c>
    </row>
    <row r="178" spans="2:2">
      <c r="B178" s="7" t="s">
        <v>154</v>
      </c>
    </row>
    <row r="179" spans="2:2">
      <c r="B179" s="7" t="s">
        <v>155</v>
      </c>
    </row>
    <row r="180" spans="2:2">
      <c r="B180" s="7" t="s">
        <v>156</v>
      </c>
    </row>
    <row r="181" spans="2:2">
      <c r="B181" s="7" t="s">
        <v>157</v>
      </c>
    </row>
    <row r="182" spans="2:2">
      <c r="B182" s="11" t="s">
        <v>158</v>
      </c>
    </row>
    <row r="183" spans="2:2">
      <c r="B183" s="7" t="s">
        <v>159</v>
      </c>
    </row>
    <row r="184" spans="2:2">
      <c r="B184" s="7" t="s">
        <v>160</v>
      </c>
    </row>
    <row r="185" spans="2:2">
      <c r="B185" s="7" t="s">
        <v>161</v>
      </c>
    </row>
    <row r="186" spans="2:2">
      <c r="B186" s="7" t="s">
        <v>162</v>
      </c>
    </row>
    <row r="187" spans="2:2">
      <c r="B187" s="7" t="s">
        <v>163</v>
      </c>
    </row>
    <row r="188" spans="2:2">
      <c r="B188" s="11" t="s">
        <v>164</v>
      </c>
    </row>
    <row r="189" spans="2:2">
      <c r="B189" s="7" t="s">
        <v>165</v>
      </c>
    </row>
    <row r="190" spans="2:2">
      <c r="B190" s="7" t="s">
        <v>166</v>
      </c>
    </row>
    <row r="191" spans="2:2">
      <c r="B191" s="7" t="s">
        <v>167</v>
      </c>
    </row>
    <row r="192" spans="2:2">
      <c r="B192" s="7" t="s">
        <v>168</v>
      </c>
    </row>
    <row r="193" spans="2:2">
      <c r="B193" s="12"/>
    </row>
    <row r="195" spans="2:2">
      <c r="B195" s="12"/>
    </row>
    <row r="197" spans="2:2">
      <c r="B197" s="12"/>
    </row>
    <row r="199" spans="2:2">
      <c r="B199" s="12"/>
    </row>
    <row r="201" spans="2:2">
      <c r="B201" s="12"/>
    </row>
    <row r="203" spans="2:2">
      <c r="B203" s="12"/>
    </row>
    <row r="204" spans="2:2">
      <c r="B204" s="8" t="s">
        <v>169</v>
      </c>
    </row>
    <row r="205" spans="2:2">
      <c r="B205" s="8" t="s">
        <v>170</v>
      </c>
    </row>
    <row r="207" spans="2:2">
      <c r="B207" s="8" t="s">
        <v>171</v>
      </c>
    </row>
    <row r="209" spans="2:2">
      <c r="B209" s="13" t="s">
        <v>172</v>
      </c>
    </row>
    <row r="210" spans="2:2">
      <c r="B210" s="14"/>
    </row>
    <row r="211" spans="2:2">
      <c r="B211" s="14" t="s">
        <v>173</v>
      </c>
    </row>
    <row r="212" spans="2:2">
      <c r="B212" s="14" t="s">
        <v>173</v>
      </c>
    </row>
    <row r="213" spans="2:2">
      <c r="B213" s="14" t="s">
        <v>174</v>
      </c>
    </row>
    <row r="214" spans="2:2">
      <c r="B214" s="14" t="s">
        <v>175</v>
      </c>
    </row>
    <row r="215" spans="2:2">
      <c r="B215" s="14" t="s">
        <v>173</v>
      </c>
    </row>
    <row r="216" spans="2:2" ht="25">
      <c r="B216" s="15"/>
    </row>
  </sheetData>
  <mergeCells count="594">
    <mergeCell ref="I2:I3"/>
    <mergeCell ref="J2:J3"/>
    <mergeCell ref="K2:K3"/>
    <mergeCell ref="B4:B5"/>
    <mergeCell ref="C4:C5"/>
    <mergeCell ref="D4:D5"/>
    <mergeCell ref="E4:E5"/>
    <mergeCell ref="G4:G5"/>
    <mergeCell ref="H4:H5"/>
    <mergeCell ref="I4:I5"/>
    <mergeCell ref="B2:B3"/>
    <mergeCell ref="C2:C3"/>
    <mergeCell ref="D2:D3"/>
    <mergeCell ref="E2:E3"/>
    <mergeCell ref="G2:G3"/>
    <mergeCell ref="H2:H3"/>
    <mergeCell ref="J4:J5"/>
    <mergeCell ref="K4:K5"/>
    <mergeCell ref="C6:C7"/>
    <mergeCell ref="D6:D7"/>
    <mergeCell ref="E6:E7"/>
    <mergeCell ref="F6:F7"/>
    <mergeCell ref="G6:G7"/>
    <mergeCell ref="H6:H7"/>
    <mergeCell ref="I6:I7"/>
    <mergeCell ref="J6:J7"/>
    <mergeCell ref="I8:I9"/>
    <mergeCell ref="J8:J9"/>
    <mergeCell ref="C10:C11"/>
    <mergeCell ref="D10:D11"/>
    <mergeCell ref="E10:E11"/>
    <mergeCell ref="F10:F11"/>
    <mergeCell ref="G10:G11"/>
    <mergeCell ref="H10:H11"/>
    <mergeCell ref="I10:I11"/>
    <mergeCell ref="J10:J11"/>
    <mergeCell ref="C8:C9"/>
    <mergeCell ref="D8:D9"/>
    <mergeCell ref="E8:E9"/>
    <mergeCell ref="F8:F9"/>
    <mergeCell ref="G8:G9"/>
    <mergeCell ref="H8:H9"/>
    <mergeCell ref="I12:I13"/>
    <mergeCell ref="J12:J13"/>
    <mergeCell ref="C14:C15"/>
    <mergeCell ref="D14:D15"/>
    <mergeCell ref="E14:E15"/>
    <mergeCell ref="F14:F15"/>
    <mergeCell ref="G14:G15"/>
    <mergeCell ref="H14:H15"/>
    <mergeCell ref="I14:I15"/>
    <mergeCell ref="J14:J15"/>
    <mergeCell ref="C12:C13"/>
    <mergeCell ref="D12:D13"/>
    <mergeCell ref="E12:E13"/>
    <mergeCell ref="F12:F13"/>
    <mergeCell ref="G12:G13"/>
    <mergeCell ref="H12:H13"/>
    <mergeCell ref="I16:I17"/>
    <mergeCell ref="J16:J17"/>
    <mergeCell ref="C18:C19"/>
    <mergeCell ref="D18:D19"/>
    <mergeCell ref="E18:E19"/>
    <mergeCell ref="F18:F19"/>
    <mergeCell ref="G18:G19"/>
    <mergeCell ref="H18:H19"/>
    <mergeCell ref="I18:I19"/>
    <mergeCell ref="J18:J19"/>
    <mergeCell ref="C16:C17"/>
    <mergeCell ref="D16:D17"/>
    <mergeCell ref="E16:E17"/>
    <mergeCell ref="F16:F17"/>
    <mergeCell ref="G16:G17"/>
    <mergeCell ref="H16:H17"/>
    <mergeCell ref="I20:I21"/>
    <mergeCell ref="J20:J21"/>
    <mergeCell ref="C22:C23"/>
    <mergeCell ref="D22:D23"/>
    <mergeCell ref="E22:E23"/>
    <mergeCell ref="F22:F23"/>
    <mergeCell ref="G22:G23"/>
    <mergeCell ref="H22:H23"/>
    <mergeCell ref="I22:I23"/>
    <mergeCell ref="J22:J23"/>
    <mergeCell ref="C20:C21"/>
    <mergeCell ref="D20:D21"/>
    <mergeCell ref="E20:E21"/>
    <mergeCell ref="F20:F21"/>
    <mergeCell ref="G20:G21"/>
    <mergeCell ref="H20:H21"/>
    <mergeCell ref="I24:I25"/>
    <mergeCell ref="J24:J25"/>
    <mergeCell ref="C26:C27"/>
    <mergeCell ref="D26:D27"/>
    <mergeCell ref="E26:E27"/>
    <mergeCell ref="F26:F27"/>
    <mergeCell ref="G26:G27"/>
    <mergeCell ref="H26:H27"/>
    <mergeCell ref="I26:I27"/>
    <mergeCell ref="J26:J27"/>
    <mergeCell ref="C24:C25"/>
    <mergeCell ref="D24:D25"/>
    <mergeCell ref="E24:E25"/>
    <mergeCell ref="F24:F25"/>
    <mergeCell ref="G24:G25"/>
    <mergeCell ref="H24:H25"/>
    <mergeCell ref="I28:I29"/>
    <mergeCell ref="J28:J29"/>
    <mergeCell ref="C30:C31"/>
    <mergeCell ref="D30:D31"/>
    <mergeCell ref="E30:E31"/>
    <mergeCell ref="F30:F31"/>
    <mergeCell ref="G30:G31"/>
    <mergeCell ref="H30:H31"/>
    <mergeCell ref="I30:I31"/>
    <mergeCell ref="J30:J31"/>
    <mergeCell ref="C28:C29"/>
    <mergeCell ref="D28:D29"/>
    <mergeCell ref="E28:E29"/>
    <mergeCell ref="F28:F29"/>
    <mergeCell ref="G28:G29"/>
    <mergeCell ref="H28:H29"/>
    <mergeCell ref="I32:I33"/>
    <mergeCell ref="J32:J33"/>
    <mergeCell ref="C34:C35"/>
    <mergeCell ref="D34:D35"/>
    <mergeCell ref="E34:E35"/>
    <mergeCell ref="F34:F35"/>
    <mergeCell ref="G34:G35"/>
    <mergeCell ref="H34:H35"/>
    <mergeCell ref="I34:I35"/>
    <mergeCell ref="J34:J35"/>
    <mergeCell ref="C32:C33"/>
    <mergeCell ref="D32:D33"/>
    <mergeCell ref="E32:E33"/>
    <mergeCell ref="F32:F33"/>
    <mergeCell ref="G32:G33"/>
    <mergeCell ref="H32:H33"/>
    <mergeCell ref="I36:I37"/>
    <mergeCell ref="J36:J37"/>
    <mergeCell ref="C38:C39"/>
    <mergeCell ref="D38:D39"/>
    <mergeCell ref="E38:E39"/>
    <mergeCell ref="F38:F39"/>
    <mergeCell ref="G38:G39"/>
    <mergeCell ref="H38:H39"/>
    <mergeCell ref="I38:I39"/>
    <mergeCell ref="J38:J39"/>
    <mergeCell ref="C36:C37"/>
    <mergeCell ref="D36:D37"/>
    <mergeCell ref="E36:E37"/>
    <mergeCell ref="F36:F37"/>
    <mergeCell ref="G36:G37"/>
    <mergeCell ref="H36:H37"/>
    <mergeCell ref="I40:I41"/>
    <mergeCell ref="J40:J41"/>
    <mergeCell ref="C42:C43"/>
    <mergeCell ref="D42:D43"/>
    <mergeCell ref="E42:E43"/>
    <mergeCell ref="F42:F43"/>
    <mergeCell ref="G42:G43"/>
    <mergeCell ref="H42:H43"/>
    <mergeCell ref="I42:I43"/>
    <mergeCell ref="J42:J43"/>
    <mergeCell ref="C40:C41"/>
    <mergeCell ref="D40:D41"/>
    <mergeCell ref="E40:E41"/>
    <mergeCell ref="F40:F41"/>
    <mergeCell ref="G40:G41"/>
    <mergeCell ref="H40:H41"/>
    <mergeCell ref="I44:I45"/>
    <mergeCell ref="J44:J45"/>
    <mergeCell ref="C46:C47"/>
    <mergeCell ref="D46:D47"/>
    <mergeCell ref="E46:E47"/>
    <mergeCell ref="F46:F47"/>
    <mergeCell ref="G46:G47"/>
    <mergeCell ref="H46:H47"/>
    <mergeCell ref="I46:I47"/>
    <mergeCell ref="J46:J47"/>
    <mergeCell ref="C44:C45"/>
    <mergeCell ref="D44:D45"/>
    <mergeCell ref="E44:E45"/>
    <mergeCell ref="F44:F45"/>
    <mergeCell ref="G44:G45"/>
    <mergeCell ref="H44:H45"/>
    <mergeCell ref="I48:I49"/>
    <mergeCell ref="J48:J49"/>
    <mergeCell ref="C50:C51"/>
    <mergeCell ref="D50:D51"/>
    <mergeCell ref="E50:E51"/>
    <mergeCell ref="F50:F51"/>
    <mergeCell ref="G50:G51"/>
    <mergeCell ref="H50:H51"/>
    <mergeCell ref="I50:I51"/>
    <mergeCell ref="J50:J51"/>
    <mergeCell ref="C48:C49"/>
    <mergeCell ref="D48:D49"/>
    <mergeCell ref="E48:E49"/>
    <mergeCell ref="F48:F49"/>
    <mergeCell ref="G48:G49"/>
    <mergeCell ref="H48:H49"/>
    <mergeCell ref="I52:I53"/>
    <mergeCell ref="J52:J53"/>
    <mergeCell ref="C54:C55"/>
    <mergeCell ref="D54:D55"/>
    <mergeCell ref="E54:E55"/>
    <mergeCell ref="F54:F55"/>
    <mergeCell ref="G54:G55"/>
    <mergeCell ref="H54:H55"/>
    <mergeCell ref="I54:I55"/>
    <mergeCell ref="J54:J55"/>
    <mergeCell ref="C52:C53"/>
    <mergeCell ref="D52:D53"/>
    <mergeCell ref="E52:E53"/>
    <mergeCell ref="F52:F53"/>
    <mergeCell ref="G52:G53"/>
    <mergeCell ref="H52:H53"/>
    <mergeCell ref="I56:I57"/>
    <mergeCell ref="J56:J57"/>
    <mergeCell ref="C58:C59"/>
    <mergeCell ref="D58:D59"/>
    <mergeCell ref="E58:E59"/>
    <mergeCell ref="F58:F59"/>
    <mergeCell ref="G58:G59"/>
    <mergeCell ref="H58:H59"/>
    <mergeCell ref="I58:I59"/>
    <mergeCell ref="J58:J59"/>
    <mergeCell ref="C56:C57"/>
    <mergeCell ref="D56:D57"/>
    <mergeCell ref="E56:E57"/>
    <mergeCell ref="F56:F57"/>
    <mergeCell ref="G56:G57"/>
    <mergeCell ref="H56:H57"/>
    <mergeCell ref="I60:I61"/>
    <mergeCell ref="J60:J61"/>
    <mergeCell ref="C62:C63"/>
    <mergeCell ref="D62:D63"/>
    <mergeCell ref="E62:E63"/>
    <mergeCell ref="F62:F63"/>
    <mergeCell ref="G62:G63"/>
    <mergeCell ref="H62:H63"/>
    <mergeCell ref="I62:I63"/>
    <mergeCell ref="J62:J63"/>
    <mergeCell ref="C60:C61"/>
    <mergeCell ref="D60:D61"/>
    <mergeCell ref="E60:E61"/>
    <mergeCell ref="F60:F61"/>
    <mergeCell ref="G60:G61"/>
    <mergeCell ref="H60:H61"/>
    <mergeCell ref="I64:I65"/>
    <mergeCell ref="J64:J65"/>
    <mergeCell ref="C66:C67"/>
    <mergeCell ref="D66:D67"/>
    <mergeCell ref="E66:E67"/>
    <mergeCell ref="F66:F67"/>
    <mergeCell ref="G66:G67"/>
    <mergeCell ref="H66:H67"/>
    <mergeCell ref="I66:I67"/>
    <mergeCell ref="J66:J67"/>
    <mergeCell ref="C64:C65"/>
    <mergeCell ref="D64:D65"/>
    <mergeCell ref="E64:E65"/>
    <mergeCell ref="F64:F65"/>
    <mergeCell ref="G64:G65"/>
    <mergeCell ref="H64:H65"/>
    <mergeCell ref="I68:I69"/>
    <mergeCell ref="J68:J69"/>
    <mergeCell ref="C70:C71"/>
    <mergeCell ref="D70:D71"/>
    <mergeCell ref="E70:E71"/>
    <mergeCell ref="F70:F71"/>
    <mergeCell ref="G70:G71"/>
    <mergeCell ref="H70:H71"/>
    <mergeCell ref="I70:I71"/>
    <mergeCell ref="J70:J71"/>
    <mergeCell ref="C68:C69"/>
    <mergeCell ref="D68:D69"/>
    <mergeCell ref="E68:E69"/>
    <mergeCell ref="F68:F69"/>
    <mergeCell ref="G68:G69"/>
    <mergeCell ref="H68:H69"/>
    <mergeCell ref="I72:I73"/>
    <mergeCell ref="J72:J73"/>
    <mergeCell ref="C74:C75"/>
    <mergeCell ref="D74:D75"/>
    <mergeCell ref="E74:E75"/>
    <mergeCell ref="F74:F75"/>
    <mergeCell ref="G74:G75"/>
    <mergeCell ref="H74:H75"/>
    <mergeCell ref="I74:I75"/>
    <mergeCell ref="J74:J75"/>
    <mergeCell ref="C72:C73"/>
    <mergeCell ref="D72:D73"/>
    <mergeCell ref="E72:E73"/>
    <mergeCell ref="F72:F73"/>
    <mergeCell ref="G72:G73"/>
    <mergeCell ref="H72:H73"/>
    <mergeCell ref="I76:I77"/>
    <mergeCell ref="J76:J77"/>
    <mergeCell ref="C78:C79"/>
    <mergeCell ref="D78:D79"/>
    <mergeCell ref="E78:E79"/>
    <mergeCell ref="F78:F79"/>
    <mergeCell ref="G78:G79"/>
    <mergeCell ref="H78:H79"/>
    <mergeCell ref="I78:I79"/>
    <mergeCell ref="J78:J79"/>
    <mergeCell ref="C76:C77"/>
    <mergeCell ref="D76:D77"/>
    <mergeCell ref="E76:E77"/>
    <mergeCell ref="F76:F77"/>
    <mergeCell ref="G76:G77"/>
    <mergeCell ref="H76:H77"/>
    <mergeCell ref="I80:I81"/>
    <mergeCell ref="J80:J81"/>
    <mergeCell ref="C82:C83"/>
    <mergeCell ref="D82:D83"/>
    <mergeCell ref="E82:E83"/>
    <mergeCell ref="F82:F83"/>
    <mergeCell ref="G82:G83"/>
    <mergeCell ref="H82:H83"/>
    <mergeCell ref="I82:I83"/>
    <mergeCell ref="J82:J83"/>
    <mergeCell ref="C80:C81"/>
    <mergeCell ref="D80:D81"/>
    <mergeCell ref="E80:E81"/>
    <mergeCell ref="F80:F81"/>
    <mergeCell ref="G80:G81"/>
    <mergeCell ref="H80:H81"/>
    <mergeCell ref="I84:I85"/>
    <mergeCell ref="J84:J85"/>
    <mergeCell ref="C86:C87"/>
    <mergeCell ref="D86:D87"/>
    <mergeCell ref="E86:E87"/>
    <mergeCell ref="F86:F87"/>
    <mergeCell ref="G86:G87"/>
    <mergeCell ref="H86:H87"/>
    <mergeCell ref="I86:I87"/>
    <mergeCell ref="J86:J87"/>
    <mergeCell ref="C84:C85"/>
    <mergeCell ref="D84:D85"/>
    <mergeCell ref="E84:E85"/>
    <mergeCell ref="F84:F85"/>
    <mergeCell ref="G84:G85"/>
    <mergeCell ref="H84:H85"/>
    <mergeCell ref="I88:I89"/>
    <mergeCell ref="J88:J89"/>
    <mergeCell ref="C90:C91"/>
    <mergeCell ref="D90:D91"/>
    <mergeCell ref="E90:E91"/>
    <mergeCell ref="F90:F91"/>
    <mergeCell ref="G90:G91"/>
    <mergeCell ref="H90:H91"/>
    <mergeCell ref="I90:I91"/>
    <mergeCell ref="J90:J91"/>
    <mergeCell ref="C88:C89"/>
    <mergeCell ref="D88:D89"/>
    <mergeCell ref="E88:E89"/>
    <mergeCell ref="F88:F89"/>
    <mergeCell ref="G88:G89"/>
    <mergeCell ref="H88:H89"/>
    <mergeCell ref="I92:I93"/>
    <mergeCell ref="J92:J93"/>
    <mergeCell ref="C94:C95"/>
    <mergeCell ref="D94:D95"/>
    <mergeCell ref="E94:E95"/>
    <mergeCell ref="F94:F95"/>
    <mergeCell ref="G94:G95"/>
    <mergeCell ref="H94:H95"/>
    <mergeCell ref="I94:I95"/>
    <mergeCell ref="J94:J95"/>
    <mergeCell ref="C92:C93"/>
    <mergeCell ref="D92:D93"/>
    <mergeCell ref="E92:E93"/>
    <mergeCell ref="F92:F93"/>
    <mergeCell ref="G92:G93"/>
    <mergeCell ref="H92:H93"/>
    <mergeCell ref="I96:I97"/>
    <mergeCell ref="J96:J97"/>
    <mergeCell ref="C98:C99"/>
    <mergeCell ref="D98:D99"/>
    <mergeCell ref="E98:E99"/>
    <mergeCell ref="F98:F99"/>
    <mergeCell ref="G98:G99"/>
    <mergeCell ref="H98:H99"/>
    <mergeCell ref="I98:I99"/>
    <mergeCell ref="J98:J99"/>
    <mergeCell ref="C96:C97"/>
    <mergeCell ref="D96:D97"/>
    <mergeCell ref="E96:E97"/>
    <mergeCell ref="F96:F97"/>
    <mergeCell ref="G96:G97"/>
    <mergeCell ref="H96:H97"/>
    <mergeCell ref="I100:I101"/>
    <mergeCell ref="J100:J101"/>
    <mergeCell ref="C102:C103"/>
    <mergeCell ref="D102:D103"/>
    <mergeCell ref="E102:E103"/>
    <mergeCell ref="F102:F103"/>
    <mergeCell ref="G102:G103"/>
    <mergeCell ref="H102:H103"/>
    <mergeCell ref="I102:I103"/>
    <mergeCell ref="J102:J103"/>
    <mergeCell ref="C100:C101"/>
    <mergeCell ref="D100:D101"/>
    <mergeCell ref="E100:E101"/>
    <mergeCell ref="F100:F101"/>
    <mergeCell ref="G100:G101"/>
    <mergeCell ref="H100:H101"/>
    <mergeCell ref="I104:I105"/>
    <mergeCell ref="J104:J105"/>
    <mergeCell ref="C106:C107"/>
    <mergeCell ref="D106:D107"/>
    <mergeCell ref="E106:E107"/>
    <mergeCell ref="F106:F107"/>
    <mergeCell ref="G106:G107"/>
    <mergeCell ref="H106:H107"/>
    <mergeCell ref="I106:I107"/>
    <mergeCell ref="J106:J107"/>
    <mergeCell ref="C104:C105"/>
    <mergeCell ref="D104:D105"/>
    <mergeCell ref="E104:E105"/>
    <mergeCell ref="F104:F105"/>
    <mergeCell ref="G104:G105"/>
    <mergeCell ref="H104:H105"/>
    <mergeCell ref="I108:I109"/>
    <mergeCell ref="J108:J109"/>
    <mergeCell ref="C110:C111"/>
    <mergeCell ref="D110:D111"/>
    <mergeCell ref="E110:E111"/>
    <mergeCell ref="F110:F111"/>
    <mergeCell ref="G110:G111"/>
    <mergeCell ref="H110:H111"/>
    <mergeCell ref="I110:I111"/>
    <mergeCell ref="J110:J111"/>
    <mergeCell ref="C108:C109"/>
    <mergeCell ref="D108:D109"/>
    <mergeCell ref="E108:E109"/>
    <mergeCell ref="F108:F109"/>
    <mergeCell ref="G108:G109"/>
    <mergeCell ref="H108:H109"/>
    <mergeCell ref="I112:I113"/>
    <mergeCell ref="J112:J113"/>
    <mergeCell ref="C114:C115"/>
    <mergeCell ref="D114:D115"/>
    <mergeCell ref="E114:E115"/>
    <mergeCell ref="F114:F115"/>
    <mergeCell ref="G114:G115"/>
    <mergeCell ref="H114:H115"/>
    <mergeCell ref="I114:I115"/>
    <mergeCell ref="J114:J115"/>
    <mergeCell ref="C112:C113"/>
    <mergeCell ref="D112:D113"/>
    <mergeCell ref="E112:E113"/>
    <mergeCell ref="F112:F113"/>
    <mergeCell ref="G112:G113"/>
    <mergeCell ref="H112:H113"/>
    <mergeCell ref="I116:I117"/>
    <mergeCell ref="J116:J117"/>
    <mergeCell ref="C118:C119"/>
    <mergeCell ref="D118:D119"/>
    <mergeCell ref="E118:E119"/>
    <mergeCell ref="F118:F119"/>
    <mergeCell ref="G118:G119"/>
    <mergeCell ref="H118:H119"/>
    <mergeCell ref="I118:I119"/>
    <mergeCell ref="J118:J119"/>
    <mergeCell ref="C116:C117"/>
    <mergeCell ref="D116:D117"/>
    <mergeCell ref="E116:E117"/>
    <mergeCell ref="F116:F117"/>
    <mergeCell ref="G116:G117"/>
    <mergeCell ref="H116:H117"/>
    <mergeCell ref="I120:I121"/>
    <mergeCell ref="J120:J121"/>
    <mergeCell ref="C122:C123"/>
    <mergeCell ref="D122:D123"/>
    <mergeCell ref="E122:E123"/>
    <mergeCell ref="F122:F123"/>
    <mergeCell ref="G122:G123"/>
    <mergeCell ref="H122:H123"/>
    <mergeCell ref="I122:I123"/>
    <mergeCell ref="J122:J123"/>
    <mergeCell ref="C120:C121"/>
    <mergeCell ref="D120:D121"/>
    <mergeCell ref="E120:E121"/>
    <mergeCell ref="F120:F121"/>
    <mergeCell ref="G120:G121"/>
    <mergeCell ref="H120:H121"/>
    <mergeCell ref="I124:I125"/>
    <mergeCell ref="J124:J125"/>
    <mergeCell ref="C126:C127"/>
    <mergeCell ref="D126:D127"/>
    <mergeCell ref="E126:E127"/>
    <mergeCell ref="F126:F127"/>
    <mergeCell ref="G126:G127"/>
    <mergeCell ref="H126:H127"/>
    <mergeCell ref="I126:I127"/>
    <mergeCell ref="J126:J127"/>
    <mergeCell ref="C124:C125"/>
    <mergeCell ref="D124:D125"/>
    <mergeCell ref="E124:E125"/>
    <mergeCell ref="F124:F125"/>
    <mergeCell ref="G124:G125"/>
    <mergeCell ref="H124:H125"/>
    <mergeCell ref="I128:I129"/>
    <mergeCell ref="J128:J129"/>
    <mergeCell ref="C130:C131"/>
    <mergeCell ref="D130:D131"/>
    <mergeCell ref="E130:E131"/>
    <mergeCell ref="F130:F131"/>
    <mergeCell ref="G130:G131"/>
    <mergeCell ref="H130:H131"/>
    <mergeCell ref="I130:I131"/>
    <mergeCell ref="J130:J131"/>
    <mergeCell ref="C128:C129"/>
    <mergeCell ref="D128:D129"/>
    <mergeCell ref="E128:E129"/>
    <mergeCell ref="F128:F129"/>
    <mergeCell ref="G128:G129"/>
    <mergeCell ref="H128:H129"/>
    <mergeCell ref="I132:I133"/>
    <mergeCell ref="J132:J133"/>
    <mergeCell ref="C134:C135"/>
    <mergeCell ref="D134:D135"/>
    <mergeCell ref="E134:E135"/>
    <mergeCell ref="F134:F135"/>
    <mergeCell ref="G134:G135"/>
    <mergeCell ref="H134:H135"/>
    <mergeCell ref="I134:I135"/>
    <mergeCell ref="J134:J135"/>
    <mergeCell ref="C132:C133"/>
    <mergeCell ref="D132:D133"/>
    <mergeCell ref="E132:E133"/>
    <mergeCell ref="F132:F133"/>
    <mergeCell ref="G132:G133"/>
    <mergeCell ref="H132:H133"/>
    <mergeCell ref="I136:I137"/>
    <mergeCell ref="J136:J137"/>
    <mergeCell ref="C138:C139"/>
    <mergeCell ref="D138:D139"/>
    <mergeCell ref="E138:E139"/>
    <mergeCell ref="F138:F139"/>
    <mergeCell ref="G138:G139"/>
    <mergeCell ref="H138:H139"/>
    <mergeCell ref="I138:I139"/>
    <mergeCell ref="J138:J139"/>
    <mergeCell ref="C136:C137"/>
    <mergeCell ref="D136:D137"/>
    <mergeCell ref="E136:E137"/>
    <mergeCell ref="F136:F137"/>
    <mergeCell ref="G136:G137"/>
    <mergeCell ref="H136:H137"/>
    <mergeCell ref="I140:I141"/>
    <mergeCell ref="J140:J141"/>
    <mergeCell ref="C142:C143"/>
    <mergeCell ref="D142:D143"/>
    <mergeCell ref="E142:E143"/>
    <mergeCell ref="F142:F143"/>
    <mergeCell ref="G142:G143"/>
    <mergeCell ref="H142:H143"/>
    <mergeCell ref="I142:I143"/>
    <mergeCell ref="J142:J143"/>
    <mergeCell ref="C140:C141"/>
    <mergeCell ref="D140:D141"/>
    <mergeCell ref="E140:E141"/>
    <mergeCell ref="F140:F141"/>
    <mergeCell ref="G140:G141"/>
    <mergeCell ref="H140:H141"/>
    <mergeCell ref="I148:I149"/>
    <mergeCell ref="J148:J149"/>
    <mergeCell ref="C148:C149"/>
    <mergeCell ref="D148:D149"/>
    <mergeCell ref="E148:E149"/>
    <mergeCell ref="F148:F149"/>
    <mergeCell ref="G148:G149"/>
    <mergeCell ref="H148:H149"/>
    <mergeCell ref="I144:I145"/>
    <mergeCell ref="J144:J145"/>
    <mergeCell ref="C146:C147"/>
    <mergeCell ref="D146:D147"/>
    <mergeCell ref="E146:E147"/>
    <mergeCell ref="F146:F147"/>
    <mergeCell ref="G146:G147"/>
    <mergeCell ref="H146:H147"/>
    <mergeCell ref="I146:I147"/>
    <mergeCell ref="J146:J147"/>
    <mergeCell ref="C144:C145"/>
    <mergeCell ref="D144:D145"/>
    <mergeCell ref="E144:E145"/>
    <mergeCell ref="F144:F145"/>
    <mergeCell ref="G144:G145"/>
    <mergeCell ref="H144:H145"/>
  </mergeCells>
  <hyperlinks>
    <hyperlink ref="B152" r:id="rId1" display="https://www.cmegroup.com/trading/energy/cme-opec-watch-tool.html" xr:uid="{2AFC2527-A8CC-6845-9A16-45B1016A042B}"/>
    <hyperlink ref="B153" r:id="rId2" display="https://www.cmegroup.com/trading/energy/cme-opec-watch-tool.html" xr:uid="{96DAB2A1-5C87-9D4F-B014-DF0F1D8F4509}"/>
    <hyperlink ref="B154" r:id="rId3" display="https://www.cmegroup.com/tools-information/calendars/expiration-calendar.html" xr:uid="{EFE2CD24-A197-7C4E-8375-9FEE8AACCCA4}"/>
    <hyperlink ref="B155" r:id="rId4" display="https://www.cmegroup.com/tools-information/calendars/expiration-calendar.html" xr:uid="{62DF8CB5-06C6-FF44-811C-F49047E4AE59}"/>
    <hyperlink ref="B156" r:id="rId5" display="https://www.cmegroup.com/tools-information/quikstrike/option-settlement.html?pid=30" xr:uid="{169CB919-576C-3A4A-9142-99FBE95F7C9D}"/>
    <hyperlink ref="B157" r:id="rId6" display="https://www.cmegroup.com/tools-information/quikstrike/option-settlement.html?pid=30" xr:uid="{002610B8-3AF6-644B-92A7-CA46D603807C}"/>
    <hyperlink ref="B158" r:id="rId7" display="https://www.cmegroup.com/tools-information/quikstrike/options-open-interest-profile.html?pid=30" xr:uid="{C18AE34D-7374-B847-BED7-55A97516FE32}"/>
    <hyperlink ref="B159" r:id="rId8" display="https://www.cmegroup.com/tools-information/quikstrike/options-open-interest-profile.html?pid=30" xr:uid="{1941DA80-4E26-8E41-9BD4-4DE424CFC132}"/>
    <hyperlink ref="B167" r:id="rId9" display="https://www.cmegroup.com/markets/energy/weekly-energy-options.html?itm_source=cmegroup&amp;itm_medium=energy_promo_banner&amp;itm_campaign=mon_weds_weekly_options" xr:uid="{36928415-5DBE-6A40-85B1-765E36A2B32D}"/>
    <hyperlink ref="B169" r:id="rId10" display="https://www.cmegroup.com/company/about-us.html" xr:uid="{81F7C481-3F78-2048-9475-AA56F8B950B5}"/>
    <hyperlink ref="B170" r:id="rId11" display="https://www.cmegroup.com/company/corporate-citizenship.html" xr:uid="{425DAC25-A401-5C41-9B33-55DE7EB0E297}"/>
    <hyperlink ref="B171" r:id="rId12" display="https://www.cmegroup.com/media-room.html" xr:uid="{6E7FB69D-FD26-5746-8B3C-8FB1DBA95181}"/>
    <hyperlink ref="B172" r:id="rId13" display="https://www.cmegroup.com/careers.html" xr:uid="{0F431437-0FD0-3644-B1AB-8E0D7580A392}"/>
    <hyperlink ref="B173" r:id="rId14" display="http://investor.cmegroup.com/" xr:uid="{A1D5BF50-029D-FF44-8958-C8C174F236A8}"/>
    <hyperlink ref="B174" r:id="rId15" display="https://www.cmegroup.com/subscription-center.html" xr:uid="{E42FC90C-99A5-EF4D-AED6-5F3B26396CC1}"/>
    <hyperlink ref="B175" r:id="rId16" display="https://www.cmegroup.com/tools-information/contacts-list.html" xr:uid="{F66458A2-CEA8-A84C-A82A-CBF300848B53}"/>
    <hyperlink ref="B177" r:id="rId17" display="https://www.cmegroup.com/company/history/global-offices.html" xr:uid="{E1FC5EE9-F445-8249-81CA-DD1C6DE150C7}"/>
    <hyperlink ref="B178" r:id="rId18" display="https://www.cmegroup.com/international" xr:uid="{572E9F3B-816C-1946-A1FF-816E9BB2022E}"/>
    <hyperlink ref="B179" r:id="rId19" display="https://www.cmegroup.com/international/latin-america.html" xr:uid="{709E247B-D3B2-254C-96E7-242F7938A00D}"/>
    <hyperlink ref="B180" r:id="rId20" display="https://www.cmegroup.com/international/emea.html" xr:uid="{0041B501-F8E8-8145-AF18-631032F7F5CB}"/>
    <hyperlink ref="B181" r:id="rId21" display="https://www.cmegroup.com/international/asia-pacific.html" xr:uid="{8B174852-D5C2-914D-ADEA-21CFA86E21AC}"/>
    <hyperlink ref="B183" r:id="rId22" display="https://www.cmegroup.com/market-regulation.html" xr:uid="{E647EF36-BDD5-9A41-81A1-1CE33100AB7A}"/>
    <hyperlink ref="B184" r:id="rId23" display="https://www.cmegroup.com/market-regulation/rulebook.html" xr:uid="{90974A94-4E43-CD4A-BE61-5DD5276895A7}"/>
    <hyperlink ref="B185" r:id="rId24" display="https://www.cmegroup.com/rulebook/rulebook-harmonization.html" xr:uid="{785212AD-6248-7A41-96D9-E87BB5878355}"/>
    <hyperlink ref="B186" r:id="rId25" display="https://www.cmegroup.com/market-regulation/rule-filings.html" xr:uid="{1AB6915E-1CE3-F140-BE38-C6CAC8E2C3E4}"/>
    <hyperlink ref="B187" r:id="rId26" display="https://www.cmegroup.com/market-regulation/outreach.html" xr:uid="{3A20FE2B-87CF-F343-B2EA-5E18DDD86D8E}"/>
    <hyperlink ref="B189" r:id="rId27" display="https://www.cmegroup.com/company/cme.html" xr:uid="{9EFFE9AF-2B43-2E47-B8D2-4B611DB301D9}"/>
    <hyperlink ref="B190" r:id="rId28" display="https://www.cmegroup.com/company/cbot.html" xr:uid="{6946BCD6-474D-CD42-B5EA-2C996D54DC4C}"/>
    <hyperlink ref="B191" r:id="rId29" display="https://www.cmegroup.com/company/nymex.html" xr:uid="{A1390C9D-6CDA-1A4C-BD43-DDF345EF3355}"/>
    <hyperlink ref="B192" r:id="rId30" display="https://www.cmegroup.com/company/comex.html" xr:uid="{CFA77478-735A-2D43-A447-6754388F3CC9}"/>
  </hyperlinks>
  <pageMargins left="0.7" right="0.7" top="0.75" bottom="0.75" header="0.3" footer="0.3"/>
  <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AB1D-6051-C24F-9774-D77894146CDF}">
  <dimension ref="A2:Q170"/>
  <sheetViews>
    <sheetView workbookViewId="0">
      <selection activeCell="A2" sqref="A2"/>
    </sheetView>
  </sheetViews>
  <sheetFormatPr baseColWidth="10" defaultRowHeight="16"/>
  <sheetData>
    <row r="2" spans="1:17">
      <c r="A2" s="7" t="s">
        <v>186</v>
      </c>
    </row>
    <row r="4" spans="1:17">
      <c r="B4" s="6" t="s">
        <v>305</v>
      </c>
    </row>
    <row r="5" spans="1:17">
      <c r="B5" s="6" t="s">
        <v>306</v>
      </c>
    </row>
    <row r="6" spans="1:17">
      <c r="B6" s="29" t="s">
        <v>0</v>
      </c>
      <c r="C6" s="1" t="s">
        <v>1</v>
      </c>
      <c r="D6" s="1" t="s">
        <v>2</v>
      </c>
      <c r="E6" s="1" t="s">
        <v>3</v>
      </c>
      <c r="F6" s="1" t="s">
        <v>4</v>
      </c>
      <c r="G6" s="1" t="s">
        <v>6</v>
      </c>
      <c r="H6" s="1" t="s">
        <v>7</v>
      </c>
      <c r="I6" s="1" t="s">
        <v>8</v>
      </c>
      <c r="J6" s="1" t="s">
        <v>9</v>
      </c>
      <c r="K6" s="1" t="s">
        <v>10</v>
      </c>
    </row>
    <row r="7" spans="1:17">
      <c r="B7" s="29"/>
      <c r="C7" s="1"/>
      <c r="D7" s="1"/>
      <c r="E7" s="1"/>
      <c r="F7" s="1" t="s">
        <v>5</v>
      </c>
      <c r="G7" s="1"/>
      <c r="H7" s="1"/>
      <c r="I7" s="1"/>
      <c r="J7" s="1"/>
      <c r="K7" s="1"/>
    </row>
    <row r="8" spans="1:17">
      <c r="B8" s="29" t="s">
        <v>0</v>
      </c>
      <c r="C8" s="1" t="s">
        <v>1</v>
      </c>
      <c r="D8" s="1" t="s">
        <v>2</v>
      </c>
      <c r="E8" s="1" t="s">
        <v>3</v>
      </c>
      <c r="F8" s="1" t="s">
        <v>4</v>
      </c>
      <c r="G8" s="1" t="s">
        <v>6</v>
      </c>
      <c r="H8" s="1" t="s">
        <v>7</v>
      </c>
      <c r="I8" s="1" t="s">
        <v>8</v>
      </c>
      <c r="J8" s="1" t="s">
        <v>9</v>
      </c>
      <c r="K8" s="1" t="s">
        <v>10</v>
      </c>
    </row>
    <row r="9" spans="1:17">
      <c r="B9" s="29"/>
      <c r="C9" s="1"/>
      <c r="D9" s="1"/>
      <c r="E9" s="1"/>
      <c r="F9" s="1" t="s">
        <v>5</v>
      </c>
      <c r="G9" s="1"/>
      <c r="H9" s="1"/>
      <c r="I9" s="1"/>
      <c r="J9" s="1"/>
      <c r="K9" s="1"/>
      <c r="O9">
        <v>6</v>
      </c>
      <c r="P9" s="22" t="str" cm="1">
        <f t="array" aca="1" ref="P9" ca="1">INDIRECT("C"&amp;O9)</f>
        <v>CHART</v>
      </c>
    </row>
    <row r="10" spans="1:17">
      <c r="B10" s="2">
        <v>46023</v>
      </c>
      <c r="C10" s="5"/>
      <c r="D10" s="3" t="s">
        <v>12</v>
      </c>
      <c r="E10" s="3" t="s">
        <v>12</v>
      </c>
      <c r="F10" s="3">
        <v>80.66</v>
      </c>
      <c r="G10" s="3" t="s">
        <v>12</v>
      </c>
      <c r="H10" s="3" t="s">
        <v>12</v>
      </c>
      <c r="I10" s="3" t="s">
        <v>12</v>
      </c>
      <c r="J10" s="3">
        <v>0</v>
      </c>
      <c r="K10" s="3" t="s">
        <v>307</v>
      </c>
      <c r="O10">
        <f>O9+2</f>
        <v>8</v>
      </c>
      <c r="P10" s="22"/>
      <c r="Q10" t="s">
        <v>357</v>
      </c>
    </row>
    <row r="11" spans="1:17">
      <c r="B11" s="3" t="s">
        <v>11</v>
      </c>
      <c r="C11" s="5"/>
      <c r="D11" s="3"/>
      <c r="E11" s="3"/>
      <c r="F11" s="3"/>
      <c r="G11" s="3"/>
      <c r="H11" s="3"/>
      <c r="I11" s="3"/>
      <c r="J11" s="3"/>
      <c r="K11" s="4">
        <v>46001</v>
      </c>
      <c r="O11">
        <f t="shared" ref="O11:O74" si="0">O10+2</f>
        <v>10</v>
      </c>
      <c r="P11" s="22" cm="1">
        <f t="array" aca="1" ref="P11" ca="1">INDIRECT("B"&amp;O11)</f>
        <v>46023</v>
      </c>
      <c r="Q11" s="26" cm="1">
        <f t="array" aca="1" ref="Q11" ca="1">INDIRECT("F"&amp;O11)</f>
        <v>80.66</v>
      </c>
    </row>
    <row r="12" spans="1:17">
      <c r="B12" s="2">
        <v>46054</v>
      </c>
      <c r="C12" s="5"/>
      <c r="D12" s="3" t="s">
        <v>12</v>
      </c>
      <c r="E12" s="3" t="s">
        <v>12</v>
      </c>
      <c r="F12" s="3">
        <v>78.38</v>
      </c>
      <c r="G12" s="3" t="s">
        <v>12</v>
      </c>
      <c r="H12" s="3" t="s">
        <v>12</v>
      </c>
      <c r="I12" s="3" t="s">
        <v>12</v>
      </c>
      <c r="J12" s="3">
        <v>0</v>
      </c>
      <c r="K12" s="3" t="s">
        <v>308</v>
      </c>
      <c r="O12">
        <f t="shared" si="0"/>
        <v>12</v>
      </c>
      <c r="P12" s="22" cm="1">
        <f t="array" aca="1" ref="P12" ca="1">INDIRECT("B"&amp;O12)</f>
        <v>46054</v>
      </c>
      <c r="Q12" s="26" cm="1">
        <f t="array" aca="1" ref="Q12" ca="1">INDIRECT("F"&amp;O12)</f>
        <v>78.38</v>
      </c>
    </row>
    <row r="13" spans="1:17">
      <c r="B13" s="3" t="s">
        <v>14</v>
      </c>
      <c r="C13" s="5"/>
      <c r="D13" s="3"/>
      <c r="E13" s="3"/>
      <c r="F13" s="3"/>
      <c r="G13" s="3"/>
      <c r="H13" s="3"/>
      <c r="I13" s="3"/>
      <c r="J13" s="3"/>
      <c r="K13" s="4">
        <v>46001</v>
      </c>
      <c r="O13">
        <f t="shared" si="0"/>
        <v>14</v>
      </c>
      <c r="P13" s="22" cm="1">
        <f t="array" aca="1" ref="P13" ca="1">INDIRECT("B"&amp;O13)</f>
        <v>46082</v>
      </c>
      <c r="Q13" s="26" cm="1">
        <f t="array" aca="1" ref="Q13" ca="1">INDIRECT("F"&amp;O13)</f>
        <v>40.85</v>
      </c>
    </row>
    <row r="14" spans="1:17">
      <c r="B14" s="2">
        <v>46082</v>
      </c>
      <c r="C14" s="5"/>
      <c r="D14" s="3" t="s">
        <v>12</v>
      </c>
      <c r="E14" s="3" t="s">
        <v>12</v>
      </c>
      <c r="F14" s="3">
        <v>40.85</v>
      </c>
      <c r="G14" s="3" t="s">
        <v>12</v>
      </c>
      <c r="H14" s="3" t="s">
        <v>12</v>
      </c>
      <c r="I14" s="3" t="s">
        <v>12</v>
      </c>
      <c r="J14" s="3">
        <v>0</v>
      </c>
      <c r="K14" s="3" t="s">
        <v>309</v>
      </c>
      <c r="O14">
        <f t="shared" si="0"/>
        <v>16</v>
      </c>
      <c r="P14" s="22" cm="1">
        <f t="array" aca="1" ref="P14" ca="1">INDIRECT("B"&amp;O14)</f>
        <v>46113</v>
      </c>
      <c r="Q14" s="26" cm="1">
        <f t="array" aca="1" ref="Q14" ca="1">INDIRECT("F"&amp;O14)</f>
        <v>32.35</v>
      </c>
    </row>
    <row r="15" spans="1:17">
      <c r="B15" s="3" t="s">
        <v>16</v>
      </c>
      <c r="C15" s="5"/>
      <c r="D15" s="3"/>
      <c r="E15" s="3"/>
      <c r="F15" s="3"/>
      <c r="G15" s="3"/>
      <c r="H15" s="3"/>
      <c r="I15" s="3"/>
      <c r="J15" s="3"/>
      <c r="K15" s="4">
        <v>46001</v>
      </c>
      <c r="O15">
        <f t="shared" si="0"/>
        <v>18</v>
      </c>
      <c r="P15" s="22" cm="1">
        <f t="array" aca="1" ref="P15" ca="1">INDIRECT("B"&amp;O15)</f>
        <v>46143</v>
      </c>
      <c r="Q15" s="26" cm="1">
        <f t="array" aca="1" ref="Q15" ca="1">INDIRECT("F"&amp;O15)</f>
        <v>34.15</v>
      </c>
    </row>
    <row r="16" spans="1:17">
      <c r="B16" s="2">
        <v>46113</v>
      </c>
      <c r="C16" s="5"/>
      <c r="D16" s="3" t="s">
        <v>12</v>
      </c>
      <c r="E16" s="3" t="s">
        <v>12</v>
      </c>
      <c r="F16" s="3">
        <v>32.35</v>
      </c>
      <c r="G16" s="3" t="s">
        <v>12</v>
      </c>
      <c r="H16" s="3" t="s">
        <v>12</v>
      </c>
      <c r="I16" s="3" t="s">
        <v>12</v>
      </c>
      <c r="J16" s="3">
        <v>0</v>
      </c>
      <c r="K16" s="3" t="s">
        <v>310</v>
      </c>
      <c r="O16">
        <f t="shared" si="0"/>
        <v>20</v>
      </c>
      <c r="P16" s="22" cm="1">
        <f t="array" aca="1" ref="P16" ca="1">INDIRECT("B"&amp;O16)</f>
        <v>46174</v>
      </c>
      <c r="Q16" s="26" cm="1">
        <f t="array" aca="1" ref="Q16" ca="1">INDIRECT("F"&amp;O16)</f>
        <v>44.56</v>
      </c>
    </row>
    <row r="17" spans="2:17">
      <c r="B17" s="3" t="s">
        <v>18</v>
      </c>
      <c r="C17" s="5"/>
      <c r="D17" s="3"/>
      <c r="E17" s="3"/>
      <c r="F17" s="3"/>
      <c r="G17" s="3"/>
      <c r="H17" s="3"/>
      <c r="I17" s="3"/>
      <c r="J17" s="3"/>
      <c r="K17" s="4">
        <v>46001</v>
      </c>
      <c r="O17">
        <f t="shared" si="0"/>
        <v>22</v>
      </c>
      <c r="P17" s="22" cm="1">
        <f t="array" aca="1" ref="P17" ca="1">INDIRECT("B"&amp;O17)</f>
        <v>46204</v>
      </c>
      <c r="Q17" s="26" cm="1">
        <f t="array" aca="1" ref="Q17" ca="1">INDIRECT("F"&amp;O17)</f>
        <v>74.78</v>
      </c>
    </row>
    <row r="18" spans="2:17">
      <c r="B18" s="2">
        <v>46143</v>
      </c>
      <c r="C18" s="5"/>
      <c r="D18" s="3" t="s">
        <v>12</v>
      </c>
      <c r="E18" s="3" t="s">
        <v>12</v>
      </c>
      <c r="F18" s="3">
        <v>34.15</v>
      </c>
      <c r="G18" s="3" t="s">
        <v>12</v>
      </c>
      <c r="H18" s="3" t="s">
        <v>12</v>
      </c>
      <c r="I18" s="3" t="s">
        <v>12</v>
      </c>
      <c r="J18" s="3">
        <v>0</v>
      </c>
      <c r="K18" s="3" t="s">
        <v>311</v>
      </c>
      <c r="O18">
        <f t="shared" si="0"/>
        <v>24</v>
      </c>
      <c r="P18" s="22" cm="1">
        <f t="array" aca="1" ref="P18" ca="1">INDIRECT("B"&amp;O18)</f>
        <v>46235</v>
      </c>
      <c r="Q18" s="26" cm="1">
        <f t="array" aca="1" ref="Q18" ca="1">INDIRECT("F"&amp;O18)</f>
        <v>94.89</v>
      </c>
    </row>
    <row r="19" spans="2:17">
      <c r="B19" s="3" t="s">
        <v>20</v>
      </c>
      <c r="C19" s="5"/>
      <c r="D19" s="3"/>
      <c r="E19" s="3"/>
      <c r="F19" s="3"/>
      <c r="G19" s="3"/>
      <c r="H19" s="3"/>
      <c r="I19" s="3"/>
      <c r="J19" s="3"/>
      <c r="K19" s="4">
        <v>46001</v>
      </c>
      <c r="O19">
        <f t="shared" si="0"/>
        <v>26</v>
      </c>
      <c r="P19" s="22" cm="1">
        <f t="array" aca="1" ref="P19" ca="1">INDIRECT("B"&amp;O19)</f>
        <v>46266</v>
      </c>
      <c r="Q19" s="26" cm="1">
        <f t="array" aca="1" ref="Q19" ca="1">INDIRECT("F"&amp;O19)</f>
        <v>47.31</v>
      </c>
    </row>
    <row r="20" spans="2:17">
      <c r="B20" s="2">
        <v>46174</v>
      </c>
      <c r="C20" s="5"/>
      <c r="D20" s="3" t="s">
        <v>12</v>
      </c>
      <c r="E20" s="3" t="s">
        <v>12</v>
      </c>
      <c r="F20" s="3">
        <v>44.56</v>
      </c>
      <c r="G20" s="3" t="s">
        <v>12</v>
      </c>
      <c r="H20" s="3" t="s">
        <v>12</v>
      </c>
      <c r="I20" s="3" t="s">
        <v>12</v>
      </c>
      <c r="J20" s="3">
        <v>0</v>
      </c>
      <c r="K20" s="3" t="s">
        <v>312</v>
      </c>
      <c r="O20">
        <f t="shared" si="0"/>
        <v>28</v>
      </c>
      <c r="P20" s="22" cm="1">
        <f t="array" aca="1" ref="P20" ca="1">INDIRECT("B"&amp;O20)</f>
        <v>46296</v>
      </c>
      <c r="Q20" s="26" cm="1">
        <f t="array" aca="1" ref="Q20" ca="1">INDIRECT("F"&amp;O20)</f>
        <v>39.369999999999997</v>
      </c>
    </row>
    <row r="21" spans="2:17">
      <c r="B21" s="3" t="s">
        <v>22</v>
      </c>
      <c r="C21" s="5"/>
      <c r="D21" s="3"/>
      <c r="E21" s="3"/>
      <c r="F21" s="3"/>
      <c r="G21" s="3"/>
      <c r="H21" s="3"/>
      <c r="I21" s="3"/>
      <c r="J21" s="3"/>
      <c r="K21" s="4">
        <v>46001</v>
      </c>
      <c r="O21">
        <f t="shared" si="0"/>
        <v>30</v>
      </c>
      <c r="P21" s="22" cm="1">
        <f t="array" aca="1" ref="P21" ca="1">INDIRECT("B"&amp;O21)</f>
        <v>46327</v>
      </c>
      <c r="Q21" s="26" cm="1">
        <f t="array" aca="1" ref="Q21" ca="1">INDIRECT("F"&amp;O21)</f>
        <v>36.520000000000003</v>
      </c>
    </row>
    <row r="22" spans="2:17">
      <c r="B22" s="2">
        <v>46204</v>
      </c>
      <c r="C22" s="5"/>
      <c r="D22" s="3" t="s">
        <v>12</v>
      </c>
      <c r="E22" s="3" t="s">
        <v>12</v>
      </c>
      <c r="F22" s="3">
        <v>74.78</v>
      </c>
      <c r="G22" s="3" t="s">
        <v>12</v>
      </c>
      <c r="H22" s="3" t="s">
        <v>12</v>
      </c>
      <c r="I22" s="3" t="s">
        <v>12</v>
      </c>
      <c r="J22" s="3">
        <v>0</v>
      </c>
      <c r="K22" s="3" t="s">
        <v>313</v>
      </c>
      <c r="O22">
        <f t="shared" si="0"/>
        <v>32</v>
      </c>
      <c r="P22" s="22" cm="1">
        <f t="array" aca="1" ref="P22" ca="1">INDIRECT("B"&amp;O22)</f>
        <v>46357</v>
      </c>
      <c r="Q22" s="26" cm="1">
        <f t="array" aca="1" ref="Q22" ca="1">INDIRECT("F"&amp;O22)</f>
        <v>42.62</v>
      </c>
    </row>
    <row r="23" spans="2:17">
      <c r="B23" s="3" t="s">
        <v>23</v>
      </c>
      <c r="C23" s="5"/>
      <c r="D23" s="3"/>
      <c r="E23" s="3"/>
      <c r="F23" s="3"/>
      <c r="G23" s="3"/>
      <c r="H23" s="3"/>
      <c r="I23" s="3"/>
      <c r="J23" s="3"/>
      <c r="K23" s="4">
        <v>46001</v>
      </c>
      <c r="O23">
        <f t="shared" si="0"/>
        <v>34</v>
      </c>
      <c r="P23" s="22" cm="1">
        <f t="array" aca="1" ref="P23" ca="1">INDIRECT("B"&amp;O23)</f>
        <v>46388</v>
      </c>
      <c r="Q23" s="26" cm="1">
        <f t="array" aca="1" ref="Q23" ca="1">INDIRECT("F"&amp;O23)</f>
        <v>76.95</v>
      </c>
    </row>
    <row r="24" spans="2:17">
      <c r="B24" s="2">
        <v>46235</v>
      </c>
      <c r="C24" s="5"/>
      <c r="D24" s="3" t="s">
        <v>12</v>
      </c>
      <c r="E24" s="3" t="s">
        <v>12</v>
      </c>
      <c r="F24" s="3">
        <v>94.89</v>
      </c>
      <c r="G24" s="3" t="s">
        <v>12</v>
      </c>
      <c r="H24" s="3" t="s">
        <v>12</v>
      </c>
      <c r="I24" s="3" t="s">
        <v>12</v>
      </c>
      <c r="J24" s="3">
        <v>0</v>
      </c>
      <c r="K24" s="3" t="s">
        <v>307</v>
      </c>
      <c r="O24">
        <f t="shared" si="0"/>
        <v>36</v>
      </c>
      <c r="P24" s="22" cm="1">
        <f t="array" aca="1" ref="P24" ca="1">INDIRECT("B"&amp;O24)</f>
        <v>46419</v>
      </c>
      <c r="Q24" s="26" cm="1">
        <f t="array" aca="1" ref="Q24" ca="1">INDIRECT("F"&amp;O24)</f>
        <v>76.8</v>
      </c>
    </row>
    <row r="25" spans="2:17">
      <c r="B25" s="3" t="s">
        <v>25</v>
      </c>
      <c r="C25" s="5"/>
      <c r="D25" s="3"/>
      <c r="E25" s="3"/>
      <c r="F25" s="3"/>
      <c r="G25" s="3"/>
      <c r="H25" s="3"/>
      <c r="I25" s="3"/>
      <c r="J25" s="3"/>
      <c r="K25" s="4">
        <v>46001</v>
      </c>
      <c r="O25">
        <f t="shared" si="0"/>
        <v>38</v>
      </c>
      <c r="P25" s="22" cm="1">
        <f t="array" aca="1" ref="P25" ca="1">INDIRECT("B"&amp;O25)</f>
        <v>46447</v>
      </c>
      <c r="Q25" s="26" cm="1">
        <f t="array" aca="1" ref="Q25" ca="1">INDIRECT("F"&amp;O25)</f>
        <v>38.36</v>
      </c>
    </row>
    <row r="26" spans="2:17">
      <c r="B26" s="2">
        <v>46266</v>
      </c>
      <c r="C26" s="5"/>
      <c r="D26" s="3" t="s">
        <v>12</v>
      </c>
      <c r="E26" s="3" t="s">
        <v>12</v>
      </c>
      <c r="F26" s="3">
        <v>47.31</v>
      </c>
      <c r="G26" s="3" t="s">
        <v>12</v>
      </c>
      <c r="H26" s="3" t="s">
        <v>12</v>
      </c>
      <c r="I26" s="3" t="s">
        <v>12</v>
      </c>
      <c r="J26" s="3">
        <v>0</v>
      </c>
      <c r="K26" s="3" t="s">
        <v>314</v>
      </c>
      <c r="O26">
        <f t="shared" si="0"/>
        <v>40</v>
      </c>
      <c r="P26" s="22" cm="1">
        <f t="array" aca="1" ref="P26" ca="1">INDIRECT("B"&amp;O26)</f>
        <v>46478</v>
      </c>
      <c r="Q26" s="26" cm="1">
        <f t="array" aca="1" ref="Q26" ca="1">INDIRECT("F"&amp;O26)</f>
        <v>32.43</v>
      </c>
    </row>
    <row r="27" spans="2:17">
      <c r="B27" s="3" t="s">
        <v>26</v>
      </c>
      <c r="C27" s="5"/>
      <c r="D27" s="3"/>
      <c r="E27" s="3"/>
      <c r="F27" s="3"/>
      <c r="G27" s="3"/>
      <c r="H27" s="3"/>
      <c r="I27" s="3"/>
      <c r="J27" s="3"/>
      <c r="K27" s="4">
        <v>46001</v>
      </c>
      <c r="O27">
        <f t="shared" si="0"/>
        <v>42</v>
      </c>
      <c r="P27" s="22" cm="1">
        <f t="array" aca="1" ref="P27" ca="1">INDIRECT("B"&amp;O27)</f>
        <v>46508</v>
      </c>
      <c r="Q27" s="26" cm="1">
        <f t="array" aca="1" ref="Q27" ca="1">INDIRECT("F"&amp;O27)</f>
        <v>34.200000000000003</v>
      </c>
    </row>
    <row r="28" spans="2:17">
      <c r="B28" s="2">
        <v>46296</v>
      </c>
      <c r="C28" s="5"/>
      <c r="D28" s="3" t="s">
        <v>12</v>
      </c>
      <c r="E28" s="3" t="s">
        <v>12</v>
      </c>
      <c r="F28" s="3">
        <v>39.369999999999997</v>
      </c>
      <c r="G28" s="3" t="s">
        <v>12</v>
      </c>
      <c r="H28" s="3" t="s">
        <v>12</v>
      </c>
      <c r="I28" s="3" t="s">
        <v>12</v>
      </c>
      <c r="J28" s="3">
        <v>0</v>
      </c>
      <c r="K28" s="3" t="s">
        <v>315</v>
      </c>
      <c r="O28">
        <f t="shared" si="0"/>
        <v>44</v>
      </c>
      <c r="P28" s="22" cm="1">
        <f t="array" aca="1" ref="P28" ca="1">INDIRECT("B"&amp;O28)</f>
        <v>46539</v>
      </c>
      <c r="Q28" s="26" cm="1">
        <f t="array" aca="1" ref="Q28" ca="1">INDIRECT("F"&amp;O28)</f>
        <v>42.41</v>
      </c>
    </row>
    <row r="29" spans="2:17">
      <c r="B29" s="3" t="s">
        <v>27</v>
      </c>
      <c r="C29" s="5"/>
      <c r="D29" s="3"/>
      <c r="E29" s="3"/>
      <c r="F29" s="3"/>
      <c r="G29" s="3"/>
      <c r="H29" s="3"/>
      <c r="I29" s="3"/>
      <c r="J29" s="3"/>
      <c r="K29" s="4">
        <v>46001</v>
      </c>
      <c r="O29">
        <f t="shared" si="0"/>
        <v>46</v>
      </c>
      <c r="P29" s="22" cm="1">
        <f t="array" aca="1" ref="P29" ca="1">INDIRECT("B"&amp;O29)</f>
        <v>46569</v>
      </c>
      <c r="Q29" s="26" cm="1">
        <f t="array" aca="1" ref="Q29" ca="1">INDIRECT("F"&amp;O29)</f>
        <v>70.400000000000006</v>
      </c>
    </row>
    <row r="30" spans="2:17">
      <c r="B30" s="2">
        <v>46327</v>
      </c>
      <c r="C30" s="5"/>
      <c r="D30" s="3" t="s">
        <v>12</v>
      </c>
      <c r="E30" s="3" t="s">
        <v>12</v>
      </c>
      <c r="F30" s="3">
        <v>36.520000000000003</v>
      </c>
      <c r="G30" s="3" t="s">
        <v>12</v>
      </c>
      <c r="H30" s="3" t="s">
        <v>12</v>
      </c>
      <c r="I30" s="3" t="s">
        <v>12</v>
      </c>
      <c r="J30" s="3">
        <v>0</v>
      </c>
      <c r="K30" s="3" t="s">
        <v>316</v>
      </c>
      <c r="O30">
        <f t="shared" si="0"/>
        <v>48</v>
      </c>
      <c r="P30" s="22" cm="1">
        <f t="array" aca="1" ref="P30" ca="1">INDIRECT("B"&amp;O30)</f>
        <v>46600</v>
      </c>
      <c r="Q30" s="26" cm="1">
        <f t="array" aca="1" ref="Q30" ca="1">INDIRECT("F"&amp;O30)</f>
        <v>95.5</v>
      </c>
    </row>
    <row r="31" spans="2:17">
      <c r="B31" s="3" t="s">
        <v>29</v>
      </c>
      <c r="C31" s="5"/>
      <c r="D31" s="3"/>
      <c r="E31" s="3"/>
      <c r="F31" s="3"/>
      <c r="G31" s="3"/>
      <c r="H31" s="3"/>
      <c r="I31" s="3"/>
      <c r="J31" s="3"/>
      <c r="K31" s="4">
        <v>46001</v>
      </c>
      <c r="O31">
        <f t="shared" si="0"/>
        <v>50</v>
      </c>
      <c r="P31" s="22" cm="1">
        <f t="array" aca="1" ref="P31" ca="1">INDIRECT("B"&amp;O31)</f>
        <v>46631</v>
      </c>
      <c r="Q31" s="26" cm="1">
        <f t="array" aca="1" ref="Q31" ca="1">INDIRECT("F"&amp;O31)</f>
        <v>43.29</v>
      </c>
    </row>
    <row r="32" spans="2:17">
      <c r="B32" s="2">
        <v>46357</v>
      </c>
      <c r="C32" s="5"/>
      <c r="D32" s="3" t="s">
        <v>12</v>
      </c>
      <c r="E32" s="3" t="s">
        <v>12</v>
      </c>
      <c r="F32" s="3">
        <v>42.62</v>
      </c>
      <c r="G32" s="3" t="s">
        <v>12</v>
      </c>
      <c r="H32" s="3" t="s">
        <v>12</v>
      </c>
      <c r="I32" s="3" t="s">
        <v>12</v>
      </c>
      <c r="J32" s="3">
        <v>0</v>
      </c>
      <c r="K32" s="3" t="s">
        <v>317</v>
      </c>
      <c r="O32">
        <f t="shared" si="0"/>
        <v>52</v>
      </c>
      <c r="P32" s="22" cm="1">
        <f t="array" aca="1" ref="P32" ca="1">INDIRECT("B"&amp;O32)</f>
        <v>46661</v>
      </c>
      <c r="Q32" s="26" cm="1">
        <f t="array" aca="1" ref="Q32" ca="1">INDIRECT("F"&amp;O32)</f>
        <v>38.49</v>
      </c>
    </row>
    <row r="33" spans="2:17">
      <c r="B33" s="3" t="s">
        <v>31</v>
      </c>
      <c r="C33" s="5"/>
      <c r="D33" s="3"/>
      <c r="E33" s="3"/>
      <c r="F33" s="3"/>
      <c r="G33" s="3"/>
      <c r="H33" s="3"/>
      <c r="I33" s="3"/>
      <c r="J33" s="3"/>
      <c r="K33" s="4">
        <v>46001</v>
      </c>
      <c r="O33">
        <f t="shared" si="0"/>
        <v>54</v>
      </c>
      <c r="P33" s="22" cm="1">
        <f t="array" aca="1" ref="P33" ca="1">INDIRECT("B"&amp;O33)</f>
        <v>46692</v>
      </c>
      <c r="Q33" s="26" cm="1">
        <f t="array" aca="1" ref="Q33" ca="1">INDIRECT("F"&amp;O33)</f>
        <v>36.82</v>
      </c>
    </row>
    <row r="34" spans="2:17">
      <c r="B34" s="2">
        <v>46388</v>
      </c>
      <c r="C34" s="5"/>
      <c r="D34" s="3" t="s">
        <v>12</v>
      </c>
      <c r="E34" s="3" t="s">
        <v>12</v>
      </c>
      <c r="F34" s="3">
        <v>76.95</v>
      </c>
      <c r="G34" s="3" t="s">
        <v>12</v>
      </c>
      <c r="H34" s="3" t="s">
        <v>12</v>
      </c>
      <c r="I34" s="3" t="s">
        <v>12</v>
      </c>
      <c r="J34" s="3">
        <v>0</v>
      </c>
      <c r="K34" s="3" t="s">
        <v>318</v>
      </c>
      <c r="O34">
        <f t="shared" si="0"/>
        <v>56</v>
      </c>
      <c r="P34" s="22" cm="1">
        <f t="array" aca="1" ref="P34" ca="1">INDIRECT("B"&amp;O34)</f>
        <v>46722</v>
      </c>
      <c r="Q34" s="26" cm="1">
        <f t="array" aca="1" ref="Q34" ca="1">INDIRECT("F"&amp;O34)</f>
        <v>41.04</v>
      </c>
    </row>
    <row r="35" spans="2:17">
      <c r="B35" s="3" t="s">
        <v>33</v>
      </c>
      <c r="C35" s="5"/>
      <c r="D35" s="3"/>
      <c r="E35" s="3"/>
      <c r="F35" s="3"/>
      <c r="G35" s="3"/>
      <c r="H35" s="3"/>
      <c r="I35" s="3"/>
      <c r="J35" s="3"/>
      <c r="K35" s="4">
        <v>46001</v>
      </c>
      <c r="O35">
        <f t="shared" si="0"/>
        <v>58</v>
      </c>
      <c r="P35" s="22" cm="1">
        <f t="array" aca="1" ref="P35" ca="1">INDIRECT("B"&amp;O35)</f>
        <v>46753</v>
      </c>
      <c r="Q35" s="26" cm="1">
        <f t="array" aca="1" ref="Q35" ca="1">INDIRECT("F"&amp;O35)</f>
        <v>77.03</v>
      </c>
    </row>
    <row r="36" spans="2:17">
      <c r="B36" s="2">
        <v>46419</v>
      </c>
      <c r="C36" s="5"/>
      <c r="D36" s="3" t="s">
        <v>12</v>
      </c>
      <c r="E36" s="3" t="s">
        <v>12</v>
      </c>
      <c r="F36" s="3">
        <v>76.8</v>
      </c>
      <c r="G36" s="3" t="s">
        <v>12</v>
      </c>
      <c r="H36" s="3" t="s">
        <v>12</v>
      </c>
      <c r="I36" s="3" t="s">
        <v>12</v>
      </c>
      <c r="J36" s="3">
        <v>0</v>
      </c>
      <c r="K36" s="3" t="s">
        <v>319</v>
      </c>
      <c r="O36">
        <f t="shared" si="0"/>
        <v>60</v>
      </c>
      <c r="P36" s="22" cm="1">
        <f t="array" aca="1" ref="P36" ca="1">INDIRECT("B"&amp;O36)</f>
        <v>46784</v>
      </c>
      <c r="Q36" s="26" cm="1">
        <f t="array" aca="1" ref="Q36" ca="1">INDIRECT("F"&amp;O36)</f>
        <v>73.349999999999994</v>
      </c>
    </row>
    <row r="37" spans="2:17">
      <c r="B37" s="3" t="s">
        <v>35</v>
      </c>
      <c r="C37" s="5"/>
      <c r="D37" s="3"/>
      <c r="E37" s="3"/>
      <c r="F37" s="3"/>
      <c r="G37" s="3"/>
      <c r="H37" s="3"/>
      <c r="I37" s="3"/>
      <c r="J37" s="3"/>
      <c r="K37" s="4">
        <v>46001</v>
      </c>
      <c r="O37">
        <f t="shared" si="0"/>
        <v>62</v>
      </c>
      <c r="P37" s="22" cm="1">
        <f t="array" aca="1" ref="P37" ca="1">INDIRECT("B"&amp;O37)</f>
        <v>46813</v>
      </c>
      <c r="Q37" s="26" cm="1">
        <f t="array" aca="1" ref="Q37" ca="1">INDIRECT("F"&amp;O37)</f>
        <v>36.270000000000003</v>
      </c>
    </row>
    <row r="38" spans="2:17">
      <c r="B38" s="2">
        <v>46447</v>
      </c>
      <c r="C38" s="5"/>
      <c r="D38" s="3" t="s">
        <v>12</v>
      </c>
      <c r="E38" s="3" t="s">
        <v>12</v>
      </c>
      <c r="F38" s="3">
        <v>38.36</v>
      </c>
      <c r="G38" s="3" t="s">
        <v>12</v>
      </c>
      <c r="H38" s="3" t="s">
        <v>12</v>
      </c>
      <c r="I38" s="3" t="s">
        <v>12</v>
      </c>
      <c r="J38" s="3">
        <v>0</v>
      </c>
      <c r="K38" s="3" t="s">
        <v>320</v>
      </c>
      <c r="O38">
        <f t="shared" si="0"/>
        <v>64</v>
      </c>
      <c r="P38" s="22" cm="1">
        <f t="array" aca="1" ref="P38" ca="1">INDIRECT("B"&amp;O38)</f>
        <v>46844</v>
      </c>
      <c r="Q38" s="26" cm="1">
        <f t="array" aca="1" ref="Q38" ca="1">INDIRECT("F"&amp;O38)</f>
        <v>32.96</v>
      </c>
    </row>
    <row r="39" spans="2:17">
      <c r="B39" s="3" t="s">
        <v>37</v>
      </c>
      <c r="C39" s="5"/>
      <c r="D39" s="3"/>
      <c r="E39" s="3"/>
      <c r="F39" s="3"/>
      <c r="G39" s="3"/>
      <c r="H39" s="3"/>
      <c r="I39" s="3"/>
      <c r="J39" s="3"/>
      <c r="K39" s="4">
        <v>46001</v>
      </c>
      <c r="O39">
        <f t="shared" si="0"/>
        <v>66</v>
      </c>
      <c r="P39" s="22" cm="1">
        <f t="array" aca="1" ref="P39" ca="1">INDIRECT("B"&amp;O39)</f>
        <v>46874</v>
      </c>
      <c r="Q39" s="26" cm="1">
        <f t="array" aca="1" ref="Q39" ca="1">INDIRECT("F"&amp;O39)</f>
        <v>33.81</v>
      </c>
    </row>
    <row r="40" spans="2:17">
      <c r="B40" s="2">
        <v>46478</v>
      </c>
      <c r="C40" s="5"/>
      <c r="D40" s="3" t="s">
        <v>12</v>
      </c>
      <c r="E40" s="3" t="s">
        <v>12</v>
      </c>
      <c r="F40" s="3">
        <v>32.43</v>
      </c>
      <c r="G40" s="3" t="s">
        <v>12</v>
      </c>
      <c r="H40" s="3" t="s">
        <v>12</v>
      </c>
      <c r="I40" s="3" t="s">
        <v>12</v>
      </c>
      <c r="J40" s="3">
        <v>0</v>
      </c>
      <c r="K40" s="3" t="s">
        <v>321</v>
      </c>
      <c r="O40">
        <f t="shared" si="0"/>
        <v>68</v>
      </c>
      <c r="P40" s="22" cm="1">
        <f t="array" aca="1" ref="P40" ca="1">INDIRECT("B"&amp;O40)</f>
        <v>46905</v>
      </c>
      <c r="Q40" s="26" cm="1">
        <f t="array" aca="1" ref="Q40" ca="1">INDIRECT("F"&amp;O40)</f>
        <v>43.23</v>
      </c>
    </row>
    <row r="41" spans="2:17">
      <c r="B41" s="3" t="s">
        <v>39</v>
      </c>
      <c r="C41" s="5"/>
      <c r="D41" s="3"/>
      <c r="E41" s="3"/>
      <c r="F41" s="3"/>
      <c r="G41" s="3"/>
      <c r="H41" s="3"/>
      <c r="I41" s="3"/>
      <c r="J41" s="3"/>
      <c r="K41" s="4">
        <v>46001</v>
      </c>
      <c r="O41">
        <f t="shared" si="0"/>
        <v>70</v>
      </c>
      <c r="P41" s="22" cm="1">
        <f t="array" aca="1" ref="P41" ca="1">INDIRECT("B"&amp;O41)</f>
        <v>46935</v>
      </c>
      <c r="Q41" s="26" cm="1">
        <f t="array" aca="1" ref="Q41" ca="1">INDIRECT("F"&amp;O41)</f>
        <v>69.989999999999995</v>
      </c>
    </row>
    <row r="42" spans="2:17">
      <c r="B42" s="2">
        <v>46508</v>
      </c>
      <c r="C42" s="5"/>
      <c r="D42" s="3" t="s">
        <v>12</v>
      </c>
      <c r="E42" s="3" t="s">
        <v>12</v>
      </c>
      <c r="F42" s="3">
        <v>34.200000000000003</v>
      </c>
      <c r="G42" s="3" t="s">
        <v>12</v>
      </c>
      <c r="H42" s="3" t="s">
        <v>12</v>
      </c>
      <c r="I42" s="3" t="s">
        <v>12</v>
      </c>
      <c r="J42" s="3">
        <v>0</v>
      </c>
      <c r="K42" s="3" t="s">
        <v>322</v>
      </c>
      <c r="O42">
        <f t="shared" si="0"/>
        <v>72</v>
      </c>
      <c r="P42" s="22" cm="1">
        <f t="array" aca="1" ref="P42" ca="1">INDIRECT("B"&amp;O42)</f>
        <v>46966</v>
      </c>
      <c r="Q42" s="26" cm="1">
        <f t="array" aca="1" ref="Q42" ca="1">INDIRECT("F"&amp;O42)</f>
        <v>93.53</v>
      </c>
    </row>
    <row r="43" spans="2:17">
      <c r="B43" s="3" t="s">
        <v>41</v>
      </c>
      <c r="C43" s="5"/>
      <c r="D43" s="3"/>
      <c r="E43" s="3"/>
      <c r="F43" s="3"/>
      <c r="G43" s="3"/>
      <c r="H43" s="3"/>
      <c r="I43" s="3"/>
      <c r="J43" s="3"/>
      <c r="K43" s="4">
        <v>46001</v>
      </c>
      <c r="O43">
        <f t="shared" si="0"/>
        <v>74</v>
      </c>
      <c r="P43" s="22" cm="1">
        <f t="array" aca="1" ref="P43" ca="1">INDIRECT("B"&amp;O43)</f>
        <v>46997</v>
      </c>
      <c r="Q43" s="26" cm="1">
        <f t="array" aca="1" ref="Q43" ca="1">INDIRECT("F"&amp;O43)</f>
        <v>46.37</v>
      </c>
    </row>
    <row r="44" spans="2:17">
      <c r="B44" s="2">
        <v>46539</v>
      </c>
      <c r="C44" s="5"/>
      <c r="D44" s="3" t="s">
        <v>12</v>
      </c>
      <c r="E44" s="3" t="s">
        <v>12</v>
      </c>
      <c r="F44" s="3">
        <v>42.41</v>
      </c>
      <c r="G44" s="3" t="s">
        <v>12</v>
      </c>
      <c r="H44" s="3" t="s">
        <v>12</v>
      </c>
      <c r="I44" s="3" t="s">
        <v>12</v>
      </c>
      <c r="J44" s="3">
        <v>0</v>
      </c>
      <c r="K44" s="3" t="s">
        <v>323</v>
      </c>
      <c r="O44">
        <f t="shared" si="0"/>
        <v>76</v>
      </c>
      <c r="P44" s="22" cm="1">
        <f t="array" aca="1" ref="P44" ca="1">INDIRECT("B"&amp;O44)</f>
        <v>47027</v>
      </c>
      <c r="Q44" s="26" cm="1">
        <f t="array" aca="1" ref="Q44" ca="1">INDIRECT("F"&amp;O44)</f>
        <v>37.28</v>
      </c>
    </row>
    <row r="45" spans="2:17">
      <c r="B45" s="3" t="s">
        <v>42</v>
      </c>
      <c r="C45" s="5"/>
      <c r="D45" s="3"/>
      <c r="E45" s="3"/>
      <c r="F45" s="3"/>
      <c r="G45" s="3"/>
      <c r="H45" s="3"/>
      <c r="I45" s="3"/>
      <c r="J45" s="3"/>
      <c r="K45" s="4">
        <v>46001</v>
      </c>
      <c r="O45">
        <f t="shared" si="0"/>
        <v>78</v>
      </c>
      <c r="P45" s="22" cm="1">
        <f t="array" aca="1" ref="P45" ca="1">INDIRECT("B"&amp;O45)</f>
        <v>47058</v>
      </c>
      <c r="Q45" s="26" cm="1">
        <f t="array" aca="1" ref="Q45" ca="1">INDIRECT("F"&amp;O45)</f>
        <v>35.270000000000003</v>
      </c>
    </row>
    <row r="46" spans="2:17">
      <c r="B46" s="2">
        <v>46569</v>
      </c>
      <c r="C46" s="5"/>
      <c r="D46" s="3" t="s">
        <v>12</v>
      </c>
      <c r="E46" s="3" t="s">
        <v>12</v>
      </c>
      <c r="F46" s="3">
        <v>70.400000000000006</v>
      </c>
      <c r="G46" s="3" t="s">
        <v>12</v>
      </c>
      <c r="H46" s="3" t="s">
        <v>12</v>
      </c>
      <c r="I46" s="3" t="s">
        <v>12</v>
      </c>
      <c r="J46" s="3">
        <v>0</v>
      </c>
      <c r="K46" s="3" t="s">
        <v>324</v>
      </c>
      <c r="O46">
        <f t="shared" si="0"/>
        <v>80</v>
      </c>
      <c r="P46" s="22" cm="1">
        <f t="array" aca="1" ref="P46" ca="1">INDIRECT("B"&amp;O46)</f>
        <v>47088</v>
      </c>
      <c r="Q46" s="26" cm="1">
        <f t="array" aca="1" ref="Q46" ca="1">INDIRECT("F"&amp;O46)</f>
        <v>40.83</v>
      </c>
    </row>
    <row r="47" spans="2:17">
      <c r="B47" s="3" t="s">
        <v>44</v>
      </c>
      <c r="C47" s="5"/>
      <c r="D47" s="3"/>
      <c r="E47" s="3"/>
      <c r="F47" s="3"/>
      <c r="G47" s="3"/>
      <c r="H47" s="3"/>
      <c r="I47" s="3"/>
      <c r="J47" s="3"/>
      <c r="K47" s="4">
        <v>46001</v>
      </c>
      <c r="O47">
        <f t="shared" si="0"/>
        <v>82</v>
      </c>
      <c r="P47" s="22" cm="1">
        <f t="array" aca="1" ref="P47" ca="1">INDIRECT("B"&amp;O47)</f>
        <v>47119</v>
      </c>
      <c r="Q47" s="26" cm="1">
        <f t="array" aca="1" ref="Q47" ca="1">INDIRECT("F"&amp;O47)</f>
        <v>78.06</v>
      </c>
    </row>
    <row r="48" spans="2:17">
      <c r="B48" s="2">
        <v>46600</v>
      </c>
      <c r="C48" s="5"/>
      <c r="D48" s="3" t="s">
        <v>12</v>
      </c>
      <c r="E48" s="3" t="s">
        <v>12</v>
      </c>
      <c r="F48" s="3">
        <v>95.5</v>
      </c>
      <c r="G48" s="3" t="s">
        <v>12</v>
      </c>
      <c r="H48" s="3" t="s">
        <v>12</v>
      </c>
      <c r="I48" s="3" t="s">
        <v>12</v>
      </c>
      <c r="J48" s="3">
        <v>0</v>
      </c>
      <c r="K48" s="3" t="s">
        <v>312</v>
      </c>
      <c r="O48">
        <f t="shared" si="0"/>
        <v>84</v>
      </c>
      <c r="P48" s="22" cm="1">
        <f t="array" aca="1" ref="P48" ca="1">INDIRECT("B"&amp;O48)</f>
        <v>47150</v>
      </c>
      <c r="Q48" s="26" cm="1">
        <f t="array" aca="1" ref="Q48" ca="1">INDIRECT("F"&amp;O48)</f>
        <v>74.09</v>
      </c>
    </row>
    <row r="49" spans="2:17">
      <c r="B49" s="3" t="s">
        <v>46</v>
      </c>
      <c r="C49" s="5"/>
      <c r="D49" s="3"/>
      <c r="E49" s="3"/>
      <c r="F49" s="3"/>
      <c r="G49" s="3"/>
      <c r="H49" s="3"/>
      <c r="I49" s="3"/>
      <c r="J49" s="3"/>
      <c r="K49" s="4">
        <v>46001</v>
      </c>
      <c r="O49">
        <f t="shared" si="0"/>
        <v>86</v>
      </c>
      <c r="P49" s="22" cm="1">
        <f t="array" aca="1" ref="P49" ca="1">INDIRECT("B"&amp;O49)</f>
        <v>47178</v>
      </c>
      <c r="Q49" s="26" cm="1">
        <f t="array" aca="1" ref="Q49" ca="1">INDIRECT("F"&amp;O49)</f>
        <v>37.07</v>
      </c>
    </row>
    <row r="50" spans="2:17">
      <c r="B50" s="2">
        <v>46631</v>
      </c>
      <c r="C50" s="5"/>
      <c r="D50" s="3" t="s">
        <v>12</v>
      </c>
      <c r="E50" s="3" t="s">
        <v>12</v>
      </c>
      <c r="F50" s="3">
        <v>43.29</v>
      </c>
      <c r="G50" s="3" t="s">
        <v>12</v>
      </c>
      <c r="H50" s="3" t="s">
        <v>12</v>
      </c>
      <c r="I50" s="3" t="s">
        <v>12</v>
      </c>
      <c r="J50" s="3">
        <v>0</v>
      </c>
      <c r="K50" s="3" t="s">
        <v>325</v>
      </c>
      <c r="O50">
        <f t="shared" si="0"/>
        <v>88</v>
      </c>
      <c r="P50" s="22" cm="1">
        <f t="array" aca="1" ref="P50" ca="1">INDIRECT("B"&amp;O50)</f>
        <v>47209</v>
      </c>
      <c r="Q50" s="26" cm="1">
        <f t="array" aca="1" ref="Q50" ca="1">INDIRECT("F"&amp;O50)</f>
        <v>33.76</v>
      </c>
    </row>
    <row r="51" spans="2:17">
      <c r="B51" s="3" t="s">
        <v>47</v>
      </c>
      <c r="C51" s="5"/>
      <c r="D51" s="3"/>
      <c r="E51" s="3"/>
      <c r="F51" s="3"/>
      <c r="G51" s="3"/>
      <c r="H51" s="3"/>
      <c r="I51" s="3"/>
      <c r="J51" s="3"/>
      <c r="K51" s="4">
        <v>46001</v>
      </c>
      <c r="O51">
        <f t="shared" si="0"/>
        <v>90</v>
      </c>
      <c r="P51" s="22" cm="1">
        <f t="array" aca="1" ref="P51" ca="1">INDIRECT("B"&amp;O51)</f>
        <v>47239</v>
      </c>
      <c r="Q51" s="26" cm="1">
        <f t="array" aca="1" ref="Q51" ca="1">INDIRECT("F"&amp;O51)</f>
        <v>34.53</v>
      </c>
    </row>
    <row r="52" spans="2:17">
      <c r="B52" s="2">
        <v>46661</v>
      </c>
      <c r="C52" s="5"/>
      <c r="D52" s="3" t="s">
        <v>12</v>
      </c>
      <c r="E52" s="3" t="s">
        <v>12</v>
      </c>
      <c r="F52" s="3">
        <v>38.49</v>
      </c>
      <c r="G52" s="3" t="s">
        <v>12</v>
      </c>
      <c r="H52" s="3" t="s">
        <v>12</v>
      </c>
      <c r="I52" s="3" t="s">
        <v>12</v>
      </c>
      <c r="J52" s="3">
        <v>0</v>
      </c>
      <c r="K52" s="3" t="s">
        <v>323</v>
      </c>
      <c r="O52">
        <f t="shared" si="0"/>
        <v>92</v>
      </c>
      <c r="P52" s="22" cm="1">
        <f t="array" aca="1" ref="P52" ca="1">INDIRECT("B"&amp;O52)</f>
        <v>47270</v>
      </c>
      <c r="Q52" s="26" cm="1">
        <f t="array" aca="1" ref="Q52" ca="1">INDIRECT("F"&amp;O52)</f>
        <v>43.77</v>
      </c>
    </row>
    <row r="53" spans="2:17">
      <c r="B53" s="3" t="s">
        <v>49</v>
      </c>
      <c r="C53" s="5"/>
      <c r="D53" s="3"/>
      <c r="E53" s="3"/>
      <c r="F53" s="3"/>
      <c r="G53" s="3"/>
      <c r="H53" s="3"/>
      <c r="I53" s="3"/>
      <c r="J53" s="3"/>
      <c r="K53" s="4">
        <v>46001</v>
      </c>
      <c r="O53">
        <f t="shared" si="0"/>
        <v>94</v>
      </c>
      <c r="P53" s="22" cm="1">
        <f t="array" aca="1" ref="P53" ca="1">INDIRECT("B"&amp;O53)</f>
        <v>47300</v>
      </c>
      <c r="Q53" s="26" cm="1">
        <f t="array" aca="1" ref="Q53" ca="1">INDIRECT("F"&amp;O53)</f>
        <v>70.53</v>
      </c>
    </row>
    <row r="54" spans="2:17">
      <c r="B54" s="2">
        <v>46692</v>
      </c>
      <c r="C54" s="5"/>
      <c r="D54" s="3" t="s">
        <v>12</v>
      </c>
      <c r="E54" s="3" t="s">
        <v>12</v>
      </c>
      <c r="F54" s="3">
        <v>36.82</v>
      </c>
      <c r="G54" s="3" t="s">
        <v>12</v>
      </c>
      <c r="H54" s="3" t="s">
        <v>12</v>
      </c>
      <c r="I54" s="3" t="s">
        <v>12</v>
      </c>
      <c r="J54" s="3">
        <v>0</v>
      </c>
      <c r="K54" s="3" t="s">
        <v>326</v>
      </c>
      <c r="O54">
        <f t="shared" si="0"/>
        <v>96</v>
      </c>
      <c r="P54" s="22" cm="1">
        <f t="array" aca="1" ref="P54" ca="1">INDIRECT("B"&amp;O54)</f>
        <v>47331</v>
      </c>
      <c r="Q54" s="26" cm="1">
        <f t="array" aca="1" ref="Q54" ca="1">INDIRECT("F"&amp;O54)</f>
        <v>94.3</v>
      </c>
    </row>
    <row r="55" spans="2:17">
      <c r="B55" s="3" t="s">
        <v>50</v>
      </c>
      <c r="C55" s="5"/>
      <c r="D55" s="3"/>
      <c r="E55" s="3"/>
      <c r="F55" s="3"/>
      <c r="G55" s="3"/>
      <c r="H55" s="3"/>
      <c r="I55" s="3"/>
      <c r="J55" s="3"/>
      <c r="K55" s="4">
        <v>46001</v>
      </c>
      <c r="O55">
        <f t="shared" si="0"/>
        <v>98</v>
      </c>
      <c r="P55" s="22" cm="1">
        <f t="array" aca="1" ref="P55" ca="1">INDIRECT("B"&amp;O55)</f>
        <v>47362</v>
      </c>
      <c r="Q55" s="26" cm="1">
        <f t="array" aca="1" ref="Q55" ca="1">INDIRECT("F"&amp;O55)</f>
        <v>46.58</v>
      </c>
    </row>
    <row r="56" spans="2:17">
      <c r="B56" s="2">
        <v>46722</v>
      </c>
      <c r="C56" s="5"/>
      <c r="D56" s="3" t="s">
        <v>12</v>
      </c>
      <c r="E56" s="3" t="s">
        <v>12</v>
      </c>
      <c r="F56" s="3">
        <v>41.04</v>
      </c>
      <c r="G56" s="3" t="s">
        <v>12</v>
      </c>
      <c r="H56" s="3" t="s">
        <v>12</v>
      </c>
      <c r="I56" s="3" t="s">
        <v>12</v>
      </c>
      <c r="J56" s="3">
        <v>0</v>
      </c>
      <c r="K56" s="3" t="s">
        <v>327</v>
      </c>
      <c r="O56">
        <f t="shared" si="0"/>
        <v>100</v>
      </c>
      <c r="P56" s="22" cm="1">
        <f t="array" aca="1" ref="P56" ca="1">INDIRECT("B"&amp;O56)</f>
        <v>47392</v>
      </c>
      <c r="Q56" s="26" cm="1">
        <f t="array" aca="1" ref="Q56" ca="1">INDIRECT("F"&amp;O56)</f>
        <v>37.33</v>
      </c>
    </row>
    <row r="57" spans="2:17">
      <c r="B57" s="3" t="s">
        <v>52</v>
      </c>
      <c r="C57" s="5"/>
      <c r="D57" s="3"/>
      <c r="E57" s="3"/>
      <c r="F57" s="3"/>
      <c r="G57" s="3"/>
      <c r="H57" s="3"/>
      <c r="I57" s="3"/>
      <c r="J57" s="3"/>
      <c r="K57" s="4">
        <v>46001</v>
      </c>
      <c r="O57">
        <f t="shared" si="0"/>
        <v>102</v>
      </c>
      <c r="P57" s="22" cm="1">
        <f t="array" aca="1" ref="P57" ca="1">INDIRECT("B"&amp;O57)</f>
        <v>47423</v>
      </c>
      <c r="Q57" s="26" cm="1">
        <f t="array" aca="1" ref="Q57" ca="1">INDIRECT("F"&amp;O57)</f>
        <v>34.94</v>
      </c>
    </row>
    <row r="58" spans="2:17">
      <c r="B58" s="2">
        <v>46753</v>
      </c>
      <c r="C58" s="5"/>
      <c r="D58" s="3" t="s">
        <v>12</v>
      </c>
      <c r="E58" s="3" t="s">
        <v>12</v>
      </c>
      <c r="F58" s="3">
        <v>77.03</v>
      </c>
      <c r="G58" s="3" t="s">
        <v>12</v>
      </c>
      <c r="H58" s="3" t="s">
        <v>12</v>
      </c>
      <c r="I58" s="3" t="s">
        <v>12</v>
      </c>
      <c r="J58" s="3">
        <v>0</v>
      </c>
      <c r="K58" s="3" t="s">
        <v>328</v>
      </c>
      <c r="O58">
        <f t="shared" si="0"/>
        <v>104</v>
      </c>
      <c r="P58" s="22" cm="1">
        <f t="array" aca="1" ref="P58" ca="1">INDIRECT("B"&amp;O58)</f>
        <v>47453</v>
      </c>
      <c r="Q58" s="26" cm="1">
        <f t="array" aca="1" ref="Q58" ca="1">INDIRECT("F"&amp;O58)</f>
        <v>40.799999999999997</v>
      </c>
    </row>
    <row r="59" spans="2:17">
      <c r="B59" s="3" t="s">
        <v>54</v>
      </c>
      <c r="C59" s="5"/>
      <c r="D59" s="3"/>
      <c r="E59" s="3"/>
      <c r="F59" s="3"/>
      <c r="G59" s="3"/>
      <c r="H59" s="3"/>
      <c r="I59" s="3"/>
      <c r="J59" s="3"/>
      <c r="K59" s="4">
        <v>46001</v>
      </c>
      <c r="O59">
        <f t="shared" si="0"/>
        <v>106</v>
      </c>
      <c r="P59" s="22" cm="1">
        <f t="array" aca="1" ref="P59" ca="1">INDIRECT("B"&amp;O59)</f>
        <v>47484</v>
      </c>
      <c r="Q59" s="26" cm="1">
        <f t="array" aca="1" ref="Q59" ca="1">INDIRECT("F"&amp;O59)</f>
        <v>0</v>
      </c>
    </row>
    <row r="60" spans="2:17">
      <c r="B60" s="2">
        <v>46784</v>
      </c>
      <c r="C60" s="5"/>
      <c r="D60" s="3" t="s">
        <v>12</v>
      </c>
      <c r="E60" s="3" t="s">
        <v>12</v>
      </c>
      <c r="F60" s="3">
        <v>73.349999999999994</v>
      </c>
      <c r="G60" s="3" t="s">
        <v>12</v>
      </c>
      <c r="H60" s="3" t="s">
        <v>12</v>
      </c>
      <c r="I60" s="3" t="s">
        <v>12</v>
      </c>
      <c r="J60" s="3">
        <v>0</v>
      </c>
      <c r="K60" s="3" t="s">
        <v>329</v>
      </c>
      <c r="O60">
        <f t="shared" si="0"/>
        <v>108</v>
      </c>
      <c r="P60" s="22" cm="1">
        <f t="array" aca="1" ref="P60" ca="1">INDIRECT("B"&amp;O60)</f>
        <v>47515</v>
      </c>
      <c r="Q60" s="26" cm="1">
        <f t="array" aca="1" ref="Q60" ca="1">INDIRECT("F"&amp;O60)</f>
        <v>0</v>
      </c>
    </row>
    <row r="61" spans="2:17">
      <c r="B61" s="3" t="s">
        <v>56</v>
      </c>
      <c r="C61" s="5"/>
      <c r="D61" s="3"/>
      <c r="E61" s="3"/>
      <c r="F61" s="3"/>
      <c r="G61" s="3"/>
      <c r="H61" s="3"/>
      <c r="I61" s="3"/>
      <c r="J61" s="3"/>
      <c r="K61" s="4">
        <v>46001</v>
      </c>
      <c r="O61">
        <f t="shared" si="0"/>
        <v>110</v>
      </c>
      <c r="P61" s="22" cm="1">
        <f t="array" aca="1" ref="P61" ca="1">INDIRECT("B"&amp;O61)</f>
        <v>47543</v>
      </c>
      <c r="Q61" s="26" cm="1">
        <f t="array" aca="1" ref="Q61" ca="1">INDIRECT("F"&amp;O61)</f>
        <v>0</v>
      </c>
    </row>
    <row r="62" spans="2:17">
      <c r="B62" s="2">
        <v>46813</v>
      </c>
      <c r="C62" s="5"/>
      <c r="D62" s="3" t="s">
        <v>12</v>
      </c>
      <c r="E62" s="3" t="s">
        <v>12</v>
      </c>
      <c r="F62" s="3">
        <v>36.270000000000003</v>
      </c>
      <c r="G62" s="3" t="s">
        <v>12</v>
      </c>
      <c r="H62" s="3" t="s">
        <v>12</v>
      </c>
      <c r="I62" s="3" t="s">
        <v>12</v>
      </c>
      <c r="J62" s="3">
        <v>0</v>
      </c>
      <c r="K62" s="3" t="s">
        <v>330</v>
      </c>
      <c r="O62">
        <f t="shared" si="0"/>
        <v>112</v>
      </c>
      <c r="P62" s="22" cm="1">
        <f t="array" aca="1" ref="P62" ca="1">INDIRECT("B"&amp;O62)</f>
        <v>47574</v>
      </c>
      <c r="Q62" s="26" cm="1">
        <f t="array" aca="1" ref="Q62" ca="1">INDIRECT("F"&amp;O62)</f>
        <v>0</v>
      </c>
    </row>
    <row r="63" spans="2:17">
      <c r="B63" s="3" t="s">
        <v>58</v>
      </c>
      <c r="C63" s="5"/>
      <c r="D63" s="3"/>
      <c r="E63" s="3"/>
      <c r="F63" s="3"/>
      <c r="G63" s="3"/>
      <c r="H63" s="3"/>
      <c r="I63" s="3"/>
      <c r="J63" s="3"/>
      <c r="K63" s="4">
        <v>46001</v>
      </c>
      <c r="O63">
        <f t="shared" si="0"/>
        <v>114</v>
      </c>
      <c r="P63" s="22" cm="1">
        <f t="array" aca="1" ref="P63" ca="1">INDIRECT("B"&amp;O63)</f>
        <v>47604</v>
      </c>
      <c r="Q63" s="26" cm="1">
        <f t="array" aca="1" ref="Q63" ca="1">INDIRECT("F"&amp;O63)</f>
        <v>0</v>
      </c>
    </row>
    <row r="64" spans="2:17">
      <c r="B64" s="2">
        <v>46844</v>
      </c>
      <c r="C64" s="5"/>
      <c r="D64" s="3" t="s">
        <v>12</v>
      </c>
      <c r="E64" s="3" t="s">
        <v>12</v>
      </c>
      <c r="F64" s="3">
        <v>32.96</v>
      </c>
      <c r="G64" s="3" t="s">
        <v>12</v>
      </c>
      <c r="H64" s="3" t="s">
        <v>12</v>
      </c>
      <c r="I64" s="3" t="s">
        <v>12</v>
      </c>
      <c r="J64" s="3">
        <v>0</v>
      </c>
      <c r="K64" s="3" t="s">
        <v>331</v>
      </c>
      <c r="O64">
        <f t="shared" si="0"/>
        <v>116</v>
      </c>
      <c r="P64" s="22" cm="1">
        <f t="array" aca="1" ref="P64" ca="1">INDIRECT("B"&amp;O64)</f>
        <v>47635</v>
      </c>
      <c r="Q64" s="26" cm="1">
        <f t="array" aca="1" ref="Q64" ca="1">INDIRECT("F"&amp;O64)</f>
        <v>25.06</v>
      </c>
    </row>
    <row r="65" spans="2:17">
      <c r="B65" s="3" t="s">
        <v>60</v>
      </c>
      <c r="C65" s="5"/>
      <c r="D65" s="3"/>
      <c r="E65" s="3"/>
      <c r="F65" s="3"/>
      <c r="G65" s="3"/>
      <c r="H65" s="3"/>
      <c r="I65" s="3"/>
      <c r="J65" s="3"/>
      <c r="K65" s="4">
        <v>46001</v>
      </c>
      <c r="O65">
        <f t="shared" si="0"/>
        <v>118</v>
      </c>
      <c r="P65" s="22" cm="1">
        <f t="array" aca="1" ref="P65" ca="1">INDIRECT("B"&amp;O65)</f>
        <v>47665</v>
      </c>
      <c r="Q65" s="26" cm="1">
        <f t="array" aca="1" ref="Q65" ca="1">INDIRECT("F"&amp;O65)</f>
        <v>0</v>
      </c>
    </row>
    <row r="66" spans="2:17">
      <c r="B66" s="2">
        <v>46874</v>
      </c>
      <c r="C66" s="5"/>
      <c r="D66" s="3" t="s">
        <v>12</v>
      </c>
      <c r="E66" s="3" t="s">
        <v>12</v>
      </c>
      <c r="F66" s="3">
        <v>33.81</v>
      </c>
      <c r="G66" s="3" t="s">
        <v>12</v>
      </c>
      <c r="H66" s="3" t="s">
        <v>12</v>
      </c>
      <c r="I66" s="3" t="s">
        <v>12</v>
      </c>
      <c r="J66" s="3">
        <v>0</v>
      </c>
      <c r="K66" s="3" t="s">
        <v>332</v>
      </c>
      <c r="O66">
        <f t="shared" si="0"/>
        <v>120</v>
      </c>
      <c r="P66" s="22" cm="1">
        <f t="array" aca="1" ref="P66" ca="1">INDIRECT("B"&amp;O66)</f>
        <v>47696</v>
      </c>
      <c r="Q66" s="26" cm="1">
        <f t="array" aca="1" ref="Q66" ca="1">INDIRECT("F"&amp;O66)</f>
        <v>0</v>
      </c>
    </row>
    <row r="67" spans="2:17">
      <c r="B67" s="3" t="s">
        <v>62</v>
      </c>
      <c r="C67" s="5"/>
      <c r="D67" s="3"/>
      <c r="E67" s="3"/>
      <c r="F67" s="3"/>
      <c r="G67" s="3"/>
      <c r="H67" s="3"/>
      <c r="I67" s="3"/>
      <c r="J67" s="3"/>
      <c r="K67" s="4">
        <v>46001</v>
      </c>
      <c r="O67">
        <f t="shared" si="0"/>
        <v>122</v>
      </c>
      <c r="P67" s="22" cm="1">
        <f t="array" aca="1" ref="P67" ca="1">INDIRECT("B"&amp;O67)</f>
        <v>47727</v>
      </c>
      <c r="Q67" s="26" cm="1">
        <f t="array" aca="1" ref="Q67" ca="1">INDIRECT("F"&amp;O67)</f>
        <v>0</v>
      </c>
    </row>
    <row r="68" spans="2:17">
      <c r="B68" s="2">
        <v>46905</v>
      </c>
      <c r="C68" s="5"/>
      <c r="D68" s="3" t="s">
        <v>12</v>
      </c>
      <c r="E68" s="3" t="s">
        <v>12</v>
      </c>
      <c r="F68" s="3">
        <v>43.23</v>
      </c>
      <c r="G68" s="3" t="s">
        <v>12</v>
      </c>
      <c r="H68" s="3" t="s">
        <v>12</v>
      </c>
      <c r="I68" s="3" t="s">
        <v>12</v>
      </c>
      <c r="J68" s="3">
        <v>0</v>
      </c>
      <c r="K68" s="3" t="s">
        <v>333</v>
      </c>
      <c r="O68">
        <f t="shared" si="0"/>
        <v>124</v>
      </c>
      <c r="P68" s="22" cm="1">
        <f t="array" aca="1" ref="P68" ca="1">INDIRECT("B"&amp;O68)</f>
        <v>47757</v>
      </c>
      <c r="Q68" s="26" cm="1">
        <f t="array" aca="1" ref="Q68" ca="1">INDIRECT("F"&amp;O68)</f>
        <v>0</v>
      </c>
    </row>
    <row r="69" spans="2:17">
      <c r="B69" s="3" t="s">
        <v>63</v>
      </c>
      <c r="C69" s="5"/>
      <c r="D69" s="3"/>
      <c r="E69" s="3"/>
      <c r="F69" s="3"/>
      <c r="G69" s="3"/>
      <c r="H69" s="3"/>
      <c r="I69" s="3"/>
      <c r="J69" s="3"/>
      <c r="K69" s="4">
        <v>46001</v>
      </c>
      <c r="O69">
        <f t="shared" si="0"/>
        <v>126</v>
      </c>
      <c r="P69" s="22" cm="1">
        <f t="array" aca="1" ref="P69" ca="1">INDIRECT("B"&amp;O69)</f>
        <v>47788</v>
      </c>
      <c r="Q69" s="26" cm="1">
        <f t="array" aca="1" ref="Q69" ca="1">INDIRECT("F"&amp;O69)</f>
        <v>0</v>
      </c>
    </row>
    <row r="70" spans="2:17">
      <c r="B70" s="2">
        <v>46935</v>
      </c>
      <c r="C70" s="5"/>
      <c r="D70" s="3" t="s">
        <v>12</v>
      </c>
      <c r="E70" s="3" t="s">
        <v>12</v>
      </c>
      <c r="F70" s="3">
        <v>69.989999999999995</v>
      </c>
      <c r="G70" s="3" t="s">
        <v>12</v>
      </c>
      <c r="H70" s="3" t="s">
        <v>12</v>
      </c>
      <c r="I70" s="3" t="s">
        <v>12</v>
      </c>
      <c r="J70" s="3">
        <v>0</v>
      </c>
      <c r="K70" s="3" t="s">
        <v>334</v>
      </c>
      <c r="O70">
        <f t="shared" si="0"/>
        <v>128</v>
      </c>
      <c r="P70" s="22" cm="1">
        <f t="array" aca="1" ref="P70" ca="1">INDIRECT("B"&amp;O70)</f>
        <v>47818</v>
      </c>
      <c r="Q70" s="26" cm="1">
        <f t="array" aca="1" ref="Q70" ca="1">INDIRECT("F"&amp;O70)</f>
        <v>0</v>
      </c>
    </row>
    <row r="71" spans="2:17">
      <c r="B71" s="3" t="s">
        <v>65</v>
      </c>
      <c r="C71" s="5"/>
      <c r="D71" s="3"/>
      <c r="E71" s="3"/>
      <c r="F71" s="3"/>
      <c r="G71" s="3"/>
      <c r="H71" s="3"/>
      <c r="I71" s="3"/>
      <c r="J71" s="3"/>
      <c r="K71" s="4">
        <v>46001</v>
      </c>
      <c r="O71">
        <f t="shared" si="0"/>
        <v>130</v>
      </c>
      <c r="P71" s="22" cm="1">
        <f t="array" aca="1" ref="P71" ca="1">INDIRECT("B"&amp;O71)</f>
        <v>47849</v>
      </c>
      <c r="Q71" s="26" cm="1">
        <f t="array" aca="1" ref="Q71" ca="1">INDIRECT("F"&amp;O71)</f>
        <v>0</v>
      </c>
    </row>
    <row r="72" spans="2:17">
      <c r="B72" s="2">
        <v>46966</v>
      </c>
      <c r="C72" s="5"/>
      <c r="D72" s="3" t="s">
        <v>12</v>
      </c>
      <c r="E72" s="3" t="s">
        <v>12</v>
      </c>
      <c r="F72" s="3">
        <v>93.53</v>
      </c>
      <c r="G72" s="3" t="s">
        <v>12</v>
      </c>
      <c r="H72" s="3" t="s">
        <v>12</v>
      </c>
      <c r="I72" s="3" t="s">
        <v>12</v>
      </c>
      <c r="J72" s="3">
        <v>0</v>
      </c>
      <c r="K72" s="3" t="s">
        <v>335</v>
      </c>
      <c r="O72">
        <f t="shared" si="0"/>
        <v>132</v>
      </c>
      <c r="P72" s="22" cm="1">
        <f t="array" aca="1" ref="P72" ca="1">INDIRECT("B"&amp;O72)</f>
        <v>47880</v>
      </c>
      <c r="Q72" s="26" cm="1">
        <f t="array" aca="1" ref="Q72" ca="1">INDIRECT("F"&amp;O72)</f>
        <v>0</v>
      </c>
    </row>
    <row r="73" spans="2:17">
      <c r="B73" s="3" t="s">
        <v>67</v>
      </c>
      <c r="C73" s="5"/>
      <c r="D73" s="3"/>
      <c r="E73" s="3"/>
      <c r="F73" s="3"/>
      <c r="G73" s="3"/>
      <c r="H73" s="3"/>
      <c r="I73" s="3"/>
      <c r="J73" s="3"/>
      <c r="K73" s="4">
        <v>46001</v>
      </c>
      <c r="O73">
        <f t="shared" si="0"/>
        <v>134</v>
      </c>
      <c r="P73" s="22" cm="1">
        <f t="array" aca="1" ref="P73" ca="1">INDIRECT("B"&amp;O73)</f>
        <v>47908</v>
      </c>
      <c r="Q73" s="26" cm="1">
        <f t="array" aca="1" ref="Q73" ca="1">INDIRECT("F"&amp;O73)</f>
        <v>0</v>
      </c>
    </row>
    <row r="74" spans="2:17">
      <c r="B74" s="2">
        <v>46997</v>
      </c>
      <c r="C74" s="5"/>
      <c r="D74" s="3" t="s">
        <v>12</v>
      </c>
      <c r="E74" s="3" t="s">
        <v>12</v>
      </c>
      <c r="F74" s="3">
        <v>46.37</v>
      </c>
      <c r="G74" s="3" t="s">
        <v>12</v>
      </c>
      <c r="H74" s="3" t="s">
        <v>12</v>
      </c>
      <c r="I74" s="3" t="s">
        <v>12</v>
      </c>
      <c r="J74" s="3">
        <v>0</v>
      </c>
      <c r="K74" s="3" t="s">
        <v>336</v>
      </c>
      <c r="O74">
        <f t="shared" si="0"/>
        <v>136</v>
      </c>
      <c r="P74" s="22" cm="1">
        <f t="array" aca="1" ref="P74" ca="1">INDIRECT("B"&amp;O74)</f>
        <v>47939</v>
      </c>
      <c r="Q74" s="26" cm="1">
        <f t="array" aca="1" ref="Q74" ca="1">INDIRECT("F"&amp;O74)</f>
        <v>0</v>
      </c>
    </row>
    <row r="75" spans="2:17">
      <c r="B75" s="3" t="s">
        <v>69</v>
      </c>
      <c r="C75" s="5"/>
      <c r="D75" s="3"/>
      <c r="E75" s="3"/>
      <c r="F75" s="3"/>
      <c r="G75" s="3"/>
      <c r="H75" s="3"/>
      <c r="I75" s="3"/>
      <c r="J75" s="3"/>
      <c r="K75" s="4">
        <v>46001</v>
      </c>
    </row>
    <row r="76" spans="2:17">
      <c r="B76" s="2">
        <v>47027</v>
      </c>
      <c r="C76" s="5"/>
      <c r="D76" s="3" t="s">
        <v>12</v>
      </c>
      <c r="E76" s="3" t="s">
        <v>12</v>
      </c>
      <c r="F76" s="3">
        <v>37.28</v>
      </c>
      <c r="G76" s="3" t="s">
        <v>12</v>
      </c>
      <c r="H76" s="3" t="s">
        <v>12</v>
      </c>
      <c r="I76" s="3" t="s">
        <v>12</v>
      </c>
      <c r="J76" s="3">
        <v>0</v>
      </c>
      <c r="K76" s="3" t="s">
        <v>327</v>
      </c>
    </row>
    <row r="77" spans="2:17">
      <c r="B77" s="3" t="s">
        <v>71</v>
      </c>
      <c r="C77" s="5"/>
      <c r="D77" s="3"/>
      <c r="E77" s="3"/>
      <c r="F77" s="3"/>
      <c r="G77" s="3"/>
      <c r="H77" s="3"/>
      <c r="I77" s="3"/>
      <c r="J77" s="3"/>
      <c r="K77" s="4">
        <v>46001</v>
      </c>
    </row>
    <row r="78" spans="2:17">
      <c r="B78" s="2">
        <v>47058</v>
      </c>
      <c r="C78" s="5"/>
      <c r="D78" s="3" t="s">
        <v>12</v>
      </c>
      <c r="E78" s="3" t="s">
        <v>12</v>
      </c>
      <c r="F78" s="3">
        <v>35.270000000000003</v>
      </c>
      <c r="G78" s="3" t="s">
        <v>12</v>
      </c>
      <c r="H78" s="3" t="s">
        <v>12</v>
      </c>
      <c r="I78" s="3" t="s">
        <v>12</v>
      </c>
      <c r="J78" s="3">
        <v>0</v>
      </c>
      <c r="K78" s="3" t="s">
        <v>337</v>
      </c>
    </row>
    <row r="79" spans="2:17">
      <c r="B79" s="3" t="s">
        <v>73</v>
      </c>
      <c r="C79" s="5"/>
      <c r="D79" s="3"/>
      <c r="E79" s="3"/>
      <c r="F79" s="3"/>
      <c r="G79" s="3"/>
      <c r="H79" s="3"/>
      <c r="I79" s="3"/>
      <c r="J79" s="3"/>
      <c r="K79" s="4">
        <v>46001</v>
      </c>
    </row>
    <row r="80" spans="2:17">
      <c r="B80" s="2">
        <v>47088</v>
      </c>
      <c r="C80" s="5"/>
      <c r="D80" s="3" t="s">
        <v>12</v>
      </c>
      <c r="E80" s="3" t="s">
        <v>12</v>
      </c>
      <c r="F80" s="3">
        <v>40.83</v>
      </c>
      <c r="G80" s="3" t="s">
        <v>12</v>
      </c>
      <c r="H80" s="3" t="s">
        <v>12</v>
      </c>
      <c r="I80" s="3" t="s">
        <v>12</v>
      </c>
      <c r="J80" s="3">
        <v>0</v>
      </c>
      <c r="K80" s="3" t="s">
        <v>338</v>
      </c>
    </row>
    <row r="81" spans="2:11">
      <c r="B81" s="3" t="s">
        <v>75</v>
      </c>
      <c r="C81" s="5"/>
      <c r="D81" s="3"/>
      <c r="E81" s="3"/>
      <c r="F81" s="3"/>
      <c r="G81" s="3"/>
      <c r="H81" s="3"/>
      <c r="I81" s="3"/>
      <c r="J81" s="3"/>
      <c r="K81" s="4">
        <v>46001</v>
      </c>
    </row>
    <row r="82" spans="2:11">
      <c r="B82" s="2">
        <v>47119</v>
      </c>
      <c r="C82" s="5"/>
      <c r="D82" s="3" t="s">
        <v>12</v>
      </c>
      <c r="E82" s="3" t="s">
        <v>12</v>
      </c>
      <c r="F82" s="3">
        <v>78.06</v>
      </c>
      <c r="G82" s="3" t="s">
        <v>12</v>
      </c>
      <c r="H82" s="3" t="s">
        <v>12</v>
      </c>
      <c r="I82" s="3" t="s">
        <v>12</v>
      </c>
      <c r="J82" s="3">
        <v>0</v>
      </c>
      <c r="K82" s="3" t="s">
        <v>339</v>
      </c>
    </row>
    <row r="83" spans="2:11">
      <c r="B83" s="3" t="s">
        <v>77</v>
      </c>
      <c r="C83" s="5"/>
      <c r="D83" s="3"/>
      <c r="E83" s="3"/>
      <c r="F83" s="3"/>
      <c r="G83" s="3"/>
      <c r="H83" s="3"/>
      <c r="I83" s="3"/>
      <c r="J83" s="3"/>
      <c r="K83" s="4">
        <v>46001</v>
      </c>
    </row>
    <row r="84" spans="2:11">
      <c r="B84" s="2">
        <v>47150</v>
      </c>
      <c r="C84" s="5"/>
      <c r="D84" s="3" t="s">
        <v>12</v>
      </c>
      <c r="E84" s="3" t="s">
        <v>12</v>
      </c>
      <c r="F84" s="3">
        <v>74.09</v>
      </c>
      <c r="G84" s="3" t="s">
        <v>12</v>
      </c>
      <c r="H84" s="3" t="s">
        <v>12</v>
      </c>
      <c r="I84" s="3" t="s">
        <v>12</v>
      </c>
      <c r="J84" s="3">
        <v>0</v>
      </c>
      <c r="K84" s="3" t="s">
        <v>340</v>
      </c>
    </row>
    <row r="85" spans="2:11">
      <c r="B85" s="3" t="s">
        <v>79</v>
      </c>
      <c r="C85" s="5"/>
      <c r="D85" s="3"/>
      <c r="E85" s="3"/>
      <c r="F85" s="3"/>
      <c r="G85" s="3"/>
      <c r="H85" s="3"/>
      <c r="I85" s="3"/>
      <c r="J85" s="3"/>
      <c r="K85" s="4">
        <v>46001</v>
      </c>
    </row>
    <row r="86" spans="2:11">
      <c r="B86" s="2">
        <v>47178</v>
      </c>
      <c r="C86" s="5"/>
      <c r="D86" s="3" t="s">
        <v>12</v>
      </c>
      <c r="E86" s="3" t="s">
        <v>12</v>
      </c>
      <c r="F86" s="3">
        <v>37.07</v>
      </c>
      <c r="G86" s="3" t="s">
        <v>12</v>
      </c>
      <c r="H86" s="3" t="s">
        <v>12</v>
      </c>
      <c r="I86" s="3" t="s">
        <v>12</v>
      </c>
      <c r="J86" s="3">
        <v>0</v>
      </c>
      <c r="K86" s="3" t="s">
        <v>341</v>
      </c>
    </row>
    <row r="87" spans="2:11">
      <c r="B87" s="3" t="s">
        <v>81</v>
      </c>
      <c r="C87" s="5"/>
      <c r="D87" s="3"/>
      <c r="E87" s="3"/>
      <c r="F87" s="3"/>
      <c r="G87" s="3"/>
      <c r="H87" s="3"/>
      <c r="I87" s="3"/>
      <c r="J87" s="3"/>
      <c r="K87" s="4">
        <v>46001</v>
      </c>
    </row>
    <row r="88" spans="2:11">
      <c r="B88" s="2">
        <v>47209</v>
      </c>
      <c r="C88" s="5"/>
      <c r="D88" s="3" t="s">
        <v>12</v>
      </c>
      <c r="E88" s="3" t="s">
        <v>12</v>
      </c>
      <c r="F88" s="3">
        <v>33.76</v>
      </c>
      <c r="G88" s="3" t="s">
        <v>12</v>
      </c>
      <c r="H88" s="3" t="s">
        <v>12</v>
      </c>
      <c r="I88" s="3" t="s">
        <v>12</v>
      </c>
      <c r="J88" s="3">
        <v>0</v>
      </c>
      <c r="K88" s="3" t="s">
        <v>342</v>
      </c>
    </row>
    <row r="89" spans="2:11">
      <c r="B89" s="3" t="s">
        <v>83</v>
      </c>
      <c r="C89" s="5"/>
      <c r="D89" s="3"/>
      <c r="E89" s="3"/>
      <c r="F89" s="3"/>
      <c r="G89" s="3"/>
      <c r="H89" s="3"/>
      <c r="I89" s="3"/>
      <c r="J89" s="3"/>
      <c r="K89" s="4">
        <v>46001</v>
      </c>
    </row>
    <row r="90" spans="2:11">
      <c r="B90" s="2">
        <v>47239</v>
      </c>
      <c r="C90" s="5"/>
      <c r="D90" s="3" t="s">
        <v>12</v>
      </c>
      <c r="E90" s="3" t="s">
        <v>12</v>
      </c>
      <c r="F90" s="3">
        <v>34.53</v>
      </c>
      <c r="G90" s="3" t="s">
        <v>12</v>
      </c>
      <c r="H90" s="3" t="s">
        <v>12</v>
      </c>
      <c r="I90" s="3" t="s">
        <v>12</v>
      </c>
      <c r="J90" s="3">
        <v>0</v>
      </c>
      <c r="K90" s="3" t="s">
        <v>343</v>
      </c>
    </row>
    <row r="91" spans="2:11">
      <c r="B91" s="3" t="s">
        <v>85</v>
      </c>
      <c r="C91" s="5"/>
      <c r="D91" s="3"/>
      <c r="E91" s="3"/>
      <c r="F91" s="3"/>
      <c r="G91" s="3"/>
      <c r="H91" s="3"/>
      <c r="I91" s="3"/>
      <c r="J91" s="3"/>
      <c r="K91" s="4">
        <v>46001</v>
      </c>
    </row>
    <row r="92" spans="2:11">
      <c r="B92" s="2">
        <v>47270</v>
      </c>
      <c r="C92" s="5"/>
      <c r="D92" s="3" t="s">
        <v>12</v>
      </c>
      <c r="E92" s="3" t="s">
        <v>12</v>
      </c>
      <c r="F92" s="3">
        <v>43.77</v>
      </c>
      <c r="G92" s="3" t="s">
        <v>12</v>
      </c>
      <c r="H92" s="3" t="s">
        <v>12</v>
      </c>
      <c r="I92" s="3" t="s">
        <v>12</v>
      </c>
      <c r="J92" s="3">
        <v>0</v>
      </c>
      <c r="K92" s="3" t="s">
        <v>341</v>
      </c>
    </row>
    <row r="93" spans="2:11">
      <c r="B93" s="3" t="s">
        <v>87</v>
      </c>
      <c r="C93" s="5"/>
      <c r="D93" s="3"/>
      <c r="E93" s="3"/>
      <c r="F93" s="3"/>
      <c r="G93" s="3"/>
      <c r="H93" s="3"/>
      <c r="I93" s="3"/>
      <c r="J93" s="3"/>
      <c r="K93" s="4">
        <v>46001</v>
      </c>
    </row>
    <row r="94" spans="2:11">
      <c r="B94" s="2">
        <v>47300</v>
      </c>
      <c r="C94" s="5"/>
      <c r="D94" s="3" t="s">
        <v>12</v>
      </c>
      <c r="E94" s="3" t="s">
        <v>12</v>
      </c>
      <c r="F94" s="3">
        <v>70.53</v>
      </c>
      <c r="G94" s="3" t="s">
        <v>12</v>
      </c>
      <c r="H94" s="3" t="s">
        <v>12</v>
      </c>
      <c r="I94" s="3" t="s">
        <v>12</v>
      </c>
      <c r="J94" s="3">
        <v>0</v>
      </c>
      <c r="K94" s="3" t="s">
        <v>342</v>
      </c>
    </row>
    <row r="95" spans="2:11">
      <c r="B95" s="3" t="s">
        <v>88</v>
      </c>
      <c r="C95" s="5"/>
      <c r="D95" s="3"/>
      <c r="E95" s="3"/>
      <c r="F95" s="3"/>
      <c r="G95" s="3"/>
      <c r="H95" s="3"/>
      <c r="I95" s="3"/>
      <c r="J95" s="3"/>
      <c r="K95" s="4">
        <v>46001</v>
      </c>
    </row>
    <row r="96" spans="2:11">
      <c r="B96" s="2">
        <v>47331</v>
      </c>
      <c r="C96" s="5"/>
      <c r="D96" s="3" t="s">
        <v>12</v>
      </c>
      <c r="E96" s="3" t="s">
        <v>12</v>
      </c>
      <c r="F96" s="3">
        <v>94.3</v>
      </c>
      <c r="G96" s="3" t="s">
        <v>12</v>
      </c>
      <c r="H96" s="3" t="s">
        <v>12</v>
      </c>
      <c r="I96" s="3" t="s">
        <v>12</v>
      </c>
      <c r="J96" s="3">
        <v>0</v>
      </c>
      <c r="K96" s="3" t="s">
        <v>344</v>
      </c>
    </row>
    <row r="97" spans="2:11">
      <c r="B97" s="3" t="s">
        <v>89</v>
      </c>
      <c r="C97" s="5"/>
      <c r="D97" s="3"/>
      <c r="E97" s="3"/>
      <c r="F97" s="3"/>
      <c r="G97" s="3"/>
      <c r="H97" s="3"/>
      <c r="I97" s="3"/>
      <c r="J97" s="3"/>
      <c r="K97" s="4">
        <v>46001</v>
      </c>
    </row>
    <row r="98" spans="2:11">
      <c r="B98" s="2">
        <v>47362</v>
      </c>
      <c r="C98" s="5"/>
      <c r="D98" s="3" t="s">
        <v>12</v>
      </c>
      <c r="E98" s="3" t="s">
        <v>12</v>
      </c>
      <c r="F98" s="3">
        <v>46.58</v>
      </c>
      <c r="G98" s="3" t="s">
        <v>12</v>
      </c>
      <c r="H98" s="3" t="s">
        <v>12</v>
      </c>
      <c r="I98" s="3" t="s">
        <v>12</v>
      </c>
      <c r="J98" s="3">
        <v>0</v>
      </c>
      <c r="K98" s="3" t="s">
        <v>345</v>
      </c>
    </row>
    <row r="99" spans="2:11">
      <c r="B99" s="3" t="s">
        <v>90</v>
      </c>
      <c r="C99" s="5"/>
      <c r="D99" s="3"/>
      <c r="E99" s="3"/>
      <c r="F99" s="3"/>
      <c r="G99" s="3"/>
      <c r="H99" s="3"/>
      <c r="I99" s="3"/>
      <c r="J99" s="3"/>
      <c r="K99" s="4">
        <v>46001</v>
      </c>
    </row>
    <row r="100" spans="2:11">
      <c r="B100" s="2">
        <v>47392</v>
      </c>
      <c r="C100" s="5"/>
      <c r="D100" s="3" t="s">
        <v>12</v>
      </c>
      <c r="E100" s="3" t="s">
        <v>12</v>
      </c>
      <c r="F100" s="3">
        <v>37.33</v>
      </c>
      <c r="G100" s="3" t="s">
        <v>12</v>
      </c>
      <c r="H100" s="3" t="s">
        <v>12</v>
      </c>
      <c r="I100" s="3" t="s">
        <v>12</v>
      </c>
      <c r="J100" s="3">
        <v>0</v>
      </c>
      <c r="K100" s="3" t="s">
        <v>346</v>
      </c>
    </row>
    <row r="101" spans="2:11">
      <c r="B101" s="3" t="s">
        <v>92</v>
      </c>
      <c r="C101" s="5"/>
      <c r="D101" s="3"/>
      <c r="E101" s="3"/>
      <c r="F101" s="3"/>
      <c r="G101" s="3"/>
      <c r="H101" s="3"/>
      <c r="I101" s="3"/>
      <c r="J101" s="3"/>
      <c r="K101" s="4">
        <v>46001</v>
      </c>
    </row>
    <row r="102" spans="2:11">
      <c r="B102" s="2">
        <v>47423</v>
      </c>
      <c r="C102" s="5"/>
      <c r="D102" s="3" t="s">
        <v>12</v>
      </c>
      <c r="E102" s="3" t="s">
        <v>12</v>
      </c>
      <c r="F102" s="3">
        <v>34.94</v>
      </c>
      <c r="G102" s="3" t="s">
        <v>12</v>
      </c>
      <c r="H102" s="3" t="s">
        <v>12</v>
      </c>
      <c r="I102" s="3" t="s">
        <v>12</v>
      </c>
      <c r="J102" s="3">
        <v>0</v>
      </c>
      <c r="K102" s="3" t="s">
        <v>340</v>
      </c>
    </row>
    <row r="103" spans="2:11">
      <c r="B103" s="3" t="s">
        <v>94</v>
      </c>
      <c r="C103" s="5"/>
      <c r="D103" s="3"/>
      <c r="E103" s="3"/>
      <c r="F103" s="3"/>
      <c r="G103" s="3"/>
      <c r="H103" s="3"/>
      <c r="I103" s="3"/>
      <c r="J103" s="3"/>
      <c r="K103" s="4">
        <v>46001</v>
      </c>
    </row>
    <row r="104" spans="2:11">
      <c r="B104" s="2">
        <v>47453</v>
      </c>
      <c r="C104" s="5"/>
      <c r="D104" s="3" t="s">
        <v>12</v>
      </c>
      <c r="E104" s="3" t="s">
        <v>12</v>
      </c>
      <c r="F104" s="3">
        <v>40.799999999999997</v>
      </c>
      <c r="G104" s="3" t="s">
        <v>12</v>
      </c>
      <c r="H104" s="3" t="s">
        <v>12</v>
      </c>
      <c r="I104" s="3" t="s">
        <v>12</v>
      </c>
      <c r="J104" s="3">
        <v>0</v>
      </c>
      <c r="K104" s="3" t="s">
        <v>342</v>
      </c>
    </row>
    <row r="105" spans="2:11">
      <c r="B105" s="3" t="s">
        <v>95</v>
      </c>
      <c r="C105" s="5"/>
      <c r="D105" s="3"/>
      <c r="E105" s="3"/>
      <c r="F105" s="3"/>
      <c r="G105" s="3"/>
      <c r="H105" s="3"/>
      <c r="I105" s="3"/>
      <c r="J105" s="3"/>
      <c r="K105" s="4">
        <v>46001</v>
      </c>
    </row>
    <row r="106" spans="2:11">
      <c r="B106" s="2">
        <v>47484</v>
      </c>
      <c r="C106" s="5"/>
      <c r="D106" s="3" t="s">
        <v>12</v>
      </c>
      <c r="E106" s="3" t="s">
        <v>12</v>
      </c>
      <c r="F106" s="3">
        <v>0</v>
      </c>
      <c r="G106" s="3" t="s">
        <v>12</v>
      </c>
      <c r="H106" s="3" t="s">
        <v>12</v>
      </c>
      <c r="I106" s="3" t="s">
        <v>12</v>
      </c>
      <c r="J106" s="3">
        <v>0</v>
      </c>
      <c r="K106" s="3" t="s">
        <v>347</v>
      </c>
    </row>
    <row r="107" spans="2:11">
      <c r="B107" s="3" t="s">
        <v>96</v>
      </c>
      <c r="C107" s="5"/>
      <c r="D107" s="3"/>
      <c r="E107" s="3"/>
      <c r="F107" s="3"/>
      <c r="G107" s="3"/>
      <c r="H107" s="3"/>
      <c r="I107" s="3"/>
      <c r="J107" s="3"/>
      <c r="K107" s="4">
        <v>46001</v>
      </c>
    </row>
    <row r="108" spans="2:11">
      <c r="B108" s="2">
        <v>47515</v>
      </c>
      <c r="C108" s="5"/>
      <c r="D108" s="3" t="s">
        <v>12</v>
      </c>
      <c r="E108" s="3" t="s">
        <v>12</v>
      </c>
      <c r="F108" s="3">
        <v>0</v>
      </c>
      <c r="G108" s="3" t="s">
        <v>12</v>
      </c>
      <c r="H108" s="3" t="s">
        <v>12</v>
      </c>
      <c r="I108" s="3" t="s">
        <v>12</v>
      </c>
      <c r="J108" s="3">
        <v>0</v>
      </c>
      <c r="K108" s="3" t="s">
        <v>348</v>
      </c>
    </row>
    <row r="109" spans="2:11">
      <c r="B109" s="3" t="s">
        <v>98</v>
      </c>
      <c r="C109" s="5"/>
      <c r="D109" s="3"/>
      <c r="E109" s="3"/>
      <c r="F109" s="3"/>
      <c r="G109" s="3"/>
      <c r="H109" s="3"/>
      <c r="I109" s="3"/>
      <c r="J109" s="3"/>
      <c r="K109" s="4">
        <v>46001</v>
      </c>
    </row>
    <row r="110" spans="2:11">
      <c r="B110" s="2">
        <v>47543</v>
      </c>
      <c r="C110" s="5"/>
      <c r="D110" s="3" t="s">
        <v>12</v>
      </c>
      <c r="E110" s="3" t="s">
        <v>12</v>
      </c>
      <c r="F110" s="3">
        <v>0</v>
      </c>
      <c r="G110" s="3" t="s">
        <v>12</v>
      </c>
      <c r="H110" s="3" t="s">
        <v>12</v>
      </c>
      <c r="I110" s="3" t="s">
        <v>12</v>
      </c>
      <c r="J110" s="3">
        <v>0</v>
      </c>
      <c r="K110" s="3" t="s">
        <v>322</v>
      </c>
    </row>
    <row r="111" spans="2:11">
      <c r="B111" s="3" t="s">
        <v>100</v>
      </c>
      <c r="C111" s="5"/>
      <c r="D111" s="3"/>
      <c r="E111" s="3"/>
      <c r="F111" s="3"/>
      <c r="G111" s="3"/>
      <c r="H111" s="3"/>
      <c r="I111" s="3"/>
      <c r="J111" s="3"/>
      <c r="K111" s="4">
        <v>46001</v>
      </c>
    </row>
    <row r="112" spans="2:11">
      <c r="B112" s="2">
        <v>47574</v>
      </c>
      <c r="C112" s="5"/>
      <c r="D112" s="3" t="s">
        <v>12</v>
      </c>
      <c r="E112" s="3" t="s">
        <v>12</v>
      </c>
      <c r="F112" s="3">
        <v>0</v>
      </c>
      <c r="G112" s="3" t="s">
        <v>12</v>
      </c>
      <c r="H112" s="3" t="s">
        <v>12</v>
      </c>
      <c r="I112" s="3" t="s">
        <v>12</v>
      </c>
      <c r="J112" s="3">
        <v>0</v>
      </c>
      <c r="K112" s="3" t="s">
        <v>349</v>
      </c>
    </row>
    <row r="113" spans="2:11">
      <c r="B113" s="3" t="s">
        <v>102</v>
      </c>
      <c r="C113" s="5"/>
      <c r="D113" s="3"/>
      <c r="E113" s="3"/>
      <c r="F113" s="3"/>
      <c r="G113" s="3"/>
      <c r="H113" s="3"/>
      <c r="I113" s="3"/>
      <c r="J113" s="3"/>
      <c r="K113" s="4">
        <v>46001</v>
      </c>
    </row>
    <row r="114" spans="2:11">
      <c r="B114" s="2">
        <v>47604</v>
      </c>
      <c r="C114" s="5"/>
      <c r="D114" s="3" t="s">
        <v>12</v>
      </c>
      <c r="E114" s="3" t="s">
        <v>12</v>
      </c>
      <c r="F114" s="3">
        <v>0</v>
      </c>
      <c r="G114" s="3" t="s">
        <v>12</v>
      </c>
      <c r="H114" s="3" t="s">
        <v>12</v>
      </c>
      <c r="I114" s="3" t="s">
        <v>12</v>
      </c>
      <c r="J114" s="3">
        <v>0</v>
      </c>
      <c r="K114" s="3" t="s">
        <v>322</v>
      </c>
    </row>
    <row r="115" spans="2:11">
      <c r="B115" s="3" t="s">
        <v>104</v>
      </c>
      <c r="C115" s="5"/>
      <c r="D115" s="3"/>
      <c r="E115" s="3"/>
      <c r="F115" s="3"/>
      <c r="G115" s="3"/>
      <c r="H115" s="3"/>
      <c r="I115" s="3"/>
      <c r="J115" s="3"/>
      <c r="K115" s="4">
        <v>46001</v>
      </c>
    </row>
    <row r="116" spans="2:11">
      <c r="B116" s="2">
        <v>47635</v>
      </c>
      <c r="C116" s="5"/>
      <c r="D116" s="3" t="s">
        <v>12</v>
      </c>
      <c r="E116" s="3" t="s">
        <v>12</v>
      </c>
      <c r="F116" s="3">
        <v>25.06</v>
      </c>
      <c r="G116" s="3" t="s">
        <v>12</v>
      </c>
      <c r="H116" s="3" t="s">
        <v>12</v>
      </c>
      <c r="I116" s="3" t="s">
        <v>12</v>
      </c>
      <c r="J116" s="3">
        <v>0</v>
      </c>
      <c r="K116" s="3" t="s">
        <v>344</v>
      </c>
    </row>
    <row r="117" spans="2:11">
      <c r="B117" s="3" t="s">
        <v>105</v>
      </c>
      <c r="C117" s="5"/>
      <c r="D117" s="3"/>
      <c r="E117" s="3"/>
      <c r="F117" s="3"/>
      <c r="G117" s="3"/>
      <c r="H117" s="3"/>
      <c r="I117" s="3"/>
      <c r="J117" s="3"/>
      <c r="K117" s="4">
        <v>46001</v>
      </c>
    </row>
    <row r="118" spans="2:11">
      <c r="B118" s="2">
        <v>47665</v>
      </c>
      <c r="C118" s="5"/>
      <c r="D118" s="3" t="s">
        <v>12</v>
      </c>
      <c r="E118" s="3" t="s">
        <v>12</v>
      </c>
      <c r="F118" s="3">
        <v>0</v>
      </c>
      <c r="G118" s="3" t="s">
        <v>12</v>
      </c>
      <c r="H118" s="3" t="s">
        <v>12</v>
      </c>
      <c r="I118" s="3" t="s">
        <v>12</v>
      </c>
      <c r="J118" s="3">
        <v>0</v>
      </c>
      <c r="K118" s="3" t="s">
        <v>349</v>
      </c>
    </row>
    <row r="119" spans="2:11">
      <c r="B119" s="3" t="s">
        <v>107</v>
      </c>
      <c r="C119" s="5"/>
      <c r="D119" s="3"/>
      <c r="E119" s="3"/>
      <c r="F119" s="3"/>
      <c r="G119" s="3"/>
      <c r="H119" s="3"/>
      <c r="I119" s="3"/>
      <c r="J119" s="3"/>
      <c r="K119" s="4">
        <v>46001</v>
      </c>
    </row>
    <row r="120" spans="2:11">
      <c r="B120" s="2">
        <v>47696</v>
      </c>
      <c r="C120" s="5"/>
      <c r="D120" s="3" t="s">
        <v>12</v>
      </c>
      <c r="E120" s="3" t="s">
        <v>12</v>
      </c>
      <c r="F120" s="3">
        <v>0</v>
      </c>
      <c r="G120" s="3" t="s">
        <v>12</v>
      </c>
      <c r="H120" s="3" t="s">
        <v>12</v>
      </c>
      <c r="I120" s="3" t="s">
        <v>12</v>
      </c>
      <c r="J120" s="3">
        <v>0</v>
      </c>
      <c r="K120" s="3" t="s">
        <v>322</v>
      </c>
    </row>
    <row r="121" spans="2:11">
      <c r="B121" s="3" t="s">
        <v>108</v>
      </c>
      <c r="C121" s="5"/>
      <c r="D121" s="3"/>
      <c r="E121" s="3"/>
      <c r="F121" s="3"/>
      <c r="G121" s="3"/>
      <c r="H121" s="3"/>
      <c r="I121" s="3"/>
      <c r="J121" s="3"/>
      <c r="K121" s="4">
        <v>46001</v>
      </c>
    </row>
    <row r="122" spans="2:11">
      <c r="B122" s="2">
        <v>47727</v>
      </c>
      <c r="C122" s="5"/>
      <c r="D122" s="3" t="s">
        <v>12</v>
      </c>
      <c r="E122" s="3" t="s">
        <v>12</v>
      </c>
      <c r="F122" s="3">
        <v>0</v>
      </c>
      <c r="G122" s="3" t="s">
        <v>12</v>
      </c>
      <c r="H122" s="3" t="s">
        <v>12</v>
      </c>
      <c r="I122" s="3" t="s">
        <v>12</v>
      </c>
      <c r="J122" s="3">
        <v>0</v>
      </c>
      <c r="K122" s="3" t="s">
        <v>350</v>
      </c>
    </row>
    <row r="123" spans="2:11">
      <c r="B123" s="3" t="s">
        <v>109</v>
      </c>
      <c r="C123" s="5"/>
      <c r="D123" s="3"/>
      <c r="E123" s="3"/>
      <c r="F123" s="3"/>
      <c r="G123" s="3"/>
      <c r="H123" s="3"/>
      <c r="I123" s="3"/>
      <c r="J123" s="3"/>
      <c r="K123" s="4">
        <v>46001</v>
      </c>
    </row>
    <row r="124" spans="2:11">
      <c r="B124" s="2">
        <v>47757</v>
      </c>
      <c r="C124" s="5"/>
      <c r="D124" s="3" t="s">
        <v>12</v>
      </c>
      <c r="E124" s="3" t="s">
        <v>12</v>
      </c>
      <c r="F124" s="3">
        <v>0</v>
      </c>
      <c r="G124" s="3" t="s">
        <v>12</v>
      </c>
      <c r="H124" s="3" t="s">
        <v>12</v>
      </c>
      <c r="I124" s="3" t="s">
        <v>12</v>
      </c>
      <c r="J124" s="3">
        <v>0</v>
      </c>
      <c r="K124" s="3" t="s">
        <v>351</v>
      </c>
    </row>
    <row r="125" spans="2:11">
      <c r="B125" s="3" t="s">
        <v>110</v>
      </c>
      <c r="C125" s="5"/>
      <c r="D125" s="3"/>
      <c r="E125" s="3"/>
      <c r="F125" s="3"/>
      <c r="G125" s="3"/>
      <c r="H125" s="3"/>
      <c r="I125" s="3"/>
      <c r="J125" s="3"/>
      <c r="K125" s="4">
        <v>46001</v>
      </c>
    </row>
    <row r="126" spans="2:11">
      <c r="B126" s="2">
        <v>47788</v>
      </c>
      <c r="C126" s="5"/>
      <c r="D126" s="3" t="s">
        <v>12</v>
      </c>
      <c r="E126" s="3" t="s">
        <v>12</v>
      </c>
      <c r="F126" s="3">
        <v>0</v>
      </c>
      <c r="G126" s="3" t="s">
        <v>12</v>
      </c>
      <c r="H126" s="3" t="s">
        <v>12</v>
      </c>
      <c r="I126" s="3" t="s">
        <v>12</v>
      </c>
      <c r="J126" s="3">
        <v>0</v>
      </c>
      <c r="K126" s="3" t="s">
        <v>352</v>
      </c>
    </row>
    <row r="127" spans="2:11">
      <c r="B127" s="3" t="s">
        <v>112</v>
      </c>
      <c r="C127" s="5"/>
      <c r="D127" s="3"/>
      <c r="E127" s="3"/>
      <c r="F127" s="3"/>
      <c r="G127" s="3"/>
      <c r="H127" s="3"/>
      <c r="I127" s="3"/>
      <c r="J127" s="3"/>
      <c r="K127" s="4">
        <v>46001</v>
      </c>
    </row>
    <row r="128" spans="2:11">
      <c r="B128" s="2">
        <v>47818</v>
      </c>
      <c r="C128" s="5"/>
      <c r="D128" s="3" t="s">
        <v>12</v>
      </c>
      <c r="E128" s="3" t="s">
        <v>12</v>
      </c>
      <c r="F128" s="3">
        <v>0</v>
      </c>
      <c r="G128" s="3" t="s">
        <v>12</v>
      </c>
      <c r="H128" s="3" t="s">
        <v>12</v>
      </c>
      <c r="I128" s="3" t="s">
        <v>12</v>
      </c>
      <c r="J128" s="3">
        <v>0</v>
      </c>
      <c r="K128" s="3" t="s">
        <v>322</v>
      </c>
    </row>
    <row r="129" spans="2:11">
      <c r="B129" s="3" t="s">
        <v>114</v>
      </c>
      <c r="C129" s="5"/>
      <c r="D129" s="3"/>
      <c r="E129" s="3"/>
      <c r="F129" s="3"/>
      <c r="G129" s="3"/>
      <c r="H129" s="3"/>
      <c r="I129" s="3"/>
      <c r="J129" s="3"/>
      <c r="K129" s="4">
        <v>46001</v>
      </c>
    </row>
    <row r="130" spans="2:11">
      <c r="B130" s="2">
        <v>47849</v>
      </c>
      <c r="C130" s="5"/>
      <c r="D130" s="3" t="s">
        <v>12</v>
      </c>
      <c r="E130" s="3" t="s">
        <v>12</v>
      </c>
      <c r="F130" s="3">
        <v>0</v>
      </c>
      <c r="G130" s="3" t="s">
        <v>12</v>
      </c>
      <c r="H130" s="3" t="s">
        <v>12</v>
      </c>
      <c r="I130" s="3" t="s">
        <v>12</v>
      </c>
      <c r="J130" s="3">
        <v>0</v>
      </c>
      <c r="K130" s="3" t="s">
        <v>353</v>
      </c>
    </row>
    <row r="131" spans="2:11">
      <c r="B131" s="3" t="s">
        <v>115</v>
      </c>
      <c r="C131" s="5"/>
      <c r="D131" s="3"/>
      <c r="E131" s="3"/>
      <c r="F131" s="3"/>
      <c r="G131" s="3"/>
      <c r="H131" s="3"/>
      <c r="I131" s="3"/>
      <c r="J131" s="3"/>
      <c r="K131" s="4">
        <v>46001</v>
      </c>
    </row>
    <row r="132" spans="2:11">
      <c r="B132" s="2">
        <v>47880</v>
      </c>
      <c r="C132" s="5"/>
      <c r="D132" s="3" t="s">
        <v>12</v>
      </c>
      <c r="E132" s="3" t="s">
        <v>12</v>
      </c>
      <c r="F132" s="3">
        <v>0</v>
      </c>
      <c r="G132" s="3" t="s">
        <v>12</v>
      </c>
      <c r="H132" s="3" t="s">
        <v>12</v>
      </c>
      <c r="I132" s="3" t="s">
        <v>12</v>
      </c>
      <c r="J132" s="3">
        <v>0</v>
      </c>
      <c r="K132" s="3" t="s">
        <v>353</v>
      </c>
    </row>
    <row r="133" spans="2:11">
      <c r="B133" s="3" t="s">
        <v>117</v>
      </c>
      <c r="C133" s="5"/>
      <c r="D133" s="3"/>
      <c r="E133" s="3"/>
      <c r="F133" s="3"/>
      <c r="G133" s="3"/>
      <c r="H133" s="3"/>
      <c r="I133" s="3"/>
      <c r="J133" s="3"/>
      <c r="K133" s="4">
        <v>46001</v>
      </c>
    </row>
    <row r="134" spans="2:11">
      <c r="B134" s="2">
        <v>47908</v>
      </c>
      <c r="C134" s="5"/>
      <c r="D134" s="3" t="s">
        <v>12</v>
      </c>
      <c r="E134" s="3" t="s">
        <v>12</v>
      </c>
      <c r="F134" s="3">
        <v>0</v>
      </c>
      <c r="G134" s="3" t="s">
        <v>12</v>
      </c>
      <c r="H134" s="3" t="s">
        <v>12</v>
      </c>
      <c r="I134" s="3" t="s">
        <v>12</v>
      </c>
      <c r="J134" s="3">
        <v>0</v>
      </c>
      <c r="K134" s="3" t="s">
        <v>343</v>
      </c>
    </row>
    <row r="135" spans="2:11">
      <c r="B135" s="3" t="s">
        <v>118</v>
      </c>
      <c r="C135" s="5"/>
      <c r="D135" s="3"/>
      <c r="E135" s="3"/>
      <c r="F135" s="3"/>
      <c r="G135" s="3"/>
      <c r="H135" s="3"/>
      <c r="I135" s="3"/>
      <c r="J135" s="3"/>
      <c r="K135" s="4">
        <v>46001</v>
      </c>
    </row>
    <row r="136" spans="2:11">
      <c r="B136" s="2">
        <v>47939</v>
      </c>
      <c r="C136" s="5"/>
      <c r="D136" s="3" t="s">
        <v>12</v>
      </c>
      <c r="E136" s="3" t="s">
        <v>12</v>
      </c>
      <c r="F136" s="3">
        <v>0</v>
      </c>
      <c r="G136" s="3" t="s">
        <v>12</v>
      </c>
      <c r="H136" s="3" t="s">
        <v>12</v>
      </c>
      <c r="I136" s="3" t="s">
        <v>12</v>
      </c>
      <c r="J136" s="3">
        <v>0</v>
      </c>
      <c r="K136" s="3" t="s">
        <v>353</v>
      </c>
    </row>
    <row r="137" spans="2:11">
      <c r="B137" s="3" t="s">
        <v>119</v>
      </c>
      <c r="C137" s="5"/>
      <c r="D137" s="3"/>
      <c r="E137" s="3"/>
      <c r="F137" s="3"/>
      <c r="G137" s="3"/>
      <c r="H137" s="3"/>
      <c r="I137" s="3"/>
      <c r="J137" s="3"/>
      <c r="K137" s="4">
        <v>46001</v>
      </c>
    </row>
    <row r="138" spans="2:11">
      <c r="B138" s="2">
        <v>47969</v>
      </c>
      <c r="C138" s="5"/>
      <c r="D138" s="3" t="s">
        <v>12</v>
      </c>
      <c r="E138" s="3" t="s">
        <v>12</v>
      </c>
      <c r="F138" s="3">
        <v>0</v>
      </c>
      <c r="G138" s="3" t="s">
        <v>12</v>
      </c>
      <c r="H138" s="3" t="s">
        <v>12</v>
      </c>
      <c r="I138" s="3" t="s">
        <v>12</v>
      </c>
      <c r="J138" s="3">
        <v>0</v>
      </c>
      <c r="K138" s="3" t="s">
        <v>353</v>
      </c>
    </row>
    <row r="139" spans="2:11">
      <c r="B139" s="3" t="s">
        <v>120</v>
      </c>
      <c r="C139" s="5"/>
      <c r="D139" s="3"/>
      <c r="E139" s="3"/>
      <c r="F139" s="3"/>
      <c r="G139" s="3"/>
      <c r="H139" s="3"/>
      <c r="I139" s="3"/>
      <c r="J139" s="3"/>
      <c r="K139" s="4">
        <v>46001</v>
      </c>
    </row>
    <row r="140" spans="2:11">
      <c r="B140" s="2">
        <v>48000</v>
      </c>
      <c r="C140" s="5"/>
      <c r="D140" s="3" t="s">
        <v>12</v>
      </c>
      <c r="E140" s="3" t="s">
        <v>12</v>
      </c>
      <c r="F140" s="3">
        <v>0</v>
      </c>
      <c r="G140" s="3" t="s">
        <v>12</v>
      </c>
      <c r="H140" s="3" t="s">
        <v>12</v>
      </c>
      <c r="I140" s="3" t="s">
        <v>12</v>
      </c>
      <c r="J140" s="3">
        <v>0</v>
      </c>
      <c r="K140" s="3" t="s">
        <v>354</v>
      </c>
    </row>
    <row r="141" spans="2:11">
      <c r="B141" s="3" t="s">
        <v>121</v>
      </c>
      <c r="C141" s="5"/>
      <c r="D141" s="3"/>
      <c r="E141" s="3"/>
      <c r="F141" s="3"/>
      <c r="G141" s="3"/>
      <c r="H141" s="3"/>
      <c r="I141" s="3"/>
      <c r="J141" s="3"/>
      <c r="K141" s="4">
        <v>46001</v>
      </c>
    </row>
    <row r="142" spans="2:11">
      <c r="B142" s="2">
        <v>48030</v>
      </c>
      <c r="C142" s="5"/>
      <c r="D142" s="3" t="s">
        <v>12</v>
      </c>
      <c r="E142" s="3" t="s">
        <v>12</v>
      </c>
      <c r="F142" s="3">
        <v>0</v>
      </c>
      <c r="G142" s="3" t="s">
        <v>12</v>
      </c>
      <c r="H142" s="3" t="s">
        <v>12</v>
      </c>
      <c r="I142" s="3" t="s">
        <v>12</v>
      </c>
      <c r="J142" s="3">
        <v>0</v>
      </c>
      <c r="K142" s="3" t="s">
        <v>343</v>
      </c>
    </row>
    <row r="143" spans="2:11">
      <c r="B143" s="3" t="s">
        <v>123</v>
      </c>
      <c r="C143" s="5"/>
      <c r="D143" s="3"/>
      <c r="E143" s="3"/>
      <c r="F143" s="3"/>
      <c r="G143" s="3"/>
      <c r="H143" s="3"/>
      <c r="I143" s="3"/>
      <c r="J143" s="3"/>
      <c r="K143" s="4">
        <v>46001</v>
      </c>
    </row>
    <row r="144" spans="2:11">
      <c r="B144" s="2">
        <v>48061</v>
      </c>
      <c r="C144" s="5"/>
      <c r="D144" s="3" t="s">
        <v>12</v>
      </c>
      <c r="E144" s="3" t="s">
        <v>12</v>
      </c>
      <c r="F144" s="3">
        <v>0</v>
      </c>
      <c r="G144" s="3" t="s">
        <v>12</v>
      </c>
      <c r="H144" s="3" t="s">
        <v>12</v>
      </c>
      <c r="I144" s="3" t="s">
        <v>12</v>
      </c>
      <c r="J144" s="3">
        <v>0</v>
      </c>
      <c r="K144" s="3" t="s">
        <v>343</v>
      </c>
    </row>
    <row r="145" spans="2:11">
      <c r="B145" s="3" t="s">
        <v>124</v>
      </c>
      <c r="C145" s="5"/>
      <c r="D145" s="3"/>
      <c r="E145" s="3"/>
      <c r="F145" s="3"/>
      <c r="G145" s="3"/>
      <c r="H145" s="3"/>
      <c r="I145" s="3"/>
      <c r="J145" s="3"/>
      <c r="K145" s="4">
        <v>46001</v>
      </c>
    </row>
    <row r="146" spans="2:11">
      <c r="B146" s="2">
        <v>48092</v>
      </c>
      <c r="C146" s="5"/>
      <c r="D146" s="3" t="s">
        <v>12</v>
      </c>
      <c r="E146" s="3" t="s">
        <v>12</v>
      </c>
      <c r="F146" s="3">
        <v>0</v>
      </c>
      <c r="G146" s="3" t="s">
        <v>12</v>
      </c>
      <c r="H146" s="3" t="s">
        <v>12</v>
      </c>
      <c r="I146" s="3" t="s">
        <v>12</v>
      </c>
      <c r="J146" s="3">
        <v>0</v>
      </c>
      <c r="K146" s="3" t="s">
        <v>354</v>
      </c>
    </row>
    <row r="147" spans="2:11">
      <c r="B147" s="3" t="s">
        <v>125</v>
      </c>
      <c r="C147" s="5"/>
      <c r="D147" s="3"/>
      <c r="E147" s="3"/>
      <c r="F147" s="3"/>
      <c r="G147" s="3"/>
      <c r="H147" s="3"/>
      <c r="I147" s="3"/>
      <c r="J147" s="3"/>
      <c r="K147" s="4">
        <v>46001</v>
      </c>
    </row>
    <row r="148" spans="2:11">
      <c r="B148" s="2">
        <v>48122</v>
      </c>
      <c r="C148" s="5"/>
      <c r="D148" s="3" t="s">
        <v>12</v>
      </c>
      <c r="E148" s="3" t="s">
        <v>12</v>
      </c>
      <c r="F148" s="3">
        <v>0</v>
      </c>
      <c r="G148" s="3" t="s">
        <v>12</v>
      </c>
      <c r="H148" s="3" t="s">
        <v>12</v>
      </c>
      <c r="I148" s="3" t="s">
        <v>12</v>
      </c>
      <c r="J148" s="3">
        <v>0</v>
      </c>
      <c r="K148" s="3" t="s">
        <v>333</v>
      </c>
    </row>
    <row r="149" spans="2:11">
      <c r="B149" s="3" t="s">
        <v>126</v>
      </c>
      <c r="C149" s="5"/>
      <c r="D149" s="3"/>
      <c r="E149" s="3"/>
      <c r="F149" s="3"/>
      <c r="G149" s="3"/>
      <c r="H149" s="3"/>
      <c r="I149" s="3"/>
      <c r="J149" s="3"/>
      <c r="K149" s="4">
        <v>46001</v>
      </c>
    </row>
    <row r="150" spans="2:11">
      <c r="B150" s="2">
        <v>48153</v>
      </c>
      <c r="C150" s="5"/>
      <c r="D150" s="3" t="s">
        <v>12</v>
      </c>
      <c r="E150" s="3" t="s">
        <v>12</v>
      </c>
      <c r="F150" s="3">
        <v>0</v>
      </c>
      <c r="G150" s="3" t="s">
        <v>12</v>
      </c>
      <c r="H150" s="3" t="s">
        <v>12</v>
      </c>
      <c r="I150" s="3" t="s">
        <v>12</v>
      </c>
      <c r="J150" s="3">
        <v>0</v>
      </c>
      <c r="K150" s="3" t="s">
        <v>355</v>
      </c>
    </row>
    <row r="151" spans="2:11">
      <c r="B151" s="3" t="s">
        <v>127</v>
      </c>
      <c r="C151" s="5"/>
      <c r="D151" s="3"/>
      <c r="E151" s="3"/>
      <c r="F151" s="3"/>
      <c r="G151" s="3"/>
      <c r="H151" s="3"/>
      <c r="I151" s="3"/>
      <c r="J151" s="3"/>
      <c r="K151" s="4">
        <v>46001</v>
      </c>
    </row>
    <row r="152" spans="2:11">
      <c r="B152" s="2">
        <v>48183</v>
      </c>
      <c r="C152" s="5"/>
      <c r="D152" s="3" t="s">
        <v>12</v>
      </c>
      <c r="E152" s="3" t="s">
        <v>12</v>
      </c>
      <c r="F152" s="3">
        <v>0</v>
      </c>
      <c r="G152" s="3" t="s">
        <v>12</v>
      </c>
      <c r="H152" s="3" t="s">
        <v>12</v>
      </c>
      <c r="I152" s="3" t="s">
        <v>12</v>
      </c>
      <c r="J152" s="3">
        <v>0</v>
      </c>
      <c r="K152" s="3" t="s">
        <v>356</v>
      </c>
    </row>
    <row r="153" spans="2:11">
      <c r="B153" s="3" t="s">
        <v>129</v>
      </c>
      <c r="C153" s="5"/>
      <c r="D153" s="3"/>
      <c r="E153" s="3"/>
      <c r="F153" s="3"/>
      <c r="G153" s="3"/>
      <c r="H153" s="3"/>
      <c r="I153" s="3"/>
      <c r="J153" s="3"/>
      <c r="K153" s="4">
        <v>46001</v>
      </c>
    </row>
    <row r="155" spans="2:11">
      <c r="B155" t="s">
        <v>176</v>
      </c>
    </row>
    <row r="157" spans="2:11">
      <c r="B157" t="s">
        <v>177</v>
      </c>
    </row>
    <row r="158" spans="2:11">
      <c r="B158" t="s">
        <v>169</v>
      </c>
    </row>
    <row r="159" spans="2:11">
      <c r="B159" t="s">
        <v>178</v>
      </c>
    </row>
    <row r="161" spans="2:2">
      <c r="B161" t="s">
        <v>171</v>
      </c>
    </row>
    <row r="163" spans="2:2">
      <c r="B163" t="s">
        <v>179</v>
      </c>
    </row>
    <row r="165" spans="2:2">
      <c r="B165" t="s">
        <v>180</v>
      </c>
    </row>
    <row r="166" spans="2:2">
      <c r="B166" t="s">
        <v>181</v>
      </c>
    </row>
    <row r="167" spans="2:2">
      <c r="B167" t="s">
        <v>182</v>
      </c>
    </row>
    <row r="168" spans="2:2">
      <c r="B168" t="s">
        <v>183</v>
      </c>
    </row>
    <row r="169" spans="2:2">
      <c r="B169" t="s">
        <v>184</v>
      </c>
    </row>
    <row r="170" spans="2:2">
      <c r="B170" t="s">
        <v>185</v>
      </c>
    </row>
  </sheetData>
  <mergeCells count="2">
    <mergeCell ref="B8:B9"/>
    <mergeCell ref="B6:B7"/>
  </mergeCells>
  <hyperlinks>
    <hyperlink ref="A2" r:id="rId1" xr:uid="{7CC6AB4C-8D77-7442-B6F6-C82FEAB1A52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83AB-4F45-0649-B7DB-8D3B22591B58}">
  <dimension ref="C2:T155"/>
  <sheetViews>
    <sheetView tabSelected="1" workbookViewId="0">
      <selection activeCell="C2" sqref="C2"/>
    </sheetView>
  </sheetViews>
  <sheetFormatPr baseColWidth="10" defaultRowHeight="16"/>
  <cols>
    <col min="19" max="19" width="10.83203125" style="22"/>
  </cols>
  <sheetData>
    <row r="2" spans="3:20">
      <c r="C2" s="7" t="s">
        <v>304</v>
      </c>
    </row>
    <row r="3" spans="3:20" ht="29">
      <c r="C3" s="23" t="s">
        <v>228</v>
      </c>
    </row>
    <row r="4" spans="3:20" ht="23">
      <c r="C4" s="24" t="s">
        <v>229</v>
      </c>
    </row>
    <row r="5" spans="3:20" ht="33">
      <c r="C5" s="25"/>
    </row>
    <row r="6" spans="3:20">
      <c r="C6" s="30" t="s">
        <v>187</v>
      </c>
      <c r="D6" s="16" t="s">
        <v>188</v>
      </c>
      <c r="E6" s="16" t="s">
        <v>189</v>
      </c>
      <c r="F6" s="16" t="s">
        <v>190</v>
      </c>
      <c r="G6" s="16" t="s">
        <v>191</v>
      </c>
      <c r="H6" s="16" t="s">
        <v>192</v>
      </c>
      <c r="I6" s="16" t="s">
        <v>194</v>
      </c>
      <c r="J6" s="16" t="s">
        <v>195</v>
      </c>
      <c r="K6" s="16" t="s">
        <v>196</v>
      </c>
      <c r="L6" s="16" t="s">
        <v>197</v>
      </c>
      <c r="M6" s="16" t="s">
        <v>198</v>
      </c>
      <c r="R6">
        <v>6</v>
      </c>
      <c r="S6" s="22" t="str" cm="1">
        <f t="array" aca="1" ref="S6" ca="1">INDIRECT("C"&amp;R6)</f>
        <v>Month</v>
      </c>
    </row>
    <row r="7" spans="3:20">
      <c r="C7" s="30"/>
      <c r="D7" s="16"/>
      <c r="E7" s="16"/>
      <c r="F7" s="16"/>
      <c r="G7" s="16"/>
      <c r="H7" s="16" t="s">
        <v>193</v>
      </c>
      <c r="I7" s="16"/>
      <c r="J7" s="16"/>
      <c r="K7" s="16"/>
      <c r="L7" s="16"/>
      <c r="M7" s="16"/>
      <c r="R7">
        <f>R6+2</f>
        <v>8</v>
      </c>
      <c r="T7" t="str">
        <f>C3</f>
        <v>PJM Western Hub Peak Calendar-Month Real-Time LMP</v>
      </c>
    </row>
    <row r="8" spans="3:20">
      <c r="C8" s="30" t="s">
        <v>187</v>
      </c>
      <c r="D8" s="16" t="s">
        <v>188</v>
      </c>
      <c r="E8" s="16" t="s">
        <v>189</v>
      </c>
      <c r="F8" s="16" t="s">
        <v>190</v>
      </c>
      <c r="G8" s="16" t="s">
        <v>191</v>
      </c>
      <c r="H8" s="16" t="s">
        <v>192</v>
      </c>
      <c r="I8" s="16" t="s">
        <v>194</v>
      </c>
      <c r="J8" s="16" t="s">
        <v>195</v>
      </c>
      <c r="K8" s="16" t="s">
        <v>196</v>
      </c>
      <c r="L8" s="16" t="s">
        <v>197</v>
      </c>
      <c r="M8" s="16" t="s">
        <v>198</v>
      </c>
      <c r="R8">
        <f t="shared" ref="R8:R32" si="0">R7+2</f>
        <v>10</v>
      </c>
      <c r="S8" s="22" cm="1">
        <f t="array" aca="1" ref="S8" ca="1">INDIRECT("C"&amp;R8)</f>
        <v>46023</v>
      </c>
      <c r="T8" s="26" cm="1">
        <f t="array" aca="1" ref="T8" ca="1">INDIRECT("h"&amp;R8)</f>
        <v>91.38</v>
      </c>
    </row>
    <row r="9" spans="3:20">
      <c r="C9" s="30"/>
      <c r="D9" s="16"/>
      <c r="E9" s="16"/>
      <c r="F9" s="16"/>
      <c r="G9" s="16"/>
      <c r="H9" s="16" t="s">
        <v>193</v>
      </c>
      <c r="I9" s="16"/>
      <c r="J9" s="16"/>
      <c r="K9" s="16"/>
      <c r="L9" s="16"/>
      <c r="M9" s="16"/>
      <c r="R9">
        <f t="shared" si="0"/>
        <v>12</v>
      </c>
      <c r="S9" s="22" cm="1">
        <f t="array" aca="1" ref="S9" ca="1">INDIRECT("C"&amp;R9)</f>
        <v>46054</v>
      </c>
      <c r="T9" s="26" cm="1">
        <f t="array" aca="1" ref="T9" ca="1">INDIRECT("h"&amp;R9)</f>
        <v>76.08</v>
      </c>
    </row>
    <row r="10" spans="3:20">
      <c r="C10" s="17">
        <v>46023</v>
      </c>
      <c r="D10" s="7" t="s">
        <v>200</v>
      </c>
      <c r="E10" s="19"/>
      <c r="F10" s="18" t="s">
        <v>12</v>
      </c>
      <c r="G10" s="18" t="s">
        <v>12</v>
      </c>
      <c r="H10" s="18">
        <v>91.38</v>
      </c>
      <c r="I10" s="18" t="s">
        <v>12</v>
      </c>
      <c r="J10" s="18" t="s">
        <v>12</v>
      </c>
      <c r="K10" s="18" t="s">
        <v>12</v>
      </c>
      <c r="L10" s="18">
        <v>0</v>
      </c>
      <c r="M10" s="18" t="s">
        <v>201</v>
      </c>
      <c r="R10">
        <f t="shared" si="0"/>
        <v>14</v>
      </c>
      <c r="S10" s="22" cm="1">
        <f t="array" aca="1" ref="S10" ca="1">INDIRECT("C"&amp;R10)</f>
        <v>46082</v>
      </c>
      <c r="T10" s="26" cm="1">
        <f t="array" aca="1" ref="T10" ca="1">INDIRECT("h"&amp;R10)</f>
        <v>58</v>
      </c>
    </row>
    <row r="11" spans="3:20">
      <c r="C11" s="18" t="s">
        <v>199</v>
      </c>
      <c r="D11" s="7"/>
      <c r="E11" s="19"/>
      <c r="F11" s="18"/>
      <c r="G11" s="18"/>
      <c r="H11" s="18"/>
      <c r="I11" s="18"/>
      <c r="J11" s="18"/>
      <c r="K11" s="18"/>
      <c r="L11" s="18"/>
      <c r="M11" s="20">
        <v>46000</v>
      </c>
      <c r="R11">
        <f t="shared" si="0"/>
        <v>16</v>
      </c>
      <c r="S11" s="22" cm="1">
        <f t="array" aca="1" ref="S11" ca="1">INDIRECT("C"&amp;R11)</f>
        <v>46113</v>
      </c>
      <c r="T11" s="26" cm="1">
        <f t="array" aca="1" ref="T11" ca="1">INDIRECT("h"&amp;R11)</f>
        <v>57.8</v>
      </c>
    </row>
    <row r="12" spans="3:20">
      <c r="C12" s="17">
        <v>46054</v>
      </c>
      <c r="D12" s="7" t="s">
        <v>200</v>
      </c>
      <c r="E12" s="19"/>
      <c r="F12" s="18" t="s">
        <v>12</v>
      </c>
      <c r="G12" s="18" t="s">
        <v>12</v>
      </c>
      <c r="H12" s="18">
        <v>76.08</v>
      </c>
      <c r="I12" s="18" t="s">
        <v>12</v>
      </c>
      <c r="J12" s="18" t="s">
        <v>12</v>
      </c>
      <c r="K12" s="18" t="s">
        <v>12</v>
      </c>
      <c r="L12" s="18">
        <v>0</v>
      </c>
      <c r="M12" s="18" t="s">
        <v>203</v>
      </c>
      <c r="R12">
        <f t="shared" si="0"/>
        <v>18</v>
      </c>
      <c r="S12" s="22" cm="1">
        <f t="array" aca="1" ref="S12" ca="1">INDIRECT("C"&amp;R12)</f>
        <v>46143</v>
      </c>
      <c r="T12" s="26" cm="1">
        <f t="array" aca="1" ref="T12" ca="1">INDIRECT("h"&amp;R12)</f>
        <v>58.47</v>
      </c>
    </row>
    <row r="13" spans="3:20">
      <c r="C13" s="18" t="s">
        <v>202</v>
      </c>
      <c r="D13" s="7"/>
      <c r="E13" s="19"/>
      <c r="F13" s="18"/>
      <c r="G13" s="18"/>
      <c r="H13" s="18"/>
      <c r="I13" s="18"/>
      <c r="J13" s="18"/>
      <c r="K13" s="18"/>
      <c r="L13" s="18"/>
      <c r="M13" s="20">
        <v>46000</v>
      </c>
      <c r="R13">
        <f t="shared" si="0"/>
        <v>20</v>
      </c>
      <c r="S13" s="22" cm="1">
        <f t="array" aca="1" ref="S13" ca="1">INDIRECT("C"&amp;R13)</f>
        <v>46174</v>
      </c>
      <c r="T13" s="26" cm="1">
        <f t="array" aca="1" ref="T13" ca="1">INDIRECT("h"&amp;R13)</f>
        <v>65.38</v>
      </c>
    </row>
    <row r="14" spans="3:20">
      <c r="C14" s="17">
        <v>46082</v>
      </c>
      <c r="D14" s="7" t="s">
        <v>200</v>
      </c>
      <c r="E14" s="19"/>
      <c r="F14" s="18" t="s">
        <v>12</v>
      </c>
      <c r="G14" s="18" t="s">
        <v>12</v>
      </c>
      <c r="H14" s="18">
        <v>58</v>
      </c>
      <c r="I14" s="18" t="s">
        <v>12</v>
      </c>
      <c r="J14" s="18" t="s">
        <v>12</v>
      </c>
      <c r="K14" s="18" t="s">
        <v>12</v>
      </c>
      <c r="L14" s="18">
        <v>0</v>
      </c>
      <c r="M14" s="18" t="s">
        <v>205</v>
      </c>
      <c r="R14">
        <f t="shared" si="0"/>
        <v>22</v>
      </c>
      <c r="S14" s="22" cm="1">
        <f t="array" aca="1" ref="S14" ca="1">INDIRECT("C"&amp;R14)</f>
        <v>46204</v>
      </c>
      <c r="T14" s="26" cm="1">
        <f t="array" aca="1" ref="T14" ca="1">INDIRECT("h"&amp;R14)</f>
        <v>94.05</v>
      </c>
    </row>
    <row r="15" spans="3:20">
      <c r="C15" s="18" t="s">
        <v>204</v>
      </c>
      <c r="D15" s="7"/>
      <c r="E15" s="19"/>
      <c r="F15" s="18"/>
      <c r="G15" s="18"/>
      <c r="H15" s="18"/>
      <c r="I15" s="18"/>
      <c r="J15" s="18"/>
      <c r="K15" s="18"/>
      <c r="L15" s="18"/>
      <c r="M15" s="20">
        <v>46000</v>
      </c>
      <c r="R15">
        <f t="shared" si="0"/>
        <v>24</v>
      </c>
      <c r="S15" s="22" cm="1">
        <f t="array" aca="1" ref="S15" ca="1">INDIRECT("C"&amp;R15)</f>
        <v>46235</v>
      </c>
      <c r="T15" s="26" cm="1">
        <f t="array" aca="1" ref="T15" ca="1">INDIRECT("h"&amp;R15)</f>
        <v>80.3</v>
      </c>
    </row>
    <row r="16" spans="3:20">
      <c r="C16" s="17">
        <v>46113</v>
      </c>
      <c r="D16" s="7" t="s">
        <v>200</v>
      </c>
      <c r="E16" s="19"/>
      <c r="F16" s="18" t="s">
        <v>12</v>
      </c>
      <c r="G16" s="18" t="s">
        <v>12</v>
      </c>
      <c r="H16" s="18">
        <v>57.8</v>
      </c>
      <c r="I16" s="18" t="s">
        <v>12</v>
      </c>
      <c r="J16" s="18" t="s">
        <v>12</v>
      </c>
      <c r="K16" s="18" t="s">
        <v>12</v>
      </c>
      <c r="L16" s="18">
        <v>0</v>
      </c>
      <c r="M16" s="18" t="s">
        <v>205</v>
      </c>
      <c r="R16">
        <f t="shared" si="0"/>
        <v>26</v>
      </c>
      <c r="S16" s="22" cm="1">
        <f t="array" aca="1" ref="S16" ca="1">INDIRECT("C"&amp;R16)</f>
        <v>46266</v>
      </c>
      <c r="T16" s="26" cm="1">
        <f t="array" aca="1" ref="T16" ca="1">INDIRECT("h"&amp;R16)</f>
        <v>63.23</v>
      </c>
    </row>
    <row r="17" spans="3:20">
      <c r="C17" s="18" t="s">
        <v>206</v>
      </c>
      <c r="D17" s="7"/>
      <c r="E17" s="19"/>
      <c r="F17" s="18"/>
      <c r="G17" s="18"/>
      <c r="H17" s="18"/>
      <c r="I17" s="18"/>
      <c r="J17" s="18"/>
      <c r="K17" s="18"/>
      <c r="L17" s="18"/>
      <c r="M17" s="20">
        <v>46000</v>
      </c>
      <c r="R17">
        <f t="shared" si="0"/>
        <v>28</v>
      </c>
      <c r="S17" s="22" cm="1">
        <f t="array" aca="1" ref="S17" ca="1">INDIRECT("C"&amp;R17)</f>
        <v>46296</v>
      </c>
      <c r="T17" s="26" cm="1">
        <f t="array" aca="1" ref="T17" ca="1">INDIRECT("h"&amp;R17)</f>
        <v>61.52</v>
      </c>
    </row>
    <row r="18" spans="3:20">
      <c r="C18" s="17">
        <v>46143</v>
      </c>
      <c r="D18" s="7" t="s">
        <v>200</v>
      </c>
      <c r="E18" s="19"/>
      <c r="F18" s="18" t="s">
        <v>12</v>
      </c>
      <c r="G18" s="18" t="s">
        <v>12</v>
      </c>
      <c r="H18" s="18">
        <v>58.47</v>
      </c>
      <c r="I18" s="18" t="s">
        <v>12</v>
      </c>
      <c r="J18" s="18" t="s">
        <v>12</v>
      </c>
      <c r="K18" s="18" t="s">
        <v>12</v>
      </c>
      <c r="L18" s="18">
        <v>0</v>
      </c>
      <c r="M18" s="18" t="s">
        <v>201</v>
      </c>
      <c r="R18">
        <f t="shared" si="0"/>
        <v>30</v>
      </c>
      <c r="S18" s="22" cm="1">
        <f t="array" aca="1" ref="S18" ca="1">INDIRECT("C"&amp;R18)</f>
        <v>46327</v>
      </c>
      <c r="T18" s="26" cm="1">
        <f t="array" aca="1" ref="T18" ca="1">INDIRECT("h"&amp;R18)</f>
        <v>60.47</v>
      </c>
    </row>
    <row r="19" spans="3:20">
      <c r="C19" s="18" t="s">
        <v>207</v>
      </c>
      <c r="D19" s="7"/>
      <c r="E19" s="19"/>
      <c r="F19" s="18"/>
      <c r="G19" s="18"/>
      <c r="H19" s="18"/>
      <c r="I19" s="18"/>
      <c r="J19" s="18"/>
      <c r="K19" s="18"/>
      <c r="L19" s="18"/>
      <c r="M19" s="20">
        <v>46000</v>
      </c>
      <c r="R19">
        <f t="shared" si="0"/>
        <v>32</v>
      </c>
      <c r="S19" s="22" cm="1">
        <f t="array" aca="1" ref="S19" ca="1">INDIRECT("C"&amp;R19)</f>
        <v>46357</v>
      </c>
      <c r="T19" s="26" cm="1">
        <f t="array" aca="1" ref="T19" ca="1">INDIRECT("h"&amp;R19)</f>
        <v>70.5</v>
      </c>
    </row>
    <row r="20" spans="3:20">
      <c r="C20" s="17">
        <v>46174</v>
      </c>
      <c r="D20" s="7" t="s">
        <v>200</v>
      </c>
      <c r="E20" s="19"/>
      <c r="F20" s="18" t="s">
        <v>12</v>
      </c>
      <c r="G20" s="18" t="s">
        <v>12</v>
      </c>
      <c r="H20" s="18">
        <v>65.38</v>
      </c>
      <c r="I20" s="18" t="s">
        <v>12</v>
      </c>
      <c r="J20" s="18" t="s">
        <v>12</v>
      </c>
      <c r="K20" s="18" t="s">
        <v>12</v>
      </c>
      <c r="L20" s="18">
        <v>0</v>
      </c>
      <c r="M20" s="18" t="s">
        <v>209</v>
      </c>
      <c r="R20">
        <f t="shared" si="0"/>
        <v>34</v>
      </c>
      <c r="S20" s="22" cm="1">
        <f t="array" aca="1" ref="S20" ca="1">INDIRECT("C"&amp;R20)</f>
        <v>46388</v>
      </c>
      <c r="T20" s="26" cm="1">
        <f t="array" aca="1" ref="T20" ca="1">INDIRECT("h"&amp;R20)</f>
        <v>98</v>
      </c>
    </row>
    <row r="21" spans="3:20">
      <c r="C21" s="18" t="s">
        <v>208</v>
      </c>
      <c r="D21" s="7"/>
      <c r="E21" s="19"/>
      <c r="F21" s="18"/>
      <c r="G21" s="18"/>
      <c r="H21" s="18"/>
      <c r="I21" s="18"/>
      <c r="J21" s="18"/>
      <c r="K21" s="18"/>
      <c r="L21" s="18"/>
      <c r="M21" s="20">
        <v>46000</v>
      </c>
      <c r="R21">
        <f t="shared" si="0"/>
        <v>36</v>
      </c>
      <c r="S21" s="22" cm="1">
        <f t="array" aca="1" ref="S21" ca="1">INDIRECT("C"&amp;R21)</f>
        <v>46419</v>
      </c>
      <c r="T21" s="26" cm="1">
        <f t="array" aca="1" ref="T21" ca="1">INDIRECT("h"&amp;R21)</f>
        <v>83.4</v>
      </c>
    </row>
    <row r="22" spans="3:20">
      <c r="C22" s="17">
        <v>46204</v>
      </c>
      <c r="D22" s="7" t="s">
        <v>200</v>
      </c>
      <c r="E22" s="19"/>
      <c r="F22" s="18" t="s">
        <v>12</v>
      </c>
      <c r="G22" s="18" t="s">
        <v>12</v>
      </c>
      <c r="H22" s="18">
        <v>94.05</v>
      </c>
      <c r="I22" s="18" t="s">
        <v>12</v>
      </c>
      <c r="J22" s="18" t="s">
        <v>12</v>
      </c>
      <c r="K22" s="18" t="s">
        <v>12</v>
      </c>
      <c r="L22" s="18">
        <v>0</v>
      </c>
      <c r="M22" s="18" t="s">
        <v>203</v>
      </c>
      <c r="R22">
        <f t="shared" si="0"/>
        <v>38</v>
      </c>
      <c r="S22" s="22" cm="1">
        <f t="array" aca="1" ref="S22" ca="1">INDIRECT("C"&amp;R22)</f>
        <v>46447</v>
      </c>
      <c r="T22" s="26" cm="1">
        <f t="array" aca="1" ref="T22" ca="1">INDIRECT("h"&amp;R22)</f>
        <v>59</v>
      </c>
    </row>
    <row r="23" spans="3:20">
      <c r="C23" s="18" t="s">
        <v>210</v>
      </c>
      <c r="D23" s="7"/>
      <c r="E23" s="19"/>
      <c r="F23" s="18"/>
      <c r="G23" s="18"/>
      <c r="H23" s="18"/>
      <c r="I23" s="18"/>
      <c r="J23" s="18"/>
      <c r="K23" s="18"/>
      <c r="L23" s="18"/>
      <c r="M23" s="20">
        <v>46000</v>
      </c>
      <c r="R23">
        <f t="shared" si="0"/>
        <v>40</v>
      </c>
      <c r="S23" s="22" cm="1">
        <f t="array" aca="1" ref="S23" ca="1">INDIRECT("C"&amp;R23)</f>
        <v>46478</v>
      </c>
      <c r="T23" s="26" cm="1">
        <f t="array" aca="1" ref="T23" ca="1">INDIRECT("h"&amp;R23)</f>
        <v>57.5</v>
      </c>
    </row>
    <row r="24" spans="3:20">
      <c r="C24" s="17">
        <v>46235</v>
      </c>
      <c r="D24" s="7" t="s">
        <v>200</v>
      </c>
      <c r="E24" s="19"/>
      <c r="F24" s="18" t="s">
        <v>12</v>
      </c>
      <c r="G24" s="18" t="s">
        <v>12</v>
      </c>
      <c r="H24" s="18">
        <v>80.3</v>
      </c>
      <c r="I24" s="18" t="s">
        <v>12</v>
      </c>
      <c r="J24" s="18" t="s">
        <v>12</v>
      </c>
      <c r="K24" s="18" t="s">
        <v>12</v>
      </c>
      <c r="L24" s="18">
        <v>0</v>
      </c>
      <c r="M24" s="18" t="s">
        <v>212</v>
      </c>
      <c r="R24">
        <f t="shared" si="0"/>
        <v>42</v>
      </c>
      <c r="S24" s="22" cm="1">
        <f t="array" aca="1" ref="S24" ca="1">INDIRECT("C"&amp;R24)</f>
        <v>46508</v>
      </c>
      <c r="T24" s="26" cm="1">
        <f t="array" aca="1" ref="T24" ca="1">INDIRECT("h"&amp;R24)</f>
        <v>58.75</v>
      </c>
    </row>
    <row r="25" spans="3:20">
      <c r="C25" s="18" t="s">
        <v>211</v>
      </c>
      <c r="D25" s="7"/>
      <c r="E25" s="19"/>
      <c r="F25" s="18"/>
      <c r="G25" s="18"/>
      <c r="H25" s="18"/>
      <c r="I25" s="18"/>
      <c r="J25" s="18"/>
      <c r="K25" s="18"/>
      <c r="L25" s="18"/>
      <c r="M25" s="20">
        <v>46000</v>
      </c>
      <c r="R25">
        <f t="shared" si="0"/>
        <v>44</v>
      </c>
      <c r="S25" s="22" cm="1">
        <f t="array" aca="1" ref="S25" ca="1">INDIRECT("C"&amp;R25)</f>
        <v>46539</v>
      </c>
      <c r="T25" s="26" cm="1">
        <f t="array" aca="1" ref="T25" ca="1">INDIRECT("h"&amp;R25)</f>
        <v>65.25</v>
      </c>
    </row>
    <row r="26" spans="3:20">
      <c r="C26" s="17">
        <v>46266</v>
      </c>
      <c r="D26" s="7" t="s">
        <v>200</v>
      </c>
      <c r="E26" s="19"/>
      <c r="F26" s="18" t="s">
        <v>12</v>
      </c>
      <c r="G26" s="18" t="s">
        <v>12</v>
      </c>
      <c r="H26" s="18">
        <v>63.23</v>
      </c>
      <c r="I26" s="18" t="s">
        <v>12</v>
      </c>
      <c r="J26" s="18" t="s">
        <v>12</v>
      </c>
      <c r="K26" s="18" t="s">
        <v>12</v>
      </c>
      <c r="L26" s="18">
        <v>0</v>
      </c>
      <c r="M26" s="18" t="s">
        <v>203</v>
      </c>
      <c r="R26">
        <f t="shared" si="0"/>
        <v>46</v>
      </c>
      <c r="S26" s="22" cm="1">
        <f t="array" aca="1" ref="S26" ca="1">INDIRECT("C"&amp;R26)</f>
        <v>46569</v>
      </c>
      <c r="T26" s="26" cm="1">
        <f t="array" aca="1" ref="T26" ca="1">INDIRECT("h"&amp;R26)</f>
        <v>93.13</v>
      </c>
    </row>
    <row r="27" spans="3:20">
      <c r="C27" s="18" t="s">
        <v>213</v>
      </c>
      <c r="D27" s="7"/>
      <c r="E27" s="19"/>
      <c r="F27" s="18"/>
      <c r="G27" s="18"/>
      <c r="H27" s="18"/>
      <c r="I27" s="18"/>
      <c r="J27" s="18"/>
      <c r="K27" s="18"/>
      <c r="L27" s="18"/>
      <c r="M27" s="20">
        <v>46000</v>
      </c>
      <c r="R27">
        <f t="shared" si="0"/>
        <v>48</v>
      </c>
      <c r="S27" s="22" cm="1">
        <f t="array" aca="1" ref="S27" ca="1">INDIRECT("C"&amp;R27)</f>
        <v>46600</v>
      </c>
      <c r="T27" s="26" cm="1">
        <f t="array" aca="1" ref="T27" ca="1">INDIRECT("h"&amp;R27)</f>
        <v>85.57</v>
      </c>
    </row>
    <row r="28" spans="3:20">
      <c r="C28" s="17">
        <v>46296</v>
      </c>
      <c r="D28" s="7" t="s">
        <v>200</v>
      </c>
      <c r="E28" s="19"/>
      <c r="F28" s="18" t="s">
        <v>12</v>
      </c>
      <c r="G28" s="18" t="s">
        <v>12</v>
      </c>
      <c r="H28" s="18">
        <v>61.52</v>
      </c>
      <c r="I28" s="18" t="s">
        <v>12</v>
      </c>
      <c r="J28" s="18" t="s">
        <v>12</v>
      </c>
      <c r="K28" s="18" t="s">
        <v>12</v>
      </c>
      <c r="L28" s="18">
        <v>0</v>
      </c>
      <c r="M28" s="18" t="s">
        <v>215</v>
      </c>
      <c r="R28">
        <f t="shared" si="0"/>
        <v>50</v>
      </c>
      <c r="S28" s="22" cm="1">
        <f t="array" aca="1" ref="S28" ca="1">INDIRECT("C"&amp;R28)</f>
        <v>46631</v>
      </c>
      <c r="T28" s="26" cm="1">
        <f t="array" aca="1" ref="T28" ca="1">INDIRECT("h"&amp;R28)</f>
        <v>62.75</v>
      </c>
    </row>
    <row r="29" spans="3:20">
      <c r="C29" s="18" t="s">
        <v>214</v>
      </c>
      <c r="D29" s="7"/>
      <c r="E29" s="19"/>
      <c r="F29" s="18"/>
      <c r="G29" s="18"/>
      <c r="H29" s="18"/>
      <c r="I29" s="18"/>
      <c r="J29" s="18"/>
      <c r="K29" s="18"/>
      <c r="L29" s="18"/>
      <c r="M29" s="20">
        <v>46000</v>
      </c>
      <c r="R29">
        <f t="shared" si="0"/>
        <v>52</v>
      </c>
      <c r="S29" s="22" cm="1">
        <f t="array" aca="1" ref="S29" ca="1">INDIRECT("C"&amp;R29)</f>
        <v>46661</v>
      </c>
      <c r="T29" s="26" cm="1">
        <f t="array" aca="1" ref="T29" ca="1">INDIRECT("h"&amp;R29)</f>
        <v>60.75</v>
      </c>
    </row>
    <row r="30" spans="3:20">
      <c r="C30" s="17">
        <v>46327</v>
      </c>
      <c r="D30" s="7" t="s">
        <v>200</v>
      </c>
      <c r="E30" s="19"/>
      <c r="F30" s="18" t="s">
        <v>12</v>
      </c>
      <c r="G30" s="18" t="s">
        <v>12</v>
      </c>
      <c r="H30" s="18">
        <v>60.47</v>
      </c>
      <c r="I30" s="18" t="s">
        <v>12</v>
      </c>
      <c r="J30" s="18" t="s">
        <v>12</v>
      </c>
      <c r="K30" s="18" t="s">
        <v>12</v>
      </c>
      <c r="L30" s="18">
        <v>0</v>
      </c>
      <c r="M30" s="18" t="s">
        <v>217</v>
      </c>
      <c r="R30">
        <f t="shared" si="0"/>
        <v>54</v>
      </c>
      <c r="S30" s="22" cm="1">
        <f t="array" aca="1" ref="S30" ca="1">INDIRECT("C"&amp;R30)</f>
        <v>46692</v>
      </c>
      <c r="T30" s="26" cm="1">
        <f t="array" aca="1" ref="T30" ca="1">INDIRECT("h"&amp;R30)</f>
        <v>61.75</v>
      </c>
    </row>
    <row r="31" spans="3:20">
      <c r="C31" s="18" t="s">
        <v>216</v>
      </c>
      <c r="D31" s="7"/>
      <c r="E31" s="19"/>
      <c r="F31" s="18"/>
      <c r="G31" s="18"/>
      <c r="H31" s="18"/>
      <c r="I31" s="18"/>
      <c r="J31" s="18"/>
      <c r="K31" s="18"/>
      <c r="L31" s="18"/>
      <c r="M31" s="20">
        <v>46000</v>
      </c>
      <c r="R31">
        <f t="shared" si="0"/>
        <v>56</v>
      </c>
      <c r="S31" s="22" cm="1">
        <f t="array" aca="1" ref="S31" ca="1">INDIRECT("C"&amp;R31)</f>
        <v>46722</v>
      </c>
      <c r="T31" s="26" cm="1">
        <f t="array" aca="1" ref="T31" ca="1">INDIRECT("h"&amp;R31)</f>
        <v>69.3</v>
      </c>
    </row>
    <row r="32" spans="3:20">
      <c r="C32" s="17">
        <v>46357</v>
      </c>
      <c r="D32" s="7" t="s">
        <v>200</v>
      </c>
      <c r="E32" s="19"/>
      <c r="F32" s="18" t="s">
        <v>12</v>
      </c>
      <c r="G32" s="18" t="s">
        <v>12</v>
      </c>
      <c r="H32" s="18">
        <v>70.5</v>
      </c>
      <c r="I32" s="18" t="s">
        <v>12</v>
      </c>
      <c r="J32" s="18" t="s">
        <v>12</v>
      </c>
      <c r="K32" s="18" t="s">
        <v>12</v>
      </c>
      <c r="L32" s="18">
        <v>0</v>
      </c>
      <c r="M32" s="18" t="s">
        <v>203</v>
      </c>
      <c r="R32">
        <f t="shared" si="0"/>
        <v>58</v>
      </c>
      <c r="S32" s="22" cm="1">
        <f t="array" aca="1" ref="S32" ca="1">INDIRECT("C"&amp;R32)</f>
        <v>46753</v>
      </c>
      <c r="T32" s="26" cm="1">
        <f t="array" aca="1" ref="T32" ca="1">INDIRECT("h"&amp;R32)</f>
        <v>89.61</v>
      </c>
    </row>
    <row r="33" spans="3:20">
      <c r="C33" s="18" t="s">
        <v>218</v>
      </c>
      <c r="D33" s="7"/>
      <c r="E33" s="19"/>
      <c r="F33" s="18"/>
      <c r="G33" s="18"/>
      <c r="H33" s="18"/>
      <c r="I33" s="18"/>
      <c r="J33" s="18"/>
      <c r="K33" s="18"/>
      <c r="L33" s="18"/>
      <c r="M33" s="20">
        <v>46000</v>
      </c>
      <c r="R33">
        <f t="shared" ref="R33:R43" si="1">R32+2</f>
        <v>60</v>
      </c>
      <c r="S33" s="22" cm="1">
        <f t="array" aca="1" ref="S33" ca="1">INDIRECT("C"&amp;R33)</f>
        <v>46784</v>
      </c>
      <c r="T33" s="26" cm="1">
        <f t="array" aca="1" ref="T33" ca="1">INDIRECT("h"&amp;R33)</f>
        <v>84.07</v>
      </c>
    </row>
    <row r="34" spans="3:20">
      <c r="C34" s="17">
        <v>46388</v>
      </c>
      <c r="D34" s="7" t="s">
        <v>200</v>
      </c>
      <c r="E34" s="19"/>
      <c r="F34" s="18" t="s">
        <v>12</v>
      </c>
      <c r="G34" s="18" t="s">
        <v>12</v>
      </c>
      <c r="H34" s="18">
        <v>98</v>
      </c>
      <c r="I34" s="18" t="s">
        <v>12</v>
      </c>
      <c r="J34" s="18" t="s">
        <v>12</v>
      </c>
      <c r="K34" s="18" t="s">
        <v>12</v>
      </c>
      <c r="L34" s="18">
        <v>0</v>
      </c>
      <c r="M34" s="18" t="s">
        <v>220</v>
      </c>
      <c r="R34">
        <f t="shared" si="1"/>
        <v>62</v>
      </c>
      <c r="S34" s="22" cm="1">
        <f t="array" aca="1" ref="S34" ca="1">INDIRECT("C"&amp;R34)</f>
        <v>46813</v>
      </c>
      <c r="T34" s="26" cm="1">
        <f t="array" aca="1" ref="T34" ca="1">INDIRECT("h"&amp;R34)</f>
        <v>64.34</v>
      </c>
    </row>
    <row r="35" spans="3:20">
      <c r="C35" s="18" t="s">
        <v>219</v>
      </c>
      <c r="D35" s="7"/>
      <c r="E35" s="19"/>
      <c r="F35" s="18"/>
      <c r="G35" s="18"/>
      <c r="H35" s="18"/>
      <c r="I35" s="18"/>
      <c r="J35" s="18"/>
      <c r="K35" s="18"/>
      <c r="L35" s="18"/>
      <c r="M35" s="20">
        <v>46000</v>
      </c>
      <c r="R35">
        <f t="shared" si="1"/>
        <v>64</v>
      </c>
      <c r="S35" s="22" cm="1">
        <f t="array" aca="1" ref="S35" ca="1">INDIRECT("C"&amp;R35)</f>
        <v>46844</v>
      </c>
      <c r="T35" s="26" cm="1">
        <f t="array" aca="1" ref="T35" ca="1">INDIRECT("h"&amp;R35)</f>
        <v>57.13</v>
      </c>
    </row>
    <row r="36" spans="3:20">
      <c r="C36" s="17">
        <v>46419</v>
      </c>
      <c r="D36" s="7" t="s">
        <v>200</v>
      </c>
      <c r="E36" s="19"/>
      <c r="F36" s="18" t="s">
        <v>12</v>
      </c>
      <c r="G36" s="18" t="s">
        <v>12</v>
      </c>
      <c r="H36" s="18">
        <v>83.4</v>
      </c>
      <c r="I36" s="18" t="s">
        <v>12</v>
      </c>
      <c r="J36" s="18" t="s">
        <v>12</v>
      </c>
      <c r="K36" s="18" t="s">
        <v>12</v>
      </c>
      <c r="L36" s="18">
        <v>0</v>
      </c>
      <c r="M36" s="18" t="s">
        <v>222</v>
      </c>
      <c r="R36">
        <f t="shared" si="1"/>
        <v>66</v>
      </c>
      <c r="S36" s="22" cm="1">
        <f t="array" aca="1" ref="S36" ca="1">INDIRECT("C"&amp;R36)</f>
        <v>46874</v>
      </c>
      <c r="T36" s="26" cm="1">
        <f t="array" aca="1" ref="T36" ca="1">INDIRECT("h"&amp;R36)</f>
        <v>59.73</v>
      </c>
    </row>
    <row r="37" spans="3:20">
      <c r="C37" s="18" t="s">
        <v>221</v>
      </c>
      <c r="D37" s="7"/>
      <c r="E37" s="19"/>
      <c r="F37" s="18"/>
      <c r="G37" s="18"/>
      <c r="H37" s="18"/>
      <c r="I37" s="18"/>
      <c r="J37" s="18"/>
      <c r="K37" s="18"/>
      <c r="L37" s="18"/>
      <c r="M37" s="20">
        <v>46000</v>
      </c>
      <c r="R37">
        <f t="shared" si="1"/>
        <v>68</v>
      </c>
      <c r="S37" s="22" cm="1">
        <f t="array" aca="1" ref="S37" ca="1">INDIRECT("C"&amp;R37)</f>
        <v>46905</v>
      </c>
      <c r="T37" s="26" cm="1">
        <f t="array" aca="1" ref="T37" ca="1">INDIRECT("h"&amp;R37)</f>
        <v>63.4</v>
      </c>
    </row>
    <row r="38" spans="3:20">
      <c r="C38" s="17">
        <v>46447</v>
      </c>
      <c r="D38" s="7" t="s">
        <v>200</v>
      </c>
      <c r="E38" s="19"/>
      <c r="F38" s="18" t="s">
        <v>12</v>
      </c>
      <c r="G38" s="18" t="s">
        <v>12</v>
      </c>
      <c r="H38" s="18">
        <v>59</v>
      </c>
      <c r="I38" s="18" t="s">
        <v>12</v>
      </c>
      <c r="J38" s="18" t="s">
        <v>12</v>
      </c>
      <c r="K38" s="18" t="s">
        <v>12</v>
      </c>
      <c r="L38" s="18">
        <v>0</v>
      </c>
      <c r="M38" s="18" t="s">
        <v>53</v>
      </c>
      <c r="R38">
        <f t="shared" si="1"/>
        <v>70</v>
      </c>
      <c r="S38" s="22" cm="1">
        <f t="array" aca="1" ref="S38" ca="1">INDIRECT("C"&amp;R38)</f>
        <v>46935</v>
      </c>
      <c r="T38" s="26" cm="1">
        <f t="array" aca="1" ref="T38" ca="1">INDIRECT("h"&amp;R38)</f>
        <v>91.92</v>
      </c>
    </row>
    <row r="39" spans="3:20">
      <c r="C39" s="18" t="s">
        <v>223</v>
      </c>
      <c r="D39" s="7"/>
      <c r="E39" s="19"/>
      <c r="F39" s="18"/>
      <c r="G39" s="18"/>
      <c r="H39" s="18"/>
      <c r="I39" s="18"/>
      <c r="J39" s="18"/>
      <c r="K39" s="18"/>
      <c r="L39" s="18"/>
      <c r="M39" s="20">
        <v>46000</v>
      </c>
      <c r="R39">
        <f t="shared" si="1"/>
        <v>72</v>
      </c>
      <c r="S39" s="22" cm="1">
        <f t="array" aca="1" ref="S39" ca="1">INDIRECT("C"&amp;R39)</f>
        <v>46966</v>
      </c>
      <c r="T39" s="26" cm="1">
        <f t="array" aca="1" ref="T39" ca="1">INDIRECT("h"&amp;R39)</f>
        <v>84.32</v>
      </c>
    </row>
    <row r="40" spans="3:20">
      <c r="C40" s="17">
        <v>46478</v>
      </c>
      <c r="D40" s="7" t="s">
        <v>200</v>
      </c>
      <c r="E40" s="19"/>
      <c r="F40" s="18" t="s">
        <v>12</v>
      </c>
      <c r="G40" s="18" t="s">
        <v>12</v>
      </c>
      <c r="H40" s="18">
        <v>57.5</v>
      </c>
      <c r="I40" s="18" t="s">
        <v>12</v>
      </c>
      <c r="J40" s="18" t="s">
        <v>12</v>
      </c>
      <c r="K40" s="18" t="s">
        <v>12</v>
      </c>
      <c r="L40" s="18">
        <v>0</v>
      </c>
      <c r="M40" s="18" t="s">
        <v>225</v>
      </c>
      <c r="R40">
        <f t="shared" si="1"/>
        <v>74</v>
      </c>
      <c r="S40" s="22" cm="1">
        <f t="array" aca="1" ref="S40" ca="1">INDIRECT("C"&amp;R40)</f>
        <v>46997</v>
      </c>
      <c r="T40" s="26" cm="1">
        <f t="array" aca="1" ref="T40" ca="1">INDIRECT("h"&amp;R40)</f>
        <v>62.42</v>
      </c>
    </row>
    <row r="41" spans="3:20">
      <c r="C41" s="18" t="s">
        <v>224</v>
      </c>
      <c r="D41" s="7"/>
      <c r="E41" s="19"/>
      <c r="F41" s="18"/>
      <c r="G41" s="18"/>
      <c r="H41" s="18"/>
      <c r="I41" s="18"/>
      <c r="J41" s="18"/>
      <c r="K41" s="18"/>
      <c r="L41" s="18"/>
      <c r="M41" s="20">
        <v>46000</v>
      </c>
      <c r="R41">
        <f t="shared" si="1"/>
        <v>76</v>
      </c>
      <c r="S41" s="22" cm="1">
        <f t="array" aca="1" ref="S41" ca="1">INDIRECT("C"&amp;R41)</f>
        <v>47027</v>
      </c>
      <c r="T41" s="26" cm="1">
        <f t="array" aca="1" ref="T41" ca="1">INDIRECT("h"&amp;R41)</f>
        <v>56.88</v>
      </c>
    </row>
    <row r="42" spans="3:20">
      <c r="C42" s="17">
        <v>46508</v>
      </c>
      <c r="D42" s="7" t="s">
        <v>200</v>
      </c>
      <c r="E42" s="19"/>
      <c r="F42" s="18" t="s">
        <v>12</v>
      </c>
      <c r="G42" s="18" t="s">
        <v>12</v>
      </c>
      <c r="H42" s="18">
        <v>58.75</v>
      </c>
      <c r="I42" s="18" t="s">
        <v>12</v>
      </c>
      <c r="J42" s="18" t="s">
        <v>12</v>
      </c>
      <c r="K42" s="18" t="s">
        <v>12</v>
      </c>
      <c r="L42" s="18">
        <v>0</v>
      </c>
      <c r="M42" s="18" t="s">
        <v>222</v>
      </c>
      <c r="R42">
        <f t="shared" si="1"/>
        <v>78</v>
      </c>
      <c r="S42" s="22" cm="1">
        <f t="array" aca="1" ref="S42" ca="1">INDIRECT("C"&amp;R42)</f>
        <v>47058</v>
      </c>
      <c r="T42" s="26" cm="1">
        <f t="array" aca="1" ref="T42" ca="1">INDIRECT("h"&amp;R42)</f>
        <v>61.25</v>
      </c>
    </row>
    <row r="43" spans="3:20">
      <c r="C43" s="18" t="s">
        <v>226</v>
      </c>
      <c r="D43" s="7"/>
      <c r="E43" s="19"/>
      <c r="F43" s="18"/>
      <c r="G43" s="18"/>
      <c r="H43" s="18"/>
      <c r="I43" s="18"/>
      <c r="J43" s="18"/>
      <c r="K43" s="18"/>
      <c r="L43" s="18"/>
      <c r="M43" s="20">
        <v>46000</v>
      </c>
      <c r="R43">
        <f t="shared" si="1"/>
        <v>80</v>
      </c>
      <c r="S43" s="22" cm="1">
        <f t="array" aca="1" ref="S43" ca="1">INDIRECT("C"&amp;R43)</f>
        <v>47088</v>
      </c>
      <c r="T43" s="26" cm="1">
        <f t="array" aca="1" ref="T43" ca="1">INDIRECT("h"&amp;R43)</f>
        <v>75.430000000000007</v>
      </c>
    </row>
    <row r="44" spans="3:20">
      <c r="C44" s="17">
        <v>46539</v>
      </c>
      <c r="D44" s="7" t="s">
        <v>200</v>
      </c>
      <c r="E44" s="19"/>
      <c r="F44" s="18" t="s">
        <v>12</v>
      </c>
      <c r="G44" s="18" t="s">
        <v>12</v>
      </c>
      <c r="H44" s="18">
        <v>65.25</v>
      </c>
      <c r="I44" s="18" t="s">
        <v>12</v>
      </c>
      <c r="J44" s="18" t="s">
        <v>12</v>
      </c>
      <c r="K44" s="18" t="s">
        <v>12</v>
      </c>
      <c r="L44" s="18">
        <v>0</v>
      </c>
      <c r="M44" s="18" t="s">
        <v>36</v>
      </c>
      <c r="R44">
        <f t="shared" ref="R44:R71" si="2">R43+2</f>
        <v>82</v>
      </c>
      <c r="S44" s="22" cm="1">
        <f t="array" aca="1" ref="S44" ca="1">INDIRECT("C"&amp;R44)</f>
        <v>47119</v>
      </c>
      <c r="T44" s="26" cm="1">
        <f t="array" aca="1" ref="T44" ca="1">INDIRECT("h"&amp;R44)</f>
        <v>93.6</v>
      </c>
    </row>
    <row r="45" spans="3:20">
      <c r="C45" s="18" t="s">
        <v>227</v>
      </c>
      <c r="D45" s="7"/>
      <c r="E45" s="19"/>
      <c r="F45" s="18"/>
      <c r="G45" s="18"/>
      <c r="H45" s="18"/>
      <c r="I45" s="18"/>
      <c r="J45" s="18"/>
      <c r="K45" s="18"/>
      <c r="L45" s="18"/>
      <c r="M45" s="20">
        <v>46000</v>
      </c>
      <c r="R45">
        <f t="shared" si="2"/>
        <v>84</v>
      </c>
      <c r="S45" s="22" cm="1">
        <f t="array" aca="1" ref="S45" ca="1">INDIRECT("C"&amp;R45)</f>
        <v>47150</v>
      </c>
      <c r="T45" s="26" cm="1">
        <f t="array" aca="1" ref="T45" ca="1">INDIRECT("h"&amp;R45)</f>
        <v>85.77</v>
      </c>
    </row>
    <row r="46" spans="3:20">
      <c r="C46" s="17">
        <v>46569</v>
      </c>
      <c r="D46" s="7" t="s">
        <v>200</v>
      </c>
      <c r="E46" s="19"/>
      <c r="F46" s="18" t="s">
        <v>12</v>
      </c>
      <c r="G46" s="18" t="s">
        <v>12</v>
      </c>
      <c r="H46" s="18">
        <v>93.13</v>
      </c>
      <c r="I46" s="18" t="s">
        <v>12</v>
      </c>
      <c r="J46" s="18" t="s">
        <v>12</v>
      </c>
      <c r="K46" s="18" t="s">
        <v>12</v>
      </c>
      <c r="L46" s="18">
        <v>0</v>
      </c>
      <c r="M46" s="18" t="s">
        <v>231</v>
      </c>
      <c r="R46">
        <f t="shared" si="2"/>
        <v>86</v>
      </c>
      <c r="S46" s="22" cm="1">
        <f t="array" aca="1" ref="S46" ca="1">INDIRECT("C"&amp;R46)</f>
        <v>47178</v>
      </c>
      <c r="T46" s="26" cm="1">
        <f t="array" aca="1" ref="T46" ca="1">INDIRECT("h"&amp;R46)</f>
        <v>64.989999999999995</v>
      </c>
    </row>
    <row r="47" spans="3:20">
      <c r="C47" s="18" t="s">
        <v>230</v>
      </c>
      <c r="D47" s="7"/>
      <c r="E47" s="19"/>
      <c r="F47" s="18"/>
      <c r="G47" s="18"/>
      <c r="H47" s="18"/>
      <c r="I47" s="18"/>
      <c r="J47" s="18"/>
      <c r="K47" s="18"/>
      <c r="L47" s="18"/>
      <c r="M47" s="20">
        <v>46000</v>
      </c>
      <c r="R47">
        <f t="shared" si="2"/>
        <v>88</v>
      </c>
      <c r="S47" s="22" cm="1">
        <f t="array" aca="1" ref="S47" ca="1">INDIRECT("C"&amp;R47)</f>
        <v>47209</v>
      </c>
      <c r="T47" s="26" cm="1">
        <f t="array" aca="1" ref="T47" ca="1">INDIRECT("h"&amp;R47)</f>
        <v>58.07</v>
      </c>
    </row>
    <row r="48" spans="3:20">
      <c r="C48" s="17">
        <v>46600</v>
      </c>
      <c r="D48" s="7" t="s">
        <v>200</v>
      </c>
      <c r="E48" s="19"/>
      <c r="F48" s="18" t="s">
        <v>12</v>
      </c>
      <c r="G48" s="18" t="s">
        <v>12</v>
      </c>
      <c r="H48" s="18">
        <v>85.57</v>
      </c>
      <c r="I48" s="18" t="s">
        <v>12</v>
      </c>
      <c r="J48" s="18" t="s">
        <v>12</v>
      </c>
      <c r="K48" s="18" t="s">
        <v>12</v>
      </c>
      <c r="L48" s="18">
        <v>0</v>
      </c>
      <c r="M48" s="18" t="s">
        <v>220</v>
      </c>
      <c r="R48">
        <f t="shared" si="2"/>
        <v>90</v>
      </c>
      <c r="S48" s="22" cm="1">
        <f t="array" aca="1" ref="S48" ca="1">INDIRECT("C"&amp;R48)</f>
        <v>47239</v>
      </c>
      <c r="T48" s="26" cm="1">
        <f t="array" aca="1" ref="T48" ca="1">INDIRECT("h"&amp;R48)</f>
        <v>60.37</v>
      </c>
    </row>
    <row r="49" spans="3:20">
      <c r="C49" s="18" t="s">
        <v>232</v>
      </c>
      <c r="D49" s="7"/>
      <c r="E49" s="19"/>
      <c r="F49" s="18"/>
      <c r="G49" s="18"/>
      <c r="H49" s="18"/>
      <c r="I49" s="18"/>
      <c r="J49" s="18"/>
      <c r="K49" s="18"/>
      <c r="L49" s="18"/>
      <c r="M49" s="20">
        <v>46000</v>
      </c>
      <c r="R49">
        <f t="shared" si="2"/>
        <v>92</v>
      </c>
      <c r="S49" s="22" cm="1">
        <f t="array" aca="1" ref="S49" ca="1">INDIRECT("C"&amp;R49)</f>
        <v>47270</v>
      </c>
      <c r="T49" s="26" cm="1">
        <f t="array" aca="1" ref="T49" ca="1">INDIRECT("h"&amp;R49)</f>
        <v>64.25</v>
      </c>
    </row>
    <row r="50" spans="3:20">
      <c r="C50" s="17">
        <v>46631</v>
      </c>
      <c r="D50" s="7" t="s">
        <v>200</v>
      </c>
      <c r="E50" s="19"/>
      <c r="F50" s="18" t="s">
        <v>12</v>
      </c>
      <c r="G50" s="18" t="s">
        <v>12</v>
      </c>
      <c r="H50" s="18">
        <v>62.75</v>
      </c>
      <c r="I50" s="18" t="s">
        <v>12</v>
      </c>
      <c r="J50" s="18" t="s">
        <v>12</v>
      </c>
      <c r="K50" s="18" t="s">
        <v>12</v>
      </c>
      <c r="L50" s="18">
        <v>0</v>
      </c>
      <c r="M50" s="18" t="s">
        <v>225</v>
      </c>
      <c r="R50">
        <f t="shared" si="2"/>
        <v>94</v>
      </c>
      <c r="S50" s="22" cm="1">
        <f t="array" aca="1" ref="S50" ca="1">INDIRECT("C"&amp;R50)</f>
        <v>47300</v>
      </c>
      <c r="T50" s="26" cm="1">
        <f t="array" aca="1" ref="T50" ca="1">INDIRECT("h"&amp;R50)</f>
        <v>85.88</v>
      </c>
    </row>
    <row r="51" spans="3:20">
      <c r="C51" s="18" t="s">
        <v>233</v>
      </c>
      <c r="D51" s="7"/>
      <c r="E51" s="19"/>
      <c r="F51" s="18"/>
      <c r="G51" s="18"/>
      <c r="H51" s="18"/>
      <c r="I51" s="18"/>
      <c r="J51" s="18"/>
      <c r="K51" s="18"/>
      <c r="L51" s="18"/>
      <c r="M51" s="20">
        <v>46000</v>
      </c>
      <c r="R51">
        <f t="shared" si="2"/>
        <v>96</v>
      </c>
      <c r="S51" s="22" cm="1">
        <f t="array" aca="1" ref="S51" ca="1">INDIRECT("C"&amp;R51)</f>
        <v>47331</v>
      </c>
      <c r="T51" s="26" cm="1">
        <f t="array" aca="1" ref="T51" ca="1">INDIRECT("h"&amp;R51)</f>
        <v>79.069999999999993</v>
      </c>
    </row>
    <row r="52" spans="3:20">
      <c r="C52" s="17">
        <v>46661</v>
      </c>
      <c r="D52" s="7" t="s">
        <v>200</v>
      </c>
      <c r="E52" s="19"/>
      <c r="F52" s="18" t="s">
        <v>12</v>
      </c>
      <c r="G52" s="18" t="s">
        <v>12</v>
      </c>
      <c r="H52" s="18">
        <v>60.75</v>
      </c>
      <c r="I52" s="18" t="s">
        <v>12</v>
      </c>
      <c r="J52" s="18" t="s">
        <v>12</v>
      </c>
      <c r="K52" s="18" t="s">
        <v>12</v>
      </c>
      <c r="L52" s="18">
        <v>0</v>
      </c>
      <c r="M52" s="18" t="s">
        <v>231</v>
      </c>
      <c r="R52">
        <f t="shared" si="2"/>
        <v>98</v>
      </c>
      <c r="S52" s="22" cm="1">
        <f t="array" aca="1" ref="S52" ca="1">INDIRECT("C"&amp;R52)</f>
        <v>47362</v>
      </c>
      <c r="T52" s="26" cm="1">
        <f t="array" aca="1" ref="T52" ca="1">INDIRECT("h"&amp;R52)</f>
        <v>63.55</v>
      </c>
    </row>
    <row r="53" spans="3:20">
      <c r="C53" s="18" t="s">
        <v>234</v>
      </c>
      <c r="D53" s="7"/>
      <c r="E53" s="19"/>
      <c r="F53" s="18"/>
      <c r="G53" s="18"/>
      <c r="H53" s="18"/>
      <c r="I53" s="18"/>
      <c r="J53" s="18"/>
      <c r="K53" s="18"/>
      <c r="L53" s="18"/>
      <c r="M53" s="20">
        <v>46000</v>
      </c>
      <c r="R53">
        <f t="shared" si="2"/>
        <v>100</v>
      </c>
      <c r="S53" s="22" cm="1">
        <f t="array" aca="1" ref="S53" ca="1">INDIRECT("C"&amp;R53)</f>
        <v>47392</v>
      </c>
      <c r="T53" s="26" cm="1">
        <f t="array" aca="1" ref="T53" ca="1">INDIRECT("h"&amp;R53)</f>
        <v>58.07</v>
      </c>
    </row>
    <row r="54" spans="3:20">
      <c r="C54" s="17">
        <v>46692</v>
      </c>
      <c r="D54" s="7" t="s">
        <v>200</v>
      </c>
      <c r="E54" s="19"/>
      <c r="F54" s="18" t="s">
        <v>12</v>
      </c>
      <c r="G54" s="18" t="s">
        <v>12</v>
      </c>
      <c r="H54" s="18">
        <v>61.75</v>
      </c>
      <c r="I54" s="18" t="s">
        <v>12</v>
      </c>
      <c r="J54" s="18" t="s">
        <v>12</v>
      </c>
      <c r="K54" s="18" t="s">
        <v>12</v>
      </c>
      <c r="L54" s="18">
        <v>0</v>
      </c>
      <c r="M54" s="18" t="s">
        <v>222</v>
      </c>
      <c r="R54">
        <f t="shared" si="2"/>
        <v>102</v>
      </c>
      <c r="S54" s="22" cm="1">
        <f t="array" aca="1" ref="S54" ca="1">INDIRECT("C"&amp;R54)</f>
        <v>47423</v>
      </c>
      <c r="T54" s="26" cm="1">
        <f t="array" aca="1" ref="T54" ca="1">INDIRECT("h"&amp;R54)</f>
        <v>62.51</v>
      </c>
    </row>
    <row r="55" spans="3:20">
      <c r="C55" s="18" t="s">
        <v>235</v>
      </c>
      <c r="D55" s="7"/>
      <c r="E55" s="19"/>
      <c r="F55" s="18"/>
      <c r="G55" s="18"/>
      <c r="H55" s="18"/>
      <c r="I55" s="18"/>
      <c r="J55" s="18"/>
      <c r="K55" s="18"/>
      <c r="L55" s="18"/>
      <c r="M55" s="20">
        <v>46000</v>
      </c>
      <c r="R55">
        <f t="shared" si="2"/>
        <v>104</v>
      </c>
      <c r="S55" s="22" cm="1">
        <f t="array" aca="1" ref="S55" ca="1">INDIRECT("C"&amp;R55)</f>
        <v>47453</v>
      </c>
      <c r="T55" s="26" cm="1">
        <f t="array" aca="1" ref="T55" ca="1">INDIRECT("h"&amp;R55)</f>
        <v>76.87</v>
      </c>
    </row>
    <row r="56" spans="3:20">
      <c r="C56" s="17">
        <v>46722</v>
      </c>
      <c r="D56" s="7" t="s">
        <v>200</v>
      </c>
      <c r="E56" s="19"/>
      <c r="F56" s="18" t="s">
        <v>12</v>
      </c>
      <c r="G56" s="18" t="s">
        <v>12</v>
      </c>
      <c r="H56" s="18">
        <v>69.3</v>
      </c>
      <c r="I56" s="18" t="s">
        <v>12</v>
      </c>
      <c r="J56" s="18" t="s">
        <v>12</v>
      </c>
      <c r="K56" s="18" t="s">
        <v>12</v>
      </c>
      <c r="L56" s="18">
        <v>0</v>
      </c>
      <c r="M56" s="18" t="s">
        <v>53</v>
      </c>
      <c r="R56">
        <f t="shared" si="2"/>
        <v>106</v>
      </c>
      <c r="S56" s="22" cm="1">
        <f t="array" aca="1" ref="S56" ca="1">INDIRECT("C"&amp;R56)</f>
        <v>47484</v>
      </c>
      <c r="T56" s="26" cm="1">
        <f t="array" aca="1" ref="T56" ca="1">INDIRECT("h"&amp;R56)</f>
        <v>94.55</v>
      </c>
    </row>
    <row r="57" spans="3:20">
      <c r="C57" s="18" t="s">
        <v>236</v>
      </c>
      <c r="D57" s="7"/>
      <c r="E57" s="19"/>
      <c r="F57" s="18"/>
      <c r="G57" s="18"/>
      <c r="H57" s="18"/>
      <c r="I57" s="18"/>
      <c r="J57" s="18"/>
      <c r="K57" s="18"/>
      <c r="L57" s="18"/>
      <c r="M57" s="20">
        <v>46000</v>
      </c>
      <c r="R57">
        <f t="shared" si="2"/>
        <v>108</v>
      </c>
      <c r="S57" s="22" cm="1">
        <f t="array" aca="1" ref="S57" ca="1">INDIRECT("C"&amp;R57)</f>
        <v>47515</v>
      </c>
      <c r="T57" s="26" cm="1">
        <f t="array" aca="1" ref="T57" ca="1">INDIRECT("h"&amp;R57)</f>
        <v>86.63</v>
      </c>
    </row>
    <row r="58" spans="3:20">
      <c r="C58" s="17">
        <v>46753</v>
      </c>
      <c r="D58" s="7" t="s">
        <v>200</v>
      </c>
      <c r="E58" s="19"/>
      <c r="F58" s="18" t="s">
        <v>12</v>
      </c>
      <c r="G58" s="18" t="s">
        <v>12</v>
      </c>
      <c r="H58" s="18">
        <v>89.61</v>
      </c>
      <c r="I58" s="18" t="s">
        <v>12</v>
      </c>
      <c r="J58" s="18" t="s">
        <v>12</v>
      </c>
      <c r="K58" s="18" t="s">
        <v>12</v>
      </c>
      <c r="L58" s="18">
        <v>0</v>
      </c>
      <c r="M58" s="18" t="s">
        <v>238</v>
      </c>
      <c r="R58">
        <f t="shared" si="2"/>
        <v>110</v>
      </c>
      <c r="S58" s="22" cm="1">
        <f t="array" aca="1" ref="S58" ca="1">INDIRECT("C"&amp;R58)</f>
        <v>47543</v>
      </c>
      <c r="T58" s="26" cm="1">
        <f t="array" aca="1" ref="T58" ca="1">INDIRECT("h"&amp;R58)</f>
        <v>65.72</v>
      </c>
    </row>
    <row r="59" spans="3:20">
      <c r="C59" s="18" t="s">
        <v>237</v>
      </c>
      <c r="D59" s="7"/>
      <c r="E59" s="19"/>
      <c r="F59" s="18"/>
      <c r="G59" s="18"/>
      <c r="H59" s="18"/>
      <c r="I59" s="18"/>
      <c r="J59" s="18"/>
      <c r="K59" s="18"/>
      <c r="L59" s="18"/>
      <c r="M59" s="20">
        <v>46000</v>
      </c>
      <c r="R59">
        <f t="shared" si="2"/>
        <v>112</v>
      </c>
      <c r="S59" s="22" cm="1">
        <f t="array" aca="1" ref="S59" ca="1">INDIRECT("C"&amp;R59)</f>
        <v>47574</v>
      </c>
      <c r="T59" s="26" cm="1">
        <f t="array" aca="1" ref="T59" ca="1">INDIRECT("h"&amp;R59)</f>
        <v>58.68</v>
      </c>
    </row>
    <row r="60" spans="3:20">
      <c r="C60" s="17">
        <v>46784</v>
      </c>
      <c r="D60" s="7" t="s">
        <v>200</v>
      </c>
      <c r="E60" s="19"/>
      <c r="F60" s="18" t="s">
        <v>12</v>
      </c>
      <c r="G60" s="18" t="s">
        <v>12</v>
      </c>
      <c r="H60" s="18">
        <v>84.07</v>
      </c>
      <c r="I60" s="18" t="s">
        <v>12</v>
      </c>
      <c r="J60" s="18" t="s">
        <v>12</v>
      </c>
      <c r="K60" s="18" t="s">
        <v>12</v>
      </c>
      <c r="L60" s="18">
        <v>0</v>
      </c>
      <c r="M60" s="18" t="s">
        <v>240</v>
      </c>
      <c r="R60">
        <f t="shared" si="2"/>
        <v>114</v>
      </c>
      <c r="S60" s="22" cm="1">
        <f t="array" aca="1" ref="S60" ca="1">INDIRECT("C"&amp;R60)</f>
        <v>47604</v>
      </c>
      <c r="T60" s="26" cm="1">
        <f t="array" aca="1" ref="T60" ca="1">INDIRECT("h"&amp;R60)</f>
        <v>60.99</v>
      </c>
    </row>
    <row r="61" spans="3:20">
      <c r="C61" s="18" t="s">
        <v>239</v>
      </c>
      <c r="D61" s="7"/>
      <c r="E61" s="19"/>
      <c r="F61" s="18"/>
      <c r="G61" s="18"/>
      <c r="H61" s="18"/>
      <c r="I61" s="18"/>
      <c r="J61" s="18"/>
      <c r="K61" s="18"/>
      <c r="L61" s="18"/>
      <c r="M61" s="20">
        <v>46000</v>
      </c>
      <c r="R61">
        <f t="shared" si="2"/>
        <v>116</v>
      </c>
      <c r="S61" s="22" cm="1">
        <f t="array" aca="1" ref="S61" ca="1">INDIRECT("C"&amp;R61)</f>
        <v>47635</v>
      </c>
      <c r="T61" s="26" cm="1">
        <f t="array" aca="1" ref="T61" ca="1">INDIRECT("h"&amp;R61)</f>
        <v>64.84</v>
      </c>
    </row>
    <row r="62" spans="3:20">
      <c r="C62" s="17">
        <v>46813</v>
      </c>
      <c r="D62" s="7" t="s">
        <v>200</v>
      </c>
      <c r="E62" s="19"/>
      <c r="F62" s="18" t="s">
        <v>12</v>
      </c>
      <c r="G62" s="18" t="s">
        <v>12</v>
      </c>
      <c r="H62" s="18">
        <v>64.34</v>
      </c>
      <c r="I62" s="18" t="s">
        <v>12</v>
      </c>
      <c r="J62" s="18" t="s">
        <v>12</v>
      </c>
      <c r="K62" s="18" t="s">
        <v>12</v>
      </c>
      <c r="L62" s="18">
        <v>0</v>
      </c>
      <c r="M62" s="18" t="s">
        <v>116</v>
      </c>
      <c r="R62">
        <f t="shared" si="2"/>
        <v>118</v>
      </c>
      <c r="S62" s="22" cm="1">
        <f t="array" aca="1" ref="S62" ca="1">INDIRECT("C"&amp;R62)</f>
        <v>47665</v>
      </c>
      <c r="T62" s="26" cm="1">
        <f t="array" aca="1" ref="T62" ca="1">INDIRECT("h"&amp;R62)</f>
        <v>86.68</v>
      </c>
    </row>
    <row r="63" spans="3:20">
      <c r="C63" s="18" t="s">
        <v>241</v>
      </c>
      <c r="D63" s="7"/>
      <c r="E63" s="19"/>
      <c r="F63" s="18"/>
      <c r="G63" s="18"/>
      <c r="H63" s="18"/>
      <c r="I63" s="18"/>
      <c r="J63" s="18"/>
      <c r="K63" s="18"/>
      <c r="L63" s="18"/>
      <c r="M63" s="20">
        <v>46000</v>
      </c>
      <c r="R63">
        <f t="shared" si="2"/>
        <v>120</v>
      </c>
      <c r="S63" s="22" cm="1">
        <f t="array" aca="1" ref="S63" ca="1">INDIRECT("C"&amp;R63)</f>
        <v>47696</v>
      </c>
      <c r="T63" s="26" cm="1">
        <f t="array" aca="1" ref="T63" ca="1">INDIRECT("h"&amp;R63)</f>
        <v>79.86</v>
      </c>
    </row>
    <row r="64" spans="3:20">
      <c r="C64" s="17">
        <v>46844</v>
      </c>
      <c r="D64" s="7" t="s">
        <v>200</v>
      </c>
      <c r="E64" s="19"/>
      <c r="F64" s="18" t="s">
        <v>12</v>
      </c>
      <c r="G64" s="18" t="s">
        <v>12</v>
      </c>
      <c r="H64" s="18">
        <v>57.13</v>
      </c>
      <c r="I64" s="18" t="s">
        <v>12</v>
      </c>
      <c r="J64" s="18" t="s">
        <v>12</v>
      </c>
      <c r="K64" s="18" t="s">
        <v>12</v>
      </c>
      <c r="L64" s="18">
        <v>0</v>
      </c>
      <c r="M64" s="18" t="s">
        <v>243</v>
      </c>
      <c r="R64">
        <f t="shared" si="2"/>
        <v>122</v>
      </c>
      <c r="S64" s="22" cm="1">
        <f t="array" aca="1" ref="S64" ca="1">INDIRECT("C"&amp;R64)</f>
        <v>47727</v>
      </c>
      <c r="T64" s="26" cm="1">
        <f t="array" aca="1" ref="T64" ca="1">INDIRECT("h"&amp;R64)</f>
        <v>64.180000000000007</v>
      </c>
    </row>
    <row r="65" spans="3:20">
      <c r="C65" s="18" t="s">
        <v>242</v>
      </c>
      <c r="D65" s="7"/>
      <c r="E65" s="19"/>
      <c r="F65" s="18"/>
      <c r="G65" s="18"/>
      <c r="H65" s="18"/>
      <c r="I65" s="18"/>
      <c r="J65" s="18"/>
      <c r="K65" s="18"/>
      <c r="L65" s="18"/>
      <c r="M65" s="20">
        <v>46000</v>
      </c>
      <c r="R65">
        <f t="shared" si="2"/>
        <v>124</v>
      </c>
      <c r="S65" s="22" cm="1">
        <f t="array" aca="1" ref="S65" ca="1">INDIRECT("C"&amp;R65)</f>
        <v>47757</v>
      </c>
      <c r="T65" s="26" cm="1">
        <f t="array" aca="1" ref="T65" ca="1">INDIRECT("h"&amp;R65)</f>
        <v>58.68</v>
      </c>
    </row>
    <row r="66" spans="3:20">
      <c r="C66" s="17">
        <v>46874</v>
      </c>
      <c r="D66" s="7" t="s">
        <v>200</v>
      </c>
      <c r="E66" s="19"/>
      <c r="F66" s="18" t="s">
        <v>12</v>
      </c>
      <c r="G66" s="18" t="s">
        <v>12</v>
      </c>
      <c r="H66" s="18">
        <v>59.73</v>
      </c>
      <c r="I66" s="18" t="s">
        <v>12</v>
      </c>
      <c r="J66" s="18" t="s">
        <v>12</v>
      </c>
      <c r="K66" s="18" t="s">
        <v>12</v>
      </c>
      <c r="L66" s="18">
        <v>0</v>
      </c>
      <c r="M66" s="18" t="s">
        <v>245</v>
      </c>
      <c r="R66">
        <f t="shared" si="2"/>
        <v>126</v>
      </c>
      <c r="S66" s="22" cm="1">
        <f t="array" aca="1" ref="S66" ca="1">INDIRECT("C"&amp;R66)</f>
        <v>47788</v>
      </c>
      <c r="T66" s="26" cm="1">
        <f t="array" aca="1" ref="T66" ca="1">INDIRECT("h"&amp;R66)</f>
        <v>63.13</v>
      </c>
    </row>
    <row r="67" spans="3:20">
      <c r="C67" s="18" t="s">
        <v>244</v>
      </c>
      <c r="D67" s="7"/>
      <c r="E67" s="19"/>
      <c r="F67" s="18"/>
      <c r="G67" s="18"/>
      <c r="H67" s="18"/>
      <c r="I67" s="18"/>
      <c r="J67" s="18"/>
      <c r="K67" s="18"/>
      <c r="L67" s="18"/>
      <c r="M67" s="20">
        <v>46000</v>
      </c>
      <c r="R67">
        <f t="shared" si="2"/>
        <v>128</v>
      </c>
      <c r="S67" s="22" cm="1">
        <f t="array" aca="1" ref="S67" ca="1">INDIRECT("C"&amp;R67)</f>
        <v>47818</v>
      </c>
      <c r="T67" s="26" cm="1">
        <f t="array" aca="1" ref="T67" ca="1">INDIRECT("h"&amp;R67)</f>
        <v>77.66</v>
      </c>
    </row>
    <row r="68" spans="3:20">
      <c r="C68" s="17">
        <v>46905</v>
      </c>
      <c r="D68" s="7" t="s">
        <v>200</v>
      </c>
      <c r="E68" s="19"/>
      <c r="F68" s="18" t="s">
        <v>12</v>
      </c>
      <c r="G68" s="18" t="s">
        <v>12</v>
      </c>
      <c r="H68" s="18">
        <v>63.4</v>
      </c>
      <c r="I68" s="18" t="s">
        <v>12</v>
      </c>
      <c r="J68" s="18" t="s">
        <v>12</v>
      </c>
      <c r="K68" s="18" t="s">
        <v>12</v>
      </c>
      <c r="L68" s="18">
        <v>0</v>
      </c>
      <c r="M68" s="18" t="s">
        <v>51</v>
      </c>
      <c r="R68">
        <f t="shared" si="2"/>
        <v>130</v>
      </c>
      <c r="S68" s="22" cm="1">
        <f t="array" aca="1" ref="S68" ca="1">INDIRECT("C"&amp;R68)</f>
        <v>47849</v>
      </c>
      <c r="T68" s="26" cm="1">
        <f t="array" aca="1" ref="T68" ca="1">INDIRECT("h"&amp;R68)</f>
        <v>0</v>
      </c>
    </row>
    <row r="69" spans="3:20">
      <c r="C69" s="18" t="s">
        <v>246</v>
      </c>
      <c r="D69" s="7"/>
      <c r="E69" s="19"/>
      <c r="F69" s="18"/>
      <c r="G69" s="18"/>
      <c r="H69" s="18"/>
      <c r="I69" s="18"/>
      <c r="J69" s="18"/>
      <c r="K69" s="18"/>
      <c r="L69" s="18"/>
      <c r="M69" s="20">
        <v>46000</v>
      </c>
      <c r="R69">
        <f t="shared" si="2"/>
        <v>132</v>
      </c>
      <c r="S69" s="22" cm="1">
        <f t="array" aca="1" ref="S69" ca="1">INDIRECT("C"&amp;R69)</f>
        <v>47880</v>
      </c>
      <c r="T69" s="26" cm="1">
        <f t="array" aca="1" ref="T69" ca="1">INDIRECT("h"&amp;R69)</f>
        <v>0</v>
      </c>
    </row>
    <row r="70" spans="3:20">
      <c r="C70" s="17">
        <v>46935</v>
      </c>
      <c r="D70" s="7" t="s">
        <v>200</v>
      </c>
      <c r="E70" s="19"/>
      <c r="F70" s="18" t="s">
        <v>12</v>
      </c>
      <c r="G70" s="18" t="s">
        <v>12</v>
      </c>
      <c r="H70" s="18">
        <v>91.92</v>
      </c>
      <c r="I70" s="18" t="s">
        <v>12</v>
      </c>
      <c r="J70" s="18" t="s">
        <v>12</v>
      </c>
      <c r="K70" s="18" t="s">
        <v>12</v>
      </c>
      <c r="L70" s="18">
        <v>0</v>
      </c>
      <c r="M70" s="18" t="s">
        <v>248</v>
      </c>
      <c r="R70">
        <f t="shared" si="2"/>
        <v>134</v>
      </c>
      <c r="S70" s="22" cm="1">
        <f t="array" aca="1" ref="S70" ca="1">INDIRECT("C"&amp;R70)</f>
        <v>47908</v>
      </c>
      <c r="T70" s="26" cm="1">
        <f t="array" aca="1" ref="T70" ca="1">INDIRECT("h"&amp;R70)</f>
        <v>0</v>
      </c>
    </row>
    <row r="71" spans="3:20">
      <c r="C71" s="18" t="s">
        <v>247</v>
      </c>
      <c r="D71" s="7"/>
      <c r="E71" s="19"/>
      <c r="F71" s="18"/>
      <c r="G71" s="18"/>
      <c r="H71" s="18"/>
      <c r="I71" s="18"/>
      <c r="J71" s="18"/>
      <c r="K71" s="18"/>
      <c r="L71" s="18"/>
      <c r="M71" s="20">
        <v>46000</v>
      </c>
      <c r="R71">
        <f t="shared" si="2"/>
        <v>136</v>
      </c>
      <c r="S71" s="22" cm="1">
        <f t="array" aca="1" ref="S71" ca="1">INDIRECT("C"&amp;R71)</f>
        <v>47939</v>
      </c>
      <c r="T71" s="26" cm="1">
        <f t="array" aca="1" ref="T71" ca="1">INDIRECT("h"&amp;R71)</f>
        <v>0</v>
      </c>
    </row>
    <row r="72" spans="3:20">
      <c r="C72" s="17">
        <v>46966</v>
      </c>
      <c r="D72" s="7" t="s">
        <v>200</v>
      </c>
      <c r="E72" s="19"/>
      <c r="F72" s="18" t="s">
        <v>12</v>
      </c>
      <c r="G72" s="18" t="s">
        <v>12</v>
      </c>
      <c r="H72" s="18">
        <v>84.32</v>
      </c>
      <c r="I72" s="18" t="s">
        <v>12</v>
      </c>
      <c r="J72" s="18" t="s">
        <v>12</v>
      </c>
      <c r="K72" s="18" t="s">
        <v>12</v>
      </c>
      <c r="L72" s="18">
        <v>0</v>
      </c>
      <c r="M72" s="18" t="s">
        <v>250</v>
      </c>
    </row>
    <row r="73" spans="3:20">
      <c r="C73" s="18" t="s">
        <v>249</v>
      </c>
      <c r="D73" s="7"/>
      <c r="E73" s="19"/>
      <c r="F73" s="18"/>
      <c r="G73" s="18"/>
      <c r="H73" s="18"/>
      <c r="I73" s="18"/>
      <c r="J73" s="18"/>
      <c r="K73" s="18"/>
      <c r="L73" s="18"/>
      <c r="M73" s="20">
        <v>46000</v>
      </c>
    </row>
    <row r="74" spans="3:20">
      <c r="C74" s="17">
        <v>46997</v>
      </c>
      <c r="D74" s="7" t="s">
        <v>200</v>
      </c>
      <c r="E74" s="19"/>
      <c r="F74" s="18" t="s">
        <v>12</v>
      </c>
      <c r="G74" s="18" t="s">
        <v>12</v>
      </c>
      <c r="H74" s="18">
        <v>62.42</v>
      </c>
      <c r="I74" s="18" t="s">
        <v>12</v>
      </c>
      <c r="J74" s="18" t="s">
        <v>12</v>
      </c>
      <c r="K74" s="18" t="s">
        <v>12</v>
      </c>
      <c r="L74" s="18">
        <v>0</v>
      </c>
      <c r="M74" s="18" t="s">
        <v>245</v>
      </c>
    </row>
    <row r="75" spans="3:20">
      <c r="C75" s="18" t="s">
        <v>251</v>
      </c>
      <c r="D75" s="7"/>
      <c r="E75" s="19"/>
      <c r="F75" s="18"/>
      <c r="G75" s="18"/>
      <c r="H75" s="18"/>
      <c r="I75" s="18"/>
      <c r="J75" s="18"/>
      <c r="K75" s="18"/>
      <c r="L75" s="18"/>
      <c r="M75" s="20">
        <v>46000</v>
      </c>
    </row>
    <row r="76" spans="3:20">
      <c r="C76" s="17">
        <v>47027</v>
      </c>
      <c r="D76" s="7" t="s">
        <v>200</v>
      </c>
      <c r="E76" s="19"/>
      <c r="F76" s="18" t="s">
        <v>12</v>
      </c>
      <c r="G76" s="18" t="s">
        <v>12</v>
      </c>
      <c r="H76" s="18">
        <v>56.88</v>
      </c>
      <c r="I76" s="18" t="s">
        <v>12</v>
      </c>
      <c r="J76" s="18" t="s">
        <v>12</v>
      </c>
      <c r="K76" s="18" t="s">
        <v>12</v>
      </c>
      <c r="L76" s="18">
        <v>0</v>
      </c>
      <c r="M76" s="18" t="s">
        <v>45</v>
      </c>
    </row>
    <row r="77" spans="3:20">
      <c r="C77" s="18" t="s">
        <v>252</v>
      </c>
      <c r="D77" s="7"/>
      <c r="E77" s="19"/>
      <c r="F77" s="18"/>
      <c r="G77" s="18"/>
      <c r="H77" s="18"/>
      <c r="I77" s="18"/>
      <c r="J77" s="18"/>
      <c r="K77" s="18"/>
      <c r="L77" s="18"/>
      <c r="M77" s="20">
        <v>46000</v>
      </c>
    </row>
    <row r="78" spans="3:20">
      <c r="C78" s="17">
        <v>47058</v>
      </c>
      <c r="D78" s="7" t="s">
        <v>200</v>
      </c>
      <c r="E78" s="19"/>
      <c r="F78" s="18" t="s">
        <v>12</v>
      </c>
      <c r="G78" s="18" t="s">
        <v>12</v>
      </c>
      <c r="H78" s="18">
        <v>61.25</v>
      </c>
      <c r="I78" s="18" t="s">
        <v>12</v>
      </c>
      <c r="J78" s="18" t="s">
        <v>12</v>
      </c>
      <c r="K78" s="18" t="s">
        <v>12</v>
      </c>
      <c r="L78" s="18">
        <v>0</v>
      </c>
      <c r="M78" s="18" t="s">
        <v>254</v>
      </c>
    </row>
    <row r="79" spans="3:20">
      <c r="C79" s="18" t="s">
        <v>253</v>
      </c>
      <c r="D79" s="7"/>
      <c r="E79" s="19"/>
      <c r="F79" s="18"/>
      <c r="G79" s="18"/>
      <c r="H79" s="18"/>
      <c r="I79" s="18"/>
      <c r="J79" s="18"/>
      <c r="K79" s="18"/>
      <c r="L79" s="18"/>
      <c r="M79" s="20">
        <v>46000</v>
      </c>
    </row>
    <row r="80" spans="3:20">
      <c r="C80" s="17">
        <v>47088</v>
      </c>
      <c r="D80" s="7" t="s">
        <v>200</v>
      </c>
      <c r="E80" s="19"/>
      <c r="F80" s="18" t="s">
        <v>12</v>
      </c>
      <c r="G80" s="18" t="s">
        <v>12</v>
      </c>
      <c r="H80" s="18">
        <v>75.430000000000007</v>
      </c>
      <c r="I80" s="18" t="s">
        <v>12</v>
      </c>
      <c r="J80" s="18" t="s">
        <v>12</v>
      </c>
      <c r="K80" s="18" t="s">
        <v>12</v>
      </c>
      <c r="L80" s="18">
        <v>0</v>
      </c>
      <c r="M80" s="18" t="s">
        <v>51</v>
      </c>
    </row>
    <row r="81" spans="3:13">
      <c r="C81" s="18" t="s">
        <v>255</v>
      </c>
      <c r="D81" s="7"/>
      <c r="E81" s="19"/>
      <c r="F81" s="18"/>
      <c r="G81" s="18"/>
      <c r="H81" s="18"/>
      <c r="I81" s="18"/>
      <c r="J81" s="18"/>
      <c r="K81" s="18"/>
      <c r="L81" s="18"/>
      <c r="M81" s="20">
        <v>46000</v>
      </c>
    </row>
    <row r="82" spans="3:13">
      <c r="C82" s="17">
        <v>47119</v>
      </c>
      <c r="D82" s="7" t="s">
        <v>200</v>
      </c>
      <c r="E82" s="19"/>
      <c r="F82" s="18" t="s">
        <v>12</v>
      </c>
      <c r="G82" s="18" t="s">
        <v>12</v>
      </c>
      <c r="H82" s="18">
        <v>93.6</v>
      </c>
      <c r="I82" s="18" t="s">
        <v>12</v>
      </c>
      <c r="J82" s="18" t="s">
        <v>12</v>
      </c>
      <c r="K82" s="18" t="s">
        <v>12</v>
      </c>
      <c r="L82" s="18">
        <v>0</v>
      </c>
      <c r="M82" s="18" t="s">
        <v>36</v>
      </c>
    </row>
    <row r="83" spans="3:13">
      <c r="C83" s="18" t="s">
        <v>256</v>
      </c>
      <c r="D83" s="7"/>
      <c r="E83" s="19"/>
      <c r="F83" s="18"/>
      <c r="G83" s="18"/>
      <c r="H83" s="18"/>
      <c r="I83" s="18"/>
      <c r="J83" s="18"/>
      <c r="K83" s="18"/>
      <c r="L83" s="18"/>
      <c r="M83" s="20">
        <v>46000</v>
      </c>
    </row>
    <row r="84" spans="3:13">
      <c r="C84" s="17">
        <v>47150</v>
      </c>
      <c r="D84" s="7" t="s">
        <v>200</v>
      </c>
      <c r="E84" s="19"/>
      <c r="F84" s="18" t="s">
        <v>12</v>
      </c>
      <c r="G84" s="18" t="s">
        <v>12</v>
      </c>
      <c r="H84" s="18">
        <v>85.77</v>
      </c>
      <c r="I84" s="18" t="s">
        <v>12</v>
      </c>
      <c r="J84" s="18" t="s">
        <v>12</v>
      </c>
      <c r="K84" s="18" t="s">
        <v>12</v>
      </c>
      <c r="L84" s="18">
        <v>0</v>
      </c>
      <c r="M84" s="18" t="s">
        <v>122</v>
      </c>
    </row>
    <row r="85" spans="3:13">
      <c r="C85" s="18" t="s">
        <v>257</v>
      </c>
      <c r="D85" s="7"/>
      <c r="E85" s="19"/>
      <c r="F85" s="18"/>
      <c r="G85" s="18"/>
      <c r="H85" s="18"/>
      <c r="I85" s="18"/>
      <c r="J85" s="18"/>
      <c r="K85" s="18"/>
      <c r="L85" s="18"/>
      <c r="M85" s="20">
        <v>46000</v>
      </c>
    </row>
    <row r="86" spans="3:13">
      <c r="C86" s="17">
        <v>47178</v>
      </c>
      <c r="D86" s="7" t="s">
        <v>200</v>
      </c>
      <c r="E86" s="19"/>
      <c r="F86" s="18" t="s">
        <v>12</v>
      </c>
      <c r="G86" s="18" t="s">
        <v>12</v>
      </c>
      <c r="H86" s="18">
        <v>64.989999999999995</v>
      </c>
      <c r="I86" s="18" t="s">
        <v>12</v>
      </c>
      <c r="J86" s="18" t="s">
        <v>12</v>
      </c>
      <c r="K86" s="18" t="s">
        <v>12</v>
      </c>
      <c r="L86" s="18">
        <v>0</v>
      </c>
      <c r="M86" s="18" t="s">
        <v>113</v>
      </c>
    </row>
    <row r="87" spans="3:13">
      <c r="C87" s="18" t="s">
        <v>258</v>
      </c>
      <c r="D87" s="7"/>
      <c r="E87" s="19"/>
      <c r="F87" s="18"/>
      <c r="G87" s="18"/>
      <c r="H87" s="18"/>
      <c r="I87" s="18"/>
      <c r="J87" s="18"/>
      <c r="K87" s="18"/>
      <c r="L87" s="18"/>
      <c r="M87" s="20">
        <v>46000</v>
      </c>
    </row>
    <row r="88" spans="3:13">
      <c r="C88" s="17">
        <v>47209</v>
      </c>
      <c r="D88" s="7" t="s">
        <v>200</v>
      </c>
      <c r="E88" s="19"/>
      <c r="F88" s="18" t="s">
        <v>12</v>
      </c>
      <c r="G88" s="18" t="s">
        <v>12</v>
      </c>
      <c r="H88" s="18">
        <v>58.07</v>
      </c>
      <c r="I88" s="18" t="s">
        <v>12</v>
      </c>
      <c r="J88" s="18" t="s">
        <v>12</v>
      </c>
      <c r="K88" s="18" t="s">
        <v>12</v>
      </c>
      <c r="L88" s="18">
        <v>0</v>
      </c>
      <c r="M88" s="18" t="s">
        <v>260</v>
      </c>
    </row>
    <row r="89" spans="3:13">
      <c r="C89" s="18" t="s">
        <v>259</v>
      </c>
      <c r="D89" s="7"/>
      <c r="E89" s="19"/>
      <c r="F89" s="18"/>
      <c r="G89" s="18"/>
      <c r="H89" s="18"/>
      <c r="I89" s="18"/>
      <c r="J89" s="18"/>
      <c r="K89" s="18"/>
      <c r="L89" s="18"/>
      <c r="M89" s="20">
        <v>46000</v>
      </c>
    </row>
    <row r="90" spans="3:13">
      <c r="C90" s="17">
        <v>47239</v>
      </c>
      <c r="D90" s="7" t="s">
        <v>200</v>
      </c>
      <c r="E90" s="19"/>
      <c r="F90" s="18" t="s">
        <v>12</v>
      </c>
      <c r="G90" s="18" t="s">
        <v>12</v>
      </c>
      <c r="H90" s="18">
        <v>60.37</v>
      </c>
      <c r="I90" s="18" t="s">
        <v>12</v>
      </c>
      <c r="J90" s="18" t="s">
        <v>12</v>
      </c>
      <c r="K90" s="18" t="s">
        <v>12</v>
      </c>
      <c r="L90" s="18">
        <v>0</v>
      </c>
      <c r="M90" s="18" t="s">
        <v>36</v>
      </c>
    </row>
    <row r="91" spans="3:13">
      <c r="C91" s="18" t="s">
        <v>261</v>
      </c>
      <c r="D91" s="7"/>
      <c r="E91" s="19"/>
      <c r="F91" s="18"/>
      <c r="G91" s="18"/>
      <c r="H91" s="18"/>
      <c r="I91" s="18"/>
      <c r="J91" s="18"/>
      <c r="K91" s="18"/>
      <c r="L91" s="18"/>
      <c r="M91" s="20">
        <v>46000</v>
      </c>
    </row>
    <row r="92" spans="3:13">
      <c r="C92" s="17">
        <v>47270</v>
      </c>
      <c r="D92" s="7" t="s">
        <v>200</v>
      </c>
      <c r="E92" s="19"/>
      <c r="F92" s="18" t="s">
        <v>12</v>
      </c>
      <c r="G92" s="18" t="s">
        <v>12</v>
      </c>
      <c r="H92" s="18">
        <v>64.25</v>
      </c>
      <c r="I92" s="18" t="s">
        <v>12</v>
      </c>
      <c r="J92" s="18" t="s">
        <v>12</v>
      </c>
      <c r="K92" s="18" t="s">
        <v>12</v>
      </c>
      <c r="L92" s="18">
        <v>0</v>
      </c>
      <c r="M92" s="18" t="s">
        <v>36</v>
      </c>
    </row>
    <row r="93" spans="3:13">
      <c r="C93" s="18" t="s">
        <v>262</v>
      </c>
      <c r="D93" s="7"/>
      <c r="E93" s="19"/>
      <c r="F93" s="18"/>
      <c r="G93" s="18"/>
      <c r="H93" s="18"/>
      <c r="I93" s="18"/>
      <c r="J93" s="18"/>
      <c r="K93" s="18"/>
      <c r="L93" s="18"/>
      <c r="M93" s="20">
        <v>46000</v>
      </c>
    </row>
    <row r="94" spans="3:13">
      <c r="C94" s="17">
        <v>47300</v>
      </c>
      <c r="D94" s="7" t="s">
        <v>200</v>
      </c>
      <c r="E94" s="19"/>
      <c r="F94" s="18" t="s">
        <v>12</v>
      </c>
      <c r="G94" s="18" t="s">
        <v>12</v>
      </c>
      <c r="H94" s="18">
        <v>85.88</v>
      </c>
      <c r="I94" s="18" t="s">
        <v>12</v>
      </c>
      <c r="J94" s="18" t="s">
        <v>12</v>
      </c>
      <c r="K94" s="18" t="s">
        <v>12</v>
      </c>
      <c r="L94" s="18">
        <v>0</v>
      </c>
      <c r="M94" s="18" t="s">
        <v>260</v>
      </c>
    </row>
    <row r="95" spans="3:13">
      <c r="C95" s="18" t="s">
        <v>263</v>
      </c>
      <c r="D95" s="7"/>
      <c r="E95" s="19"/>
      <c r="F95" s="18"/>
      <c r="G95" s="18"/>
      <c r="H95" s="18"/>
      <c r="I95" s="18"/>
      <c r="J95" s="18"/>
      <c r="K95" s="18"/>
      <c r="L95" s="18"/>
      <c r="M95" s="20">
        <v>46000</v>
      </c>
    </row>
    <row r="96" spans="3:13">
      <c r="C96" s="17">
        <v>47331</v>
      </c>
      <c r="D96" s="7" t="s">
        <v>200</v>
      </c>
      <c r="E96" s="19"/>
      <c r="F96" s="18" t="s">
        <v>12</v>
      </c>
      <c r="G96" s="18" t="s">
        <v>12</v>
      </c>
      <c r="H96" s="18">
        <v>79.069999999999993</v>
      </c>
      <c r="I96" s="18" t="s">
        <v>12</v>
      </c>
      <c r="J96" s="18" t="s">
        <v>12</v>
      </c>
      <c r="K96" s="18" t="s">
        <v>12</v>
      </c>
      <c r="L96" s="18">
        <v>0</v>
      </c>
      <c r="M96" s="18" t="s">
        <v>265</v>
      </c>
    </row>
    <row r="97" spans="3:13">
      <c r="C97" s="18" t="s">
        <v>264</v>
      </c>
      <c r="D97" s="7"/>
      <c r="E97" s="19"/>
      <c r="F97" s="18"/>
      <c r="G97" s="18"/>
      <c r="H97" s="18"/>
      <c r="I97" s="18"/>
      <c r="J97" s="18"/>
      <c r="K97" s="18"/>
      <c r="L97" s="18"/>
      <c r="M97" s="20">
        <v>46000</v>
      </c>
    </row>
    <row r="98" spans="3:13">
      <c r="C98" s="17">
        <v>47362</v>
      </c>
      <c r="D98" s="7" t="s">
        <v>200</v>
      </c>
      <c r="E98" s="19"/>
      <c r="F98" s="18" t="s">
        <v>12</v>
      </c>
      <c r="G98" s="18" t="s">
        <v>12</v>
      </c>
      <c r="H98" s="18">
        <v>63.55</v>
      </c>
      <c r="I98" s="18" t="s">
        <v>12</v>
      </c>
      <c r="J98" s="18" t="s">
        <v>12</v>
      </c>
      <c r="K98" s="18" t="s">
        <v>12</v>
      </c>
      <c r="L98" s="18">
        <v>0</v>
      </c>
      <c r="M98" s="18" t="s">
        <v>267</v>
      </c>
    </row>
    <row r="99" spans="3:13">
      <c r="C99" s="18" t="s">
        <v>266</v>
      </c>
      <c r="D99" s="7"/>
      <c r="E99" s="19"/>
      <c r="F99" s="18"/>
      <c r="G99" s="18"/>
      <c r="H99" s="18"/>
      <c r="I99" s="18"/>
      <c r="J99" s="18"/>
      <c r="K99" s="18"/>
      <c r="L99" s="18"/>
      <c r="M99" s="20">
        <v>46000</v>
      </c>
    </row>
    <row r="100" spans="3:13">
      <c r="C100" s="17">
        <v>47392</v>
      </c>
      <c r="D100" s="7" t="s">
        <v>200</v>
      </c>
      <c r="E100" s="19"/>
      <c r="F100" s="18" t="s">
        <v>12</v>
      </c>
      <c r="G100" s="18" t="s">
        <v>12</v>
      </c>
      <c r="H100" s="18">
        <v>58.07</v>
      </c>
      <c r="I100" s="18" t="s">
        <v>12</v>
      </c>
      <c r="J100" s="18" t="s">
        <v>12</v>
      </c>
      <c r="K100" s="18" t="s">
        <v>12</v>
      </c>
      <c r="L100" s="18">
        <v>0</v>
      </c>
      <c r="M100" s="18" t="s">
        <v>260</v>
      </c>
    </row>
    <row r="101" spans="3:13">
      <c r="C101" s="18" t="s">
        <v>268</v>
      </c>
      <c r="D101" s="7"/>
      <c r="E101" s="19"/>
      <c r="F101" s="18"/>
      <c r="G101" s="18"/>
      <c r="H101" s="18"/>
      <c r="I101" s="18"/>
      <c r="J101" s="18"/>
      <c r="K101" s="18"/>
      <c r="L101" s="18"/>
      <c r="M101" s="20">
        <v>46000</v>
      </c>
    </row>
    <row r="102" spans="3:13">
      <c r="C102" s="17">
        <v>47423</v>
      </c>
      <c r="D102" s="7" t="s">
        <v>200</v>
      </c>
      <c r="E102" s="19"/>
      <c r="F102" s="18" t="s">
        <v>12</v>
      </c>
      <c r="G102" s="18" t="s">
        <v>12</v>
      </c>
      <c r="H102" s="18">
        <v>62.51</v>
      </c>
      <c r="I102" s="18" t="s">
        <v>12</v>
      </c>
      <c r="J102" s="18" t="s">
        <v>12</v>
      </c>
      <c r="K102" s="18" t="s">
        <v>12</v>
      </c>
      <c r="L102" s="18">
        <v>0</v>
      </c>
      <c r="M102" s="18" t="s">
        <v>270</v>
      </c>
    </row>
    <row r="103" spans="3:13">
      <c r="C103" s="18" t="s">
        <v>269</v>
      </c>
      <c r="D103" s="7"/>
      <c r="E103" s="19"/>
      <c r="F103" s="18"/>
      <c r="G103" s="18"/>
      <c r="H103" s="18"/>
      <c r="I103" s="18"/>
      <c r="J103" s="18"/>
      <c r="K103" s="18"/>
      <c r="L103" s="18"/>
      <c r="M103" s="20">
        <v>46000</v>
      </c>
    </row>
    <row r="104" spans="3:13">
      <c r="C104" s="17">
        <v>47453</v>
      </c>
      <c r="D104" s="7" t="s">
        <v>200</v>
      </c>
      <c r="E104" s="19"/>
      <c r="F104" s="18" t="s">
        <v>12</v>
      </c>
      <c r="G104" s="18" t="s">
        <v>12</v>
      </c>
      <c r="H104" s="18">
        <v>76.87</v>
      </c>
      <c r="I104" s="18" t="s">
        <v>12</v>
      </c>
      <c r="J104" s="18" t="s">
        <v>12</v>
      </c>
      <c r="K104" s="18" t="s">
        <v>12</v>
      </c>
      <c r="L104" s="18">
        <v>0</v>
      </c>
      <c r="M104" s="18" t="s">
        <v>122</v>
      </c>
    </row>
    <row r="105" spans="3:13">
      <c r="C105" s="18" t="s">
        <v>271</v>
      </c>
      <c r="D105" s="7"/>
      <c r="E105" s="19"/>
      <c r="F105" s="18"/>
      <c r="G105" s="18"/>
      <c r="H105" s="18"/>
      <c r="I105" s="18"/>
      <c r="J105" s="18"/>
      <c r="K105" s="18"/>
      <c r="L105" s="18"/>
      <c r="M105" s="20">
        <v>46000</v>
      </c>
    </row>
    <row r="106" spans="3:13">
      <c r="C106" s="17">
        <v>47484</v>
      </c>
      <c r="D106" s="7" t="s">
        <v>200</v>
      </c>
      <c r="E106" s="19"/>
      <c r="F106" s="18" t="s">
        <v>12</v>
      </c>
      <c r="G106" s="18" t="s">
        <v>12</v>
      </c>
      <c r="H106" s="18">
        <v>94.55</v>
      </c>
      <c r="I106" s="18" t="s">
        <v>12</v>
      </c>
      <c r="J106" s="18" t="s">
        <v>12</v>
      </c>
      <c r="K106" s="18" t="s">
        <v>12</v>
      </c>
      <c r="L106" s="18">
        <v>0</v>
      </c>
      <c r="M106" s="18" t="s">
        <v>273</v>
      </c>
    </row>
    <row r="107" spans="3:13">
      <c r="C107" s="18" t="s">
        <v>272</v>
      </c>
      <c r="D107" s="7"/>
      <c r="E107" s="19"/>
      <c r="F107" s="18"/>
      <c r="G107" s="18"/>
      <c r="H107" s="18"/>
      <c r="I107" s="18"/>
      <c r="J107" s="18"/>
      <c r="K107" s="18"/>
      <c r="L107" s="18"/>
      <c r="M107" s="20">
        <v>46000</v>
      </c>
    </row>
    <row r="108" spans="3:13">
      <c r="C108" s="17">
        <v>47515</v>
      </c>
      <c r="D108" s="7" t="s">
        <v>200</v>
      </c>
      <c r="E108" s="19"/>
      <c r="F108" s="18" t="s">
        <v>12</v>
      </c>
      <c r="G108" s="18" t="s">
        <v>12</v>
      </c>
      <c r="H108" s="18">
        <v>86.63</v>
      </c>
      <c r="I108" s="18" t="s">
        <v>12</v>
      </c>
      <c r="J108" s="18" t="s">
        <v>12</v>
      </c>
      <c r="K108" s="18" t="s">
        <v>12</v>
      </c>
      <c r="L108" s="18">
        <v>0</v>
      </c>
      <c r="M108" s="18" t="s">
        <v>275</v>
      </c>
    </row>
    <row r="109" spans="3:13">
      <c r="C109" s="18" t="s">
        <v>274</v>
      </c>
      <c r="D109" s="7"/>
      <c r="E109" s="19"/>
      <c r="F109" s="18"/>
      <c r="G109" s="18"/>
      <c r="H109" s="18"/>
      <c r="I109" s="18"/>
      <c r="J109" s="18"/>
      <c r="K109" s="18"/>
      <c r="L109" s="18"/>
      <c r="M109" s="20">
        <v>46000</v>
      </c>
    </row>
    <row r="110" spans="3:13">
      <c r="C110" s="17">
        <v>47543</v>
      </c>
      <c r="D110" s="7" t="s">
        <v>200</v>
      </c>
      <c r="E110" s="19"/>
      <c r="F110" s="18" t="s">
        <v>12</v>
      </c>
      <c r="G110" s="18" t="s">
        <v>12</v>
      </c>
      <c r="H110" s="18">
        <v>65.72</v>
      </c>
      <c r="I110" s="18" t="s">
        <v>12</v>
      </c>
      <c r="J110" s="18" t="s">
        <v>12</v>
      </c>
      <c r="K110" s="18" t="s">
        <v>12</v>
      </c>
      <c r="L110" s="18">
        <v>0</v>
      </c>
      <c r="M110" s="18" t="s">
        <v>277</v>
      </c>
    </row>
    <row r="111" spans="3:13">
      <c r="C111" s="18" t="s">
        <v>276</v>
      </c>
      <c r="D111" s="7"/>
      <c r="E111" s="19"/>
      <c r="F111" s="18"/>
      <c r="G111" s="18"/>
      <c r="H111" s="18"/>
      <c r="I111" s="18"/>
      <c r="J111" s="18"/>
      <c r="K111" s="18"/>
      <c r="L111" s="18"/>
      <c r="M111" s="20">
        <v>46000</v>
      </c>
    </row>
    <row r="112" spans="3:13">
      <c r="C112" s="17">
        <v>47574</v>
      </c>
      <c r="D112" s="7" t="s">
        <v>200</v>
      </c>
      <c r="E112" s="19"/>
      <c r="F112" s="18" t="s">
        <v>12</v>
      </c>
      <c r="G112" s="18" t="s">
        <v>12</v>
      </c>
      <c r="H112" s="18">
        <v>58.68</v>
      </c>
      <c r="I112" s="18" t="s">
        <v>12</v>
      </c>
      <c r="J112" s="18" t="s">
        <v>12</v>
      </c>
      <c r="K112" s="18" t="s">
        <v>12</v>
      </c>
      <c r="L112" s="18">
        <v>0</v>
      </c>
      <c r="M112" s="18" t="s">
        <v>205</v>
      </c>
    </row>
    <row r="113" spans="3:13">
      <c r="C113" s="18" t="s">
        <v>278</v>
      </c>
      <c r="D113" s="7"/>
      <c r="E113" s="19"/>
      <c r="F113" s="18"/>
      <c r="G113" s="18"/>
      <c r="H113" s="18"/>
      <c r="I113" s="18"/>
      <c r="J113" s="18"/>
      <c r="K113" s="18"/>
      <c r="L113" s="18"/>
      <c r="M113" s="20">
        <v>46000</v>
      </c>
    </row>
    <row r="114" spans="3:13">
      <c r="C114" s="17">
        <v>47604</v>
      </c>
      <c r="D114" s="7" t="s">
        <v>200</v>
      </c>
      <c r="E114" s="19"/>
      <c r="F114" s="18" t="s">
        <v>12</v>
      </c>
      <c r="G114" s="18" t="s">
        <v>12</v>
      </c>
      <c r="H114" s="18">
        <v>60.99</v>
      </c>
      <c r="I114" s="18" t="s">
        <v>12</v>
      </c>
      <c r="J114" s="18" t="s">
        <v>12</v>
      </c>
      <c r="K114" s="18" t="s">
        <v>12</v>
      </c>
      <c r="L114" s="18">
        <v>0</v>
      </c>
      <c r="M114" s="18" t="s">
        <v>277</v>
      </c>
    </row>
    <row r="115" spans="3:13">
      <c r="C115" s="18" t="s">
        <v>279</v>
      </c>
      <c r="D115" s="7"/>
      <c r="E115" s="19"/>
      <c r="F115" s="18"/>
      <c r="G115" s="18"/>
      <c r="H115" s="18"/>
      <c r="I115" s="18"/>
      <c r="J115" s="18"/>
      <c r="K115" s="18"/>
      <c r="L115" s="18"/>
      <c r="M115" s="20">
        <v>46000</v>
      </c>
    </row>
    <row r="116" spans="3:13">
      <c r="C116" s="17">
        <v>47635</v>
      </c>
      <c r="D116" s="7" t="s">
        <v>200</v>
      </c>
      <c r="E116" s="19"/>
      <c r="F116" s="18" t="s">
        <v>12</v>
      </c>
      <c r="G116" s="18" t="s">
        <v>12</v>
      </c>
      <c r="H116" s="18">
        <v>64.84</v>
      </c>
      <c r="I116" s="18" t="s">
        <v>12</v>
      </c>
      <c r="J116" s="18" t="s">
        <v>12</v>
      </c>
      <c r="K116" s="18" t="s">
        <v>12</v>
      </c>
      <c r="L116" s="18">
        <v>0</v>
      </c>
      <c r="M116" s="18" t="s">
        <v>281</v>
      </c>
    </row>
    <row r="117" spans="3:13">
      <c r="C117" s="18" t="s">
        <v>280</v>
      </c>
      <c r="D117" s="7"/>
      <c r="E117" s="19"/>
      <c r="F117" s="18"/>
      <c r="G117" s="18"/>
      <c r="H117" s="18"/>
      <c r="I117" s="18"/>
      <c r="J117" s="18"/>
      <c r="K117" s="18"/>
      <c r="L117" s="18"/>
      <c r="M117" s="20">
        <v>46000</v>
      </c>
    </row>
    <row r="118" spans="3:13">
      <c r="C118" s="17">
        <v>47665</v>
      </c>
      <c r="D118" s="7" t="s">
        <v>200</v>
      </c>
      <c r="E118" s="19"/>
      <c r="F118" s="18" t="s">
        <v>12</v>
      </c>
      <c r="G118" s="18" t="s">
        <v>12</v>
      </c>
      <c r="H118" s="18">
        <v>86.68</v>
      </c>
      <c r="I118" s="18" t="s">
        <v>12</v>
      </c>
      <c r="J118" s="18" t="s">
        <v>12</v>
      </c>
      <c r="K118" s="18" t="s">
        <v>12</v>
      </c>
      <c r="L118" s="18">
        <v>0</v>
      </c>
      <c r="M118" s="18" t="s">
        <v>275</v>
      </c>
    </row>
    <row r="119" spans="3:13">
      <c r="C119" s="18" t="s">
        <v>282</v>
      </c>
      <c r="D119" s="7"/>
      <c r="E119" s="19"/>
      <c r="F119" s="18"/>
      <c r="G119" s="18"/>
      <c r="H119" s="18"/>
      <c r="I119" s="18"/>
      <c r="J119" s="18"/>
      <c r="K119" s="18"/>
      <c r="L119" s="18"/>
      <c r="M119" s="20">
        <v>46000</v>
      </c>
    </row>
    <row r="120" spans="3:13">
      <c r="C120" s="17">
        <v>47696</v>
      </c>
      <c r="D120" s="7" t="s">
        <v>200</v>
      </c>
      <c r="E120" s="19"/>
      <c r="F120" s="18" t="s">
        <v>12</v>
      </c>
      <c r="G120" s="18" t="s">
        <v>12</v>
      </c>
      <c r="H120" s="18">
        <v>79.86</v>
      </c>
      <c r="I120" s="18" t="s">
        <v>12</v>
      </c>
      <c r="J120" s="18" t="s">
        <v>12</v>
      </c>
      <c r="K120" s="18" t="s">
        <v>12</v>
      </c>
      <c r="L120" s="18">
        <v>0</v>
      </c>
      <c r="M120" s="18" t="s">
        <v>122</v>
      </c>
    </row>
    <row r="121" spans="3:13">
      <c r="C121" s="18" t="s">
        <v>283</v>
      </c>
      <c r="D121" s="7"/>
      <c r="E121" s="19"/>
      <c r="F121" s="18"/>
      <c r="G121" s="18"/>
      <c r="H121" s="18"/>
      <c r="I121" s="18"/>
      <c r="J121" s="18"/>
      <c r="K121" s="18"/>
      <c r="L121" s="18"/>
      <c r="M121" s="20">
        <v>46000</v>
      </c>
    </row>
    <row r="122" spans="3:13">
      <c r="C122" s="17">
        <v>47727</v>
      </c>
      <c r="D122" s="7" t="s">
        <v>200</v>
      </c>
      <c r="E122" s="19"/>
      <c r="F122" s="18" t="s">
        <v>12</v>
      </c>
      <c r="G122" s="18" t="s">
        <v>12</v>
      </c>
      <c r="H122" s="18">
        <v>64.180000000000007</v>
      </c>
      <c r="I122" s="18" t="s">
        <v>12</v>
      </c>
      <c r="J122" s="18" t="s">
        <v>12</v>
      </c>
      <c r="K122" s="18" t="s">
        <v>12</v>
      </c>
      <c r="L122" s="18">
        <v>0</v>
      </c>
      <c r="M122" s="18" t="s">
        <v>111</v>
      </c>
    </row>
    <row r="123" spans="3:13">
      <c r="C123" s="18" t="s">
        <v>284</v>
      </c>
      <c r="D123" s="7"/>
      <c r="E123" s="19"/>
      <c r="F123" s="18"/>
      <c r="G123" s="18"/>
      <c r="H123" s="18"/>
      <c r="I123" s="18"/>
      <c r="J123" s="18"/>
      <c r="K123" s="18"/>
      <c r="L123" s="18"/>
      <c r="M123" s="20">
        <v>46000</v>
      </c>
    </row>
    <row r="124" spans="3:13">
      <c r="C124" s="17">
        <v>47757</v>
      </c>
      <c r="D124" s="7" t="s">
        <v>200</v>
      </c>
      <c r="E124" s="19"/>
      <c r="F124" s="18" t="s">
        <v>12</v>
      </c>
      <c r="G124" s="18" t="s">
        <v>12</v>
      </c>
      <c r="H124" s="18">
        <v>58.68</v>
      </c>
      <c r="I124" s="18" t="s">
        <v>12</v>
      </c>
      <c r="J124" s="18" t="s">
        <v>12</v>
      </c>
      <c r="K124" s="18" t="s">
        <v>12</v>
      </c>
      <c r="L124" s="18">
        <v>0</v>
      </c>
      <c r="M124" s="18" t="s">
        <v>275</v>
      </c>
    </row>
    <row r="125" spans="3:13">
      <c r="C125" s="18" t="s">
        <v>285</v>
      </c>
      <c r="D125" s="7"/>
      <c r="E125" s="19"/>
      <c r="F125" s="18"/>
      <c r="G125" s="18"/>
      <c r="H125" s="18"/>
      <c r="I125" s="18"/>
      <c r="J125" s="18"/>
      <c r="K125" s="18"/>
      <c r="L125" s="18"/>
      <c r="M125" s="20">
        <v>46000</v>
      </c>
    </row>
    <row r="126" spans="3:13">
      <c r="C126" s="17">
        <v>47788</v>
      </c>
      <c r="D126" s="7" t="s">
        <v>200</v>
      </c>
      <c r="E126" s="19"/>
      <c r="F126" s="18" t="s">
        <v>12</v>
      </c>
      <c r="G126" s="18" t="s">
        <v>12</v>
      </c>
      <c r="H126" s="18">
        <v>63.13</v>
      </c>
      <c r="I126" s="18" t="s">
        <v>12</v>
      </c>
      <c r="J126" s="18" t="s">
        <v>12</v>
      </c>
      <c r="K126" s="18" t="s">
        <v>12</v>
      </c>
      <c r="L126" s="18">
        <v>0</v>
      </c>
      <c r="M126" s="18" t="s">
        <v>281</v>
      </c>
    </row>
    <row r="127" spans="3:13">
      <c r="C127" s="18" t="s">
        <v>286</v>
      </c>
      <c r="D127" s="7"/>
      <c r="E127" s="19"/>
      <c r="F127" s="18"/>
      <c r="G127" s="18"/>
      <c r="H127" s="18"/>
      <c r="I127" s="18"/>
      <c r="J127" s="18"/>
      <c r="K127" s="18"/>
      <c r="L127" s="18"/>
      <c r="M127" s="20">
        <v>46000</v>
      </c>
    </row>
    <row r="128" spans="3:13">
      <c r="C128" s="17">
        <v>47818</v>
      </c>
      <c r="D128" s="7" t="s">
        <v>200</v>
      </c>
      <c r="E128" s="19"/>
      <c r="F128" s="18" t="s">
        <v>12</v>
      </c>
      <c r="G128" s="18" t="s">
        <v>12</v>
      </c>
      <c r="H128" s="18">
        <v>77.66</v>
      </c>
      <c r="I128" s="18" t="s">
        <v>12</v>
      </c>
      <c r="J128" s="18" t="s">
        <v>12</v>
      </c>
      <c r="K128" s="18" t="s">
        <v>12</v>
      </c>
      <c r="L128" s="18">
        <v>0</v>
      </c>
      <c r="M128" s="18" t="s">
        <v>205</v>
      </c>
    </row>
    <row r="129" spans="3:13">
      <c r="C129" s="18" t="s">
        <v>287</v>
      </c>
      <c r="D129" s="7"/>
      <c r="E129" s="19"/>
      <c r="F129" s="18"/>
      <c r="G129" s="18"/>
      <c r="H129" s="18"/>
      <c r="I129" s="18"/>
      <c r="J129" s="18"/>
      <c r="K129" s="18"/>
      <c r="L129" s="18"/>
      <c r="M129" s="20">
        <v>46000</v>
      </c>
    </row>
    <row r="130" spans="3:13">
      <c r="C130" s="17">
        <v>47849</v>
      </c>
      <c r="D130" s="7" t="s">
        <v>200</v>
      </c>
      <c r="E130" s="19"/>
      <c r="F130" s="18" t="s">
        <v>12</v>
      </c>
      <c r="G130" s="18" t="s">
        <v>12</v>
      </c>
      <c r="H130" s="18">
        <v>0</v>
      </c>
      <c r="I130" s="18" t="s">
        <v>12</v>
      </c>
      <c r="J130" s="18" t="s">
        <v>12</v>
      </c>
      <c r="K130" s="18" t="s">
        <v>12</v>
      </c>
      <c r="L130" s="18">
        <v>0</v>
      </c>
      <c r="M130" s="18" t="s">
        <v>289</v>
      </c>
    </row>
    <row r="131" spans="3:13">
      <c r="C131" s="18" t="s">
        <v>288</v>
      </c>
      <c r="D131" s="7"/>
      <c r="E131" s="19"/>
      <c r="F131" s="18"/>
      <c r="G131" s="18"/>
      <c r="H131" s="18"/>
      <c r="I131" s="18"/>
      <c r="J131" s="18"/>
      <c r="K131" s="18"/>
      <c r="L131" s="18"/>
      <c r="M131" s="20">
        <v>46000</v>
      </c>
    </row>
    <row r="132" spans="3:13">
      <c r="C132" s="17">
        <v>47880</v>
      </c>
      <c r="D132" s="7" t="s">
        <v>200</v>
      </c>
      <c r="E132" s="19"/>
      <c r="F132" s="18" t="s">
        <v>12</v>
      </c>
      <c r="G132" s="18" t="s">
        <v>12</v>
      </c>
      <c r="H132" s="18">
        <v>0</v>
      </c>
      <c r="I132" s="18" t="s">
        <v>12</v>
      </c>
      <c r="J132" s="18" t="s">
        <v>12</v>
      </c>
      <c r="K132" s="18" t="s">
        <v>12</v>
      </c>
      <c r="L132" s="18">
        <v>0</v>
      </c>
      <c r="M132" s="18" t="s">
        <v>291</v>
      </c>
    </row>
    <row r="133" spans="3:13">
      <c r="C133" s="18" t="s">
        <v>290</v>
      </c>
      <c r="D133" s="7"/>
      <c r="E133" s="19"/>
      <c r="F133" s="18"/>
      <c r="G133" s="18"/>
      <c r="H133" s="18"/>
      <c r="I133" s="18"/>
      <c r="J133" s="18"/>
      <c r="K133" s="18"/>
      <c r="L133" s="18"/>
      <c r="M133" s="20">
        <v>46000</v>
      </c>
    </row>
    <row r="134" spans="3:13">
      <c r="C134" s="17">
        <v>47908</v>
      </c>
      <c r="D134" s="7" t="s">
        <v>200</v>
      </c>
      <c r="E134" s="19"/>
      <c r="F134" s="18" t="s">
        <v>12</v>
      </c>
      <c r="G134" s="18" t="s">
        <v>12</v>
      </c>
      <c r="H134" s="18">
        <v>0</v>
      </c>
      <c r="I134" s="18" t="s">
        <v>12</v>
      </c>
      <c r="J134" s="18" t="s">
        <v>12</v>
      </c>
      <c r="K134" s="18" t="s">
        <v>12</v>
      </c>
      <c r="L134" s="18">
        <v>0</v>
      </c>
      <c r="M134" s="18" t="s">
        <v>270</v>
      </c>
    </row>
    <row r="135" spans="3:13">
      <c r="C135" s="18" t="s">
        <v>292</v>
      </c>
      <c r="D135" s="7"/>
      <c r="E135" s="19"/>
      <c r="F135" s="18"/>
      <c r="G135" s="18"/>
      <c r="H135" s="18"/>
      <c r="I135" s="18"/>
      <c r="J135" s="18"/>
      <c r="K135" s="18"/>
      <c r="L135" s="18"/>
      <c r="M135" s="20">
        <v>46000</v>
      </c>
    </row>
    <row r="136" spans="3:13">
      <c r="C136" s="17">
        <v>47939</v>
      </c>
      <c r="D136" s="7" t="s">
        <v>200</v>
      </c>
      <c r="E136" s="19"/>
      <c r="F136" s="18" t="s">
        <v>12</v>
      </c>
      <c r="G136" s="18" t="s">
        <v>12</v>
      </c>
      <c r="H136" s="18">
        <v>0</v>
      </c>
      <c r="I136" s="18" t="s">
        <v>12</v>
      </c>
      <c r="J136" s="18" t="s">
        <v>12</v>
      </c>
      <c r="K136" s="18" t="s">
        <v>12</v>
      </c>
      <c r="L136" s="18">
        <v>0</v>
      </c>
      <c r="M136" s="18" t="s">
        <v>291</v>
      </c>
    </row>
    <row r="137" spans="3:13">
      <c r="C137" s="18" t="s">
        <v>293</v>
      </c>
      <c r="D137" s="7"/>
      <c r="E137" s="19"/>
      <c r="F137" s="18"/>
      <c r="G137" s="18"/>
      <c r="H137" s="18"/>
      <c r="I137" s="18"/>
      <c r="J137" s="18"/>
      <c r="K137" s="18"/>
      <c r="L137" s="18"/>
      <c r="M137" s="20">
        <v>46000</v>
      </c>
    </row>
    <row r="138" spans="3:13">
      <c r="C138" s="17">
        <v>47969</v>
      </c>
      <c r="D138" s="7" t="s">
        <v>200</v>
      </c>
      <c r="E138" s="19"/>
      <c r="F138" s="18" t="s">
        <v>12</v>
      </c>
      <c r="G138" s="18" t="s">
        <v>12</v>
      </c>
      <c r="H138" s="18">
        <v>0</v>
      </c>
      <c r="I138" s="18" t="s">
        <v>12</v>
      </c>
      <c r="J138" s="18" t="s">
        <v>12</v>
      </c>
      <c r="K138" s="18" t="s">
        <v>12</v>
      </c>
      <c r="L138" s="18">
        <v>0</v>
      </c>
      <c r="M138" s="18" t="s">
        <v>270</v>
      </c>
    </row>
    <row r="139" spans="3:13">
      <c r="C139" s="18" t="s">
        <v>294</v>
      </c>
      <c r="D139" s="7"/>
      <c r="E139" s="19"/>
      <c r="F139" s="18"/>
      <c r="G139" s="18"/>
      <c r="H139" s="18"/>
      <c r="I139" s="18"/>
      <c r="J139" s="18"/>
      <c r="K139" s="18"/>
      <c r="L139" s="18"/>
      <c r="M139" s="20">
        <v>46000</v>
      </c>
    </row>
    <row r="140" spans="3:13">
      <c r="C140" s="17">
        <v>48000</v>
      </c>
      <c r="D140" s="7" t="s">
        <v>200</v>
      </c>
      <c r="E140" s="19"/>
      <c r="F140" s="18" t="s">
        <v>12</v>
      </c>
      <c r="G140" s="18" t="s">
        <v>12</v>
      </c>
      <c r="H140" s="18">
        <v>0</v>
      </c>
      <c r="I140" s="18" t="s">
        <v>12</v>
      </c>
      <c r="J140" s="18" t="s">
        <v>12</v>
      </c>
      <c r="K140" s="18" t="s">
        <v>12</v>
      </c>
      <c r="L140" s="18">
        <v>0</v>
      </c>
      <c r="M140" s="18" t="s">
        <v>291</v>
      </c>
    </row>
    <row r="141" spans="3:13">
      <c r="C141" s="18" t="s">
        <v>295</v>
      </c>
      <c r="D141" s="7"/>
      <c r="E141" s="19"/>
      <c r="F141" s="18"/>
      <c r="G141" s="18"/>
      <c r="H141" s="18"/>
      <c r="I141" s="18"/>
      <c r="J141" s="18"/>
      <c r="K141" s="18"/>
      <c r="L141" s="18"/>
      <c r="M141" s="20">
        <v>46000</v>
      </c>
    </row>
    <row r="142" spans="3:13">
      <c r="C142" s="17">
        <v>48030</v>
      </c>
      <c r="D142" s="7" t="s">
        <v>200</v>
      </c>
      <c r="E142" s="19"/>
      <c r="F142" s="18" t="s">
        <v>12</v>
      </c>
      <c r="G142" s="18" t="s">
        <v>12</v>
      </c>
      <c r="H142" s="18">
        <v>0</v>
      </c>
      <c r="I142" s="18" t="s">
        <v>12</v>
      </c>
      <c r="J142" s="18" t="s">
        <v>12</v>
      </c>
      <c r="K142" s="18" t="s">
        <v>12</v>
      </c>
      <c r="L142" s="18">
        <v>0</v>
      </c>
      <c r="M142" s="18" t="s">
        <v>297</v>
      </c>
    </row>
    <row r="143" spans="3:13">
      <c r="C143" s="18" t="s">
        <v>296</v>
      </c>
      <c r="D143" s="7"/>
      <c r="E143" s="19"/>
      <c r="F143" s="18"/>
      <c r="G143" s="18"/>
      <c r="H143" s="18"/>
      <c r="I143" s="18"/>
      <c r="J143" s="18"/>
      <c r="K143" s="18"/>
      <c r="L143" s="18"/>
      <c r="M143" s="20">
        <v>46000</v>
      </c>
    </row>
    <row r="144" spans="3:13">
      <c r="C144" s="17">
        <v>48061</v>
      </c>
      <c r="D144" s="7" t="s">
        <v>200</v>
      </c>
      <c r="E144" s="19"/>
      <c r="F144" s="18" t="s">
        <v>12</v>
      </c>
      <c r="G144" s="18" t="s">
        <v>12</v>
      </c>
      <c r="H144" s="18">
        <v>0</v>
      </c>
      <c r="I144" s="18" t="s">
        <v>12</v>
      </c>
      <c r="J144" s="18" t="s">
        <v>12</v>
      </c>
      <c r="K144" s="18" t="s">
        <v>12</v>
      </c>
      <c r="L144" s="18">
        <v>0</v>
      </c>
      <c r="M144" s="18" t="s">
        <v>48</v>
      </c>
    </row>
    <row r="145" spans="3:13">
      <c r="C145" s="18" t="s">
        <v>298</v>
      </c>
      <c r="D145" s="7"/>
      <c r="E145" s="19"/>
      <c r="F145" s="18"/>
      <c r="G145" s="18"/>
      <c r="H145" s="18"/>
      <c r="I145" s="18"/>
      <c r="J145" s="18"/>
      <c r="K145" s="18"/>
      <c r="L145" s="18"/>
      <c r="M145" s="20">
        <v>46000</v>
      </c>
    </row>
    <row r="146" spans="3:13">
      <c r="C146" s="17">
        <v>48092</v>
      </c>
      <c r="D146" s="7" t="s">
        <v>200</v>
      </c>
      <c r="E146" s="19"/>
      <c r="F146" s="18" t="s">
        <v>12</v>
      </c>
      <c r="G146" s="18" t="s">
        <v>12</v>
      </c>
      <c r="H146" s="18">
        <v>0</v>
      </c>
      <c r="I146" s="18" t="s">
        <v>12</v>
      </c>
      <c r="J146" s="18" t="s">
        <v>12</v>
      </c>
      <c r="K146" s="18" t="s">
        <v>12</v>
      </c>
      <c r="L146" s="18">
        <v>0</v>
      </c>
      <c r="M146" s="18" t="s">
        <v>270</v>
      </c>
    </row>
    <row r="147" spans="3:13">
      <c r="C147" s="18" t="s">
        <v>299</v>
      </c>
      <c r="D147" s="7"/>
      <c r="E147" s="19"/>
      <c r="F147" s="18"/>
      <c r="G147" s="18"/>
      <c r="H147" s="18"/>
      <c r="I147" s="18"/>
      <c r="J147" s="18"/>
      <c r="K147" s="18"/>
      <c r="L147" s="18"/>
      <c r="M147" s="20">
        <v>46000</v>
      </c>
    </row>
    <row r="148" spans="3:13">
      <c r="C148" s="17">
        <v>48122</v>
      </c>
      <c r="D148" s="7" t="s">
        <v>200</v>
      </c>
      <c r="E148" s="19"/>
      <c r="F148" s="18" t="s">
        <v>12</v>
      </c>
      <c r="G148" s="18" t="s">
        <v>12</v>
      </c>
      <c r="H148" s="18">
        <v>0</v>
      </c>
      <c r="I148" s="18" t="s">
        <v>12</v>
      </c>
      <c r="J148" s="18" t="s">
        <v>12</v>
      </c>
      <c r="K148" s="18" t="s">
        <v>12</v>
      </c>
      <c r="L148" s="18">
        <v>0</v>
      </c>
      <c r="M148" s="18" t="s">
        <v>291</v>
      </c>
    </row>
    <row r="149" spans="3:13">
      <c r="C149" s="18" t="s">
        <v>300</v>
      </c>
      <c r="D149" s="7"/>
      <c r="E149" s="19"/>
      <c r="F149" s="18"/>
      <c r="G149" s="18"/>
      <c r="H149" s="18"/>
      <c r="I149" s="18"/>
      <c r="J149" s="18"/>
      <c r="K149" s="18"/>
      <c r="L149" s="18"/>
      <c r="M149" s="20">
        <v>46000</v>
      </c>
    </row>
    <row r="150" spans="3:13">
      <c r="C150" s="17">
        <v>48153</v>
      </c>
      <c r="D150" s="7" t="s">
        <v>200</v>
      </c>
      <c r="E150" s="19"/>
      <c r="F150" s="18" t="s">
        <v>12</v>
      </c>
      <c r="G150" s="18" t="s">
        <v>12</v>
      </c>
      <c r="H150" s="18">
        <v>0</v>
      </c>
      <c r="I150" s="18" t="s">
        <v>12</v>
      </c>
      <c r="J150" s="18" t="s">
        <v>12</v>
      </c>
      <c r="K150" s="18" t="s">
        <v>12</v>
      </c>
      <c r="L150" s="18">
        <v>0</v>
      </c>
      <c r="M150" s="18" t="s">
        <v>260</v>
      </c>
    </row>
    <row r="151" spans="3:13">
      <c r="C151" s="18" t="s">
        <v>301</v>
      </c>
      <c r="D151" s="7"/>
      <c r="E151" s="19"/>
      <c r="F151" s="18"/>
      <c r="G151" s="18"/>
      <c r="H151" s="18"/>
      <c r="I151" s="18"/>
      <c r="J151" s="18"/>
      <c r="K151" s="18"/>
      <c r="L151" s="18"/>
      <c r="M151" s="20">
        <v>46000</v>
      </c>
    </row>
    <row r="152" spans="3:13">
      <c r="C152" s="17">
        <v>48183</v>
      </c>
      <c r="D152" s="7" t="s">
        <v>200</v>
      </c>
      <c r="E152" s="19"/>
      <c r="F152" s="18" t="s">
        <v>12</v>
      </c>
      <c r="G152" s="18" t="s">
        <v>12</v>
      </c>
      <c r="H152" s="18">
        <v>0</v>
      </c>
      <c r="I152" s="18" t="s">
        <v>12</v>
      </c>
      <c r="J152" s="18" t="s">
        <v>12</v>
      </c>
      <c r="K152" s="18" t="s">
        <v>12</v>
      </c>
      <c r="L152" s="18">
        <v>0</v>
      </c>
      <c r="M152" s="18" t="s">
        <v>303</v>
      </c>
    </row>
    <row r="153" spans="3:13">
      <c r="C153" s="18" t="s">
        <v>302</v>
      </c>
      <c r="D153" s="7"/>
      <c r="E153" s="19"/>
      <c r="F153" s="18"/>
      <c r="G153" s="18"/>
      <c r="H153" s="18"/>
      <c r="I153" s="18"/>
      <c r="J153" s="18"/>
      <c r="K153" s="18"/>
      <c r="L153" s="18"/>
      <c r="M153" s="20">
        <v>46000</v>
      </c>
    </row>
    <row r="155" spans="3:13" ht="33">
      <c r="C155" s="21" t="s">
        <v>131</v>
      </c>
    </row>
  </sheetData>
  <mergeCells count="2">
    <mergeCell ref="C6:C7"/>
    <mergeCell ref="C8:C9"/>
  </mergeCells>
  <hyperlinks>
    <hyperlink ref="D10" r:id="rId1" location="optionProductId=7691&amp;expiration=2025-12-AL1F6-122026" display="https://www.cmegroup.com/markets/energy/electricity/pjm-western-hub-peak-calendar-month-real-time-lmp.quotes.options.html - optionProductId=7691&amp;expiration=2025-12-AL1F6-122026" xr:uid="{1BCC1E14-20D6-4A45-90A4-1B2ACEA1AC1E}"/>
    <hyperlink ref="D12" r:id="rId2" location="optionProductId=7691&amp;expiration=2026-1-AL1G6-12026" display="https://www.cmegroup.com/markets/energy/electricity/pjm-western-hub-peak-calendar-month-real-time-lmp.quotes.options.html - optionProductId=7691&amp;expiration=2026-1-AL1G6-12026" xr:uid="{1A6220C6-C85A-D248-A794-90C27A5F69E0}"/>
    <hyperlink ref="D14" r:id="rId3" location="optionProductId=7691&amp;expiration=2026-2-AL1H6-22026" display="https://www.cmegroup.com/markets/energy/electricity/pjm-western-hub-peak-calendar-month-real-time-lmp.quotes.options.html - optionProductId=7691&amp;expiration=2026-2-AL1H6-22026" xr:uid="{2EFA502B-BF8E-014C-9794-E1B0EE5C3787}"/>
    <hyperlink ref="D16" r:id="rId4" location="optionProductId=7691&amp;expiration=2026-3-AL1J6-32026" display="https://www.cmegroup.com/markets/energy/electricity/pjm-western-hub-peak-calendar-month-real-time-lmp.quotes.options.html - optionProductId=7691&amp;expiration=2026-3-AL1J6-32026" xr:uid="{7B59D298-CC9A-904D-90EE-55E797165B47}"/>
    <hyperlink ref="D18" r:id="rId5" location="optionProductId=7691&amp;expiration=2026-4-AL1K6-42026" display="https://www.cmegroup.com/markets/energy/electricity/pjm-western-hub-peak-calendar-month-real-time-lmp.quotes.options.html - optionProductId=7691&amp;expiration=2026-4-AL1K6-42026" xr:uid="{9808527F-7E26-E94F-99CB-06F9738B96A0}"/>
    <hyperlink ref="D20" r:id="rId6" location="optionProductId=7691&amp;expiration=2026-5-AL1M6-52026" display="https://www.cmegroup.com/markets/energy/electricity/pjm-western-hub-peak-calendar-month-real-time-lmp.quotes.options.html - optionProductId=7691&amp;expiration=2026-5-AL1M6-52026" xr:uid="{11128DF2-9B78-904F-A252-3B465D3B70AC}"/>
    <hyperlink ref="D22" r:id="rId7" location="optionProductId=7691&amp;expiration=2026-6-AL1N6-62026" display="https://www.cmegroup.com/markets/energy/electricity/pjm-western-hub-peak-calendar-month-real-time-lmp.quotes.options.html - optionProductId=7691&amp;expiration=2026-6-AL1N6-62026" xr:uid="{A3630771-C114-D64D-9CBB-97C80ADD3CB4}"/>
    <hyperlink ref="D24" r:id="rId8" location="optionProductId=7691&amp;expiration=2026-7-AL1Q6-72026" display="https://www.cmegroup.com/markets/energy/electricity/pjm-western-hub-peak-calendar-month-real-time-lmp.quotes.options.html - optionProductId=7691&amp;expiration=2026-7-AL1Q6-72026" xr:uid="{EA1452D5-59DE-E146-AB9C-C6224609ECBF}"/>
    <hyperlink ref="D26" r:id="rId9" location="optionProductId=7691&amp;expiration=2026-8-AL1U6-82026" display="https://www.cmegroup.com/markets/energy/electricity/pjm-western-hub-peak-calendar-month-real-time-lmp.quotes.options.html - optionProductId=7691&amp;expiration=2026-8-AL1U6-82026" xr:uid="{6700C02B-3404-3749-878A-E3A8BE47D599}"/>
    <hyperlink ref="D28" r:id="rId10" location="optionProductId=7691&amp;expiration=2026-9-AL1V6-92026" display="https://www.cmegroup.com/markets/energy/electricity/pjm-western-hub-peak-calendar-month-real-time-lmp.quotes.options.html - optionProductId=7691&amp;expiration=2026-9-AL1V6-92026" xr:uid="{88751EDB-D4FC-304A-97E1-322914B3B368}"/>
    <hyperlink ref="D30" r:id="rId11" location="optionProductId=7691&amp;expiration=2026-10-AL1X6-102026" display="https://www.cmegroup.com/markets/energy/electricity/pjm-western-hub-peak-calendar-month-real-time-lmp.quotes.options.html - optionProductId=7691&amp;expiration=2026-10-AL1X6-102026" xr:uid="{2F762BED-0A58-D14F-9211-2000930F509E}"/>
    <hyperlink ref="D32" r:id="rId12" location="optionProductId=7691&amp;expiration=2026-11-AL1Z6-112026" display="https://www.cmegroup.com/markets/energy/electricity/pjm-western-hub-peak-calendar-month-real-time-lmp.quotes.options.html - optionProductId=7691&amp;expiration=2026-11-AL1Z6-112026" xr:uid="{4117A129-FAA4-5341-AE85-BD5DDAAD5613}"/>
    <hyperlink ref="D34" r:id="rId13" location="optionProductId=7691&amp;expiration=2026-12-AL1F7-122027" display="https://www.cmegroup.com/markets/energy/electricity/pjm-western-hub-peak-calendar-month-real-time-lmp.quotes.options.html - optionProductId=7691&amp;expiration=2026-12-AL1F7-122027" xr:uid="{F1B3989A-D4D5-7A4A-9B69-5C8DC472BD9D}"/>
    <hyperlink ref="D36" r:id="rId14" location="optionProductId=7691&amp;expiration=2027-1-AL1G7-12027" display="https://www.cmegroup.com/markets/energy/electricity/pjm-western-hub-peak-calendar-month-real-time-lmp.quotes.options.html - optionProductId=7691&amp;expiration=2027-1-AL1G7-12027" xr:uid="{CA1037B2-24D0-3448-8676-556223C53029}"/>
    <hyperlink ref="D38" r:id="rId15" location="optionProductId=7691&amp;expiration=2027-2-AL1H7-22027" display="https://www.cmegroup.com/markets/energy/electricity/pjm-western-hub-peak-calendar-month-real-time-lmp.quotes.options.html - optionProductId=7691&amp;expiration=2027-2-AL1H7-22027" xr:uid="{75D07483-8B71-E243-A6E9-6A9BEB1BF55A}"/>
    <hyperlink ref="D40" r:id="rId16" location="optionProductId=7691&amp;expiration=2027-3-AL1J7-32027" display="https://www.cmegroup.com/markets/energy/electricity/pjm-western-hub-peak-calendar-month-real-time-lmp.quotes.options.html - optionProductId=7691&amp;expiration=2027-3-AL1J7-32027" xr:uid="{F38D527F-0768-B144-BD9F-AF7F4BAFE91A}"/>
    <hyperlink ref="D42" r:id="rId17" location="optionProductId=7691&amp;expiration=2027-4-AL1K7-42027" display="https://www.cmegroup.com/markets/energy/electricity/pjm-western-hub-peak-calendar-month-real-time-lmp.quotes.options.html - optionProductId=7691&amp;expiration=2027-4-AL1K7-42027" xr:uid="{C23650AF-2A60-584B-8771-489F7F91FCE7}"/>
    <hyperlink ref="D44" r:id="rId18" location="optionProductId=7691&amp;expiration=2027-5-AL1M7-52027" display="https://www.cmegroup.com/markets/energy/electricity/pjm-western-hub-peak-calendar-month-real-time-lmp.quotes.options.html - optionProductId=7691&amp;expiration=2027-5-AL1M7-52027" xr:uid="{766E118A-E422-1345-B7C1-9020C4FF176C}"/>
    <hyperlink ref="D46" r:id="rId19" location="optionProductId=7691&amp;expiration=2027-6-AL1N7-62027" display="https://www.cmegroup.com/markets/energy/electricity/pjm-western-hub-peak-calendar-month-real-time-lmp.quotes.options.html - optionProductId=7691&amp;expiration=2027-6-AL1N7-62027" xr:uid="{AE92B8CC-E63E-2A4A-ABFA-05134666A4A4}"/>
    <hyperlink ref="D48" r:id="rId20" location="optionProductId=7691&amp;expiration=2027-7-AL1Q7-72027" display="https://www.cmegroup.com/markets/energy/electricity/pjm-western-hub-peak-calendar-month-real-time-lmp.quotes.options.html - optionProductId=7691&amp;expiration=2027-7-AL1Q7-72027" xr:uid="{0E229EB3-C264-EE4B-8018-2C3B6B5D68B4}"/>
    <hyperlink ref="D50" r:id="rId21" location="optionProductId=7691&amp;expiration=2027-8-AL1U7-82027" display="https://www.cmegroup.com/markets/energy/electricity/pjm-western-hub-peak-calendar-month-real-time-lmp.quotes.options.html - optionProductId=7691&amp;expiration=2027-8-AL1U7-82027" xr:uid="{10538813-18EE-D644-BF1E-09022DD31155}"/>
    <hyperlink ref="D52" r:id="rId22" location="optionProductId=7691&amp;expiration=2027-9-AL1V7-92027" display="https://www.cmegroup.com/markets/energy/electricity/pjm-western-hub-peak-calendar-month-real-time-lmp.quotes.options.html - optionProductId=7691&amp;expiration=2027-9-AL1V7-92027" xr:uid="{29560317-3457-A545-93F8-D11CA50E51D8}"/>
    <hyperlink ref="D54" r:id="rId23" location="optionProductId=7691&amp;expiration=2027-10-AL1X7-102027" display="https://www.cmegroup.com/markets/energy/electricity/pjm-western-hub-peak-calendar-month-real-time-lmp.quotes.options.html - optionProductId=7691&amp;expiration=2027-10-AL1X7-102027" xr:uid="{5505AFC7-B93D-A445-98C0-25045BED9F58}"/>
    <hyperlink ref="D56" r:id="rId24" location="optionProductId=7691&amp;expiration=2027-11-AL1Z7-112027" display="https://www.cmegroup.com/markets/energy/electricity/pjm-western-hub-peak-calendar-month-real-time-lmp.quotes.options.html - optionProductId=7691&amp;expiration=2027-11-AL1Z7-112027" xr:uid="{E3CA347F-0ED8-8E49-AB8C-AA20EF13BFEB}"/>
    <hyperlink ref="D58" r:id="rId25" location="optionProductId=7691&amp;expiration=2027-12-AL1F8-122028" display="https://www.cmegroup.com/markets/energy/electricity/pjm-western-hub-peak-calendar-month-real-time-lmp.quotes.options.html - optionProductId=7691&amp;expiration=2027-12-AL1F8-122028" xr:uid="{345FFB64-F7AD-7C44-9069-2DCBEF28B2BC}"/>
    <hyperlink ref="D60" r:id="rId26" location="optionProductId=7691&amp;expiration=2028-1-AL1G8-12028" display="https://www.cmegroup.com/markets/energy/electricity/pjm-western-hub-peak-calendar-month-real-time-lmp.quotes.options.html - optionProductId=7691&amp;expiration=2028-1-AL1G8-12028" xr:uid="{DAA35288-5D96-F547-B2CF-B5896EF7F3BD}"/>
    <hyperlink ref="D62" r:id="rId27" location="optionProductId=7691&amp;expiration=2028-2-AL1H8-22028" display="https://www.cmegroup.com/markets/energy/electricity/pjm-western-hub-peak-calendar-month-real-time-lmp.quotes.options.html - optionProductId=7691&amp;expiration=2028-2-AL1H8-22028" xr:uid="{25900A9C-B66F-BF44-B2D5-9FC1D7A03FEE}"/>
    <hyperlink ref="D64" r:id="rId28" location="optionProductId=7691&amp;expiration=2028-3-AL1J8-32028" display="https://www.cmegroup.com/markets/energy/electricity/pjm-western-hub-peak-calendar-month-real-time-lmp.quotes.options.html - optionProductId=7691&amp;expiration=2028-3-AL1J8-32028" xr:uid="{A3533817-F8C0-8249-B167-9B6ED78E28F1}"/>
    <hyperlink ref="D66" r:id="rId29" location="optionProductId=7691&amp;expiration=2028-4-AL1K8-42028" display="https://www.cmegroup.com/markets/energy/electricity/pjm-western-hub-peak-calendar-month-real-time-lmp.quotes.options.html - optionProductId=7691&amp;expiration=2028-4-AL1K8-42028" xr:uid="{7B2AABED-5C7C-0A4D-93BD-48010AF7D060}"/>
    <hyperlink ref="D68" r:id="rId30" location="optionProductId=7691&amp;expiration=2028-5-AL1M8-52028" display="https://www.cmegroup.com/markets/energy/electricity/pjm-western-hub-peak-calendar-month-real-time-lmp.quotes.options.html - optionProductId=7691&amp;expiration=2028-5-AL1M8-52028" xr:uid="{A6EA39CE-315B-A445-BBE4-968811F0684F}"/>
    <hyperlink ref="D70" r:id="rId31" location="optionProductId=7691&amp;expiration=2028-6-AL1N8-62028" display="https://www.cmegroup.com/markets/energy/electricity/pjm-western-hub-peak-calendar-month-real-time-lmp.quotes.options.html - optionProductId=7691&amp;expiration=2028-6-AL1N8-62028" xr:uid="{F1747E23-1133-E542-9ED5-772B9CF035A2}"/>
    <hyperlink ref="D72" r:id="rId32" location="optionProductId=7691&amp;expiration=2028-7-AL1Q8-72028" display="https://www.cmegroup.com/markets/energy/electricity/pjm-western-hub-peak-calendar-month-real-time-lmp.quotes.options.html - optionProductId=7691&amp;expiration=2028-7-AL1Q8-72028" xr:uid="{35ACD7A2-B836-D84D-8CF9-90C8401FE97F}"/>
    <hyperlink ref="D74" r:id="rId33" location="optionProductId=7691&amp;expiration=2028-8-AL1U8-82028" display="https://www.cmegroup.com/markets/energy/electricity/pjm-western-hub-peak-calendar-month-real-time-lmp.quotes.options.html - optionProductId=7691&amp;expiration=2028-8-AL1U8-82028" xr:uid="{A76B8E05-BC4D-2643-BA49-23B1850B2C14}"/>
    <hyperlink ref="D76" r:id="rId34" location="optionProductId=7691&amp;expiration=2028-9-AL1V8-92028" display="https://www.cmegroup.com/markets/energy/electricity/pjm-western-hub-peak-calendar-month-real-time-lmp.quotes.options.html - optionProductId=7691&amp;expiration=2028-9-AL1V8-92028" xr:uid="{ACD2C2D8-409A-5B42-9836-13987E544A24}"/>
    <hyperlink ref="D78" r:id="rId35" location="optionProductId=7691&amp;expiration=2028-10-AL1X8-102028" display="https://www.cmegroup.com/markets/energy/electricity/pjm-western-hub-peak-calendar-month-real-time-lmp.quotes.options.html - optionProductId=7691&amp;expiration=2028-10-AL1X8-102028" xr:uid="{888F2770-6E53-424A-8459-16A3C849AB27}"/>
    <hyperlink ref="D80" r:id="rId36" location="optionProductId=7691&amp;expiration=2028-11-AL1Z8-112028" display="https://www.cmegroup.com/markets/energy/electricity/pjm-western-hub-peak-calendar-month-real-time-lmp.quotes.options.html - optionProductId=7691&amp;expiration=2028-11-AL1Z8-112028" xr:uid="{39F9E5E4-C547-524C-AB26-A60FFFF45C3B}"/>
    <hyperlink ref="D82" r:id="rId37" location="optionProductId=7691&amp;expiration=2028-12-AL1F9-122029" display="https://www.cmegroup.com/markets/energy/electricity/pjm-western-hub-peak-calendar-month-real-time-lmp.quotes.options.html - optionProductId=7691&amp;expiration=2028-12-AL1F9-122029" xr:uid="{5B6AFEF3-3255-0D44-B2BD-2EBE510F99C0}"/>
    <hyperlink ref="D84" r:id="rId38" location="optionProductId=7691&amp;expiration=2029-1-AL1G9-12029" display="https://www.cmegroup.com/markets/energy/electricity/pjm-western-hub-peak-calendar-month-real-time-lmp.quotes.options.html - optionProductId=7691&amp;expiration=2029-1-AL1G9-12029" xr:uid="{35E01F40-E59C-E34A-9587-847031538E4B}"/>
    <hyperlink ref="D86" r:id="rId39" location="optionProductId=7691&amp;expiration=2029-2-AL1H9-22029" display="https://www.cmegroup.com/markets/energy/electricity/pjm-western-hub-peak-calendar-month-real-time-lmp.quotes.options.html - optionProductId=7691&amp;expiration=2029-2-AL1H9-22029" xr:uid="{EE243521-C908-D440-8AC0-5648AC294B85}"/>
    <hyperlink ref="D88" r:id="rId40" location="optionProductId=7691&amp;expiration=2029-3-AL1J9-32029" display="https://www.cmegroup.com/markets/energy/electricity/pjm-western-hub-peak-calendar-month-real-time-lmp.quotes.options.html - optionProductId=7691&amp;expiration=2029-3-AL1J9-32029" xr:uid="{1A8961C7-2246-2F42-8EB2-29FDBFC235C2}"/>
    <hyperlink ref="D90" r:id="rId41" location="optionProductId=7691&amp;expiration=2029-4-AL1K9-42029" display="https://www.cmegroup.com/markets/energy/electricity/pjm-western-hub-peak-calendar-month-real-time-lmp.quotes.options.html - optionProductId=7691&amp;expiration=2029-4-AL1K9-42029" xr:uid="{CE332528-E214-5E4D-891E-EC4B21BD9A07}"/>
    <hyperlink ref="D92" r:id="rId42" location="optionProductId=7691&amp;expiration=2029-5-AL1M9-52029" display="https://www.cmegroup.com/markets/energy/electricity/pjm-western-hub-peak-calendar-month-real-time-lmp.quotes.options.html - optionProductId=7691&amp;expiration=2029-5-AL1M9-52029" xr:uid="{8786B492-1F53-0C48-9530-3F21E492DC6A}"/>
    <hyperlink ref="D94" r:id="rId43" location="optionProductId=7691&amp;expiration=2029-6-AL1N9-62029" display="https://www.cmegroup.com/markets/energy/electricity/pjm-western-hub-peak-calendar-month-real-time-lmp.quotes.options.html - optionProductId=7691&amp;expiration=2029-6-AL1N9-62029" xr:uid="{BE717CA0-973A-1849-BE28-194EEDEF0BD1}"/>
    <hyperlink ref="D96" r:id="rId44" location="optionProductId=7691&amp;expiration=2029-7-AL1Q9-72029" display="https://www.cmegroup.com/markets/energy/electricity/pjm-western-hub-peak-calendar-month-real-time-lmp.quotes.options.html - optionProductId=7691&amp;expiration=2029-7-AL1Q9-72029" xr:uid="{95ADDD3E-FBFC-ED49-92EA-BC5444D00221}"/>
    <hyperlink ref="D98" r:id="rId45" location="optionProductId=7691&amp;expiration=2029-8-AL1U9-82029" display="https://www.cmegroup.com/markets/energy/electricity/pjm-western-hub-peak-calendar-month-real-time-lmp.quotes.options.html - optionProductId=7691&amp;expiration=2029-8-AL1U9-82029" xr:uid="{9441EC4C-C01E-7042-92F0-6B8B0C3A1A71}"/>
    <hyperlink ref="D100" r:id="rId46" location="optionProductId=7691&amp;expiration=2029-9-AL1V9-92029" display="https://www.cmegroup.com/markets/energy/electricity/pjm-western-hub-peak-calendar-month-real-time-lmp.quotes.options.html - optionProductId=7691&amp;expiration=2029-9-AL1V9-92029" xr:uid="{7FD5D60D-382A-3E4E-8BAC-2D2999D5D1FD}"/>
    <hyperlink ref="D102" r:id="rId47" location="optionProductId=7691&amp;expiration=2029-10-AL1X9-102029" display="https://www.cmegroup.com/markets/energy/electricity/pjm-western-hub-peak-calendar-month-real-time-lmp.quotes.options.html - optionProductId=7691&amp;expiration=2029-10-AL1X9-102029" xr:uid="{BAA83C99-83A9-0746-92AA-6C031837956A}"/>
    <hyperlink ref="D104" r:id="rId48" location="optionProductId=7691&amp;expiration=2029-11-AL1Z9-112029" display="https://www.cmegroup.com/markets/energy/electricity/pjm-western-hub-peak-calendar-month-real-time-lmp.quotes.options.html - optionProductId=7691&amp;expiration=2029-11-AL1Z9-112029" xr:uid="{19B85615-BB81-5544-BD10-4FF333E17FD1}"/>
    <hyperlink ref="D106" r:id="rId49" location="optionProductId=7691&amp;expiration=2029-12-AL1F0-122030" display="https://www.cmegroup.com/markets/energy/electricity/pjm-western-hub-peak-calendar-month-real-time-lmp.quotes.options.html - optionProductId=7691&amp;expiration=2029-12-AL1F0-122030" xr:uid="{D0AB5F5F-2007-EB46-BD1C-E36716004E80}"/>
    <hyperlink ref="D108" r:id="rId50" location="optionProductId=7691&amp;expiration=2030-1-AL1G0-12030" display="https://www.cmegroup.com/markets/energy/electricity/pjm-western-hub-peak-calendar-month-real-time-lmp.quotes.options.html - optionProductId=7691&amp;expiration=2030-1-AL1G0-12030" xr:uid="{527C86FF-06E4-BD49-A177-88B87EAEEC73}"/>
    <hyperlink ref="D110" r:id="rId51" location="optionProductId=7691&amp;expiration=2030-2-AL1H0-22030" display="https://www.cmegroup.com/markets/energy/electricity/pjm-western-hub-peak-calendar-month-real-time-lmp.quotes.options.html - optionProductId=7691&amp;expiration=2030-2-AL1H0-22030" xr:uid="{6AA37474-E510-3B4C-A5C9-F40D57D31FD5}"/>
    <hyperlink ref="D112" r:id="rId52" location="optionProductId=7691&amp;expiration=2030-3-AL1J0-32030" display="https://www.cmegroup.com/markets/energy/electricity/pjm-western-hub-peak-calendar-month-real-time-lmp.quotes.options.html - optionProductId=7691&amp;expiration=2030-3-AL1J0-32030" xr:uid="{1FE18DC1-6E8D-7D48-AB05-9990E1ADFD9F}"/>
    <hyperlink ref="D114" r:id="rId53" location="optionProductId=7691&amp;expiration=2030-4-AL1K0-42030" display="https://www.cmegroup.com/markets/energy/electricity/pjm-western-hub-peak-calendar-month-real-time-lmp.quotes.options.html - optionProductId=7691&amp;expiration=2030-4-AL1K0-42030" xr:uid="{D45FA4D5-F6C3-E14C-B632-9BDF707ECD6A}"/>
    <hyperlink ref="D116" r:id="rId54" location="optionProductId=7691&amp;expiration=2030-5-AL1M0-52030" display="https://www.cmegroup.com/markets/energy/electricity/pjm-western-hub-peak-calendar-month-real-time-lmp.quotes.options.html - optionProductId=7691&amp;expiration=2030-5-AL1M0-52030" xr:uid="{B06782FA-41FC-4F47-996A-1E771FFE3C4D}"/>
    <hyperlink ref="D118" r:id="rId55" location="optionProductId=7691&amp;expiration=2030-6-AL1N0-62030" display="https://www.cmegroup.com/markets/energy/electricity/pjm-western-hub-peak-calendar-month-real-time-lmp.quotes.options.html - optionProductId=7691&amp;expiration=2030-6-AL1N0-62030" xr:uid="{40AE58B3-7136-7C46-9870-4ECC6DC75DBA}"/>
    <hyperlink ref="D120" r:id="rId56" location="optionProductId=7691&amp;expiration=2030-7-AL1Q0-72030" display="https://www.cmegroup.com/markets/energy/electricity/pjm-western-hub-peak-calendar-month-real-time-lmp.quotes.options.html - optionProductId=7691&amp;expiration=2030-7-AL1Q0-72030" xr:uid="{1677D4D9-99DD-F44C-9E31-8DC1ED66C3EC}"/>
    <hyperlink ref="D122" r:id="rId57" location="optionProductId=7691&amp;expiration=2030-8-AL1U0-82030" display="https://www.cmegroup.com/markets/energy/electricity/pjm-western-hub-peak-calendar-month-real-time-lmp.quotes.options.html - optionProductId=7691&amp;expiration=2030-8-AL1U0-82030" xr:uid="{4BA568CC-5818-7548-9F94-B8151D91BE87}"/>
    <hyperlink ref="D124" r:id="rId58" location="optionProductId=7691&amp;expiration=2030-9-AL1V0-92030" display="https://www.cmegroup.com/markets/energy/electricity/pjm-western-hub-peak-calendar-month-real-time-lmp.quotes.options.html - optionProductId=7691&amp;expiration=2030-9-AL1V0-92030" xr:uid="{FD2A9318-027C-3646-A96C-DD897616CD07}"/>
    <hyperlink ref="D126" r:id="rId59" location="optionProductId=7691&amp;expiration=2030-10-AL1X0-102030" display="https://www.cmegroup.com/markets/energy/electricity/pjm-western-hub-peak-calendar-month-real-time-lmp.quotes.options.html - optionProductId=7691&amp;expiration=2030-10-AL1X0-102030" xr:uid="{3C820206-3BC5-9848-AD18-7EDAD38AA3DC}"/>
    <hyperlink ref="D128" r:id="rId60" location="optionProductId=7691&amp;expiration=2030-11-AL1Z0-112030" display="https://www.cmegroup.com/markets/energy/electricity/pjm-western-hub-peak-calendar-month-real-time-lmp.quotes.options.html - optionProductId=7691&amp;expiration=2030-11-AL1Z0-112030" xr:uid="{F2B4DD27-4790-4E4A-AF28-29CCAA08138A}"/>
    <hyperlink ref="D130" r:id="rId61" location="optionProductId=7691&amp;expiration=2030-12-AL1F1-122031" display="https://www.cmegroup.com/markets/energy/electricity/pjm-western-hub-peak-calendar-month-real-time-lmp.quotes.options.html - optionProductId=7691&amp;expiration=2030-12-AL1F1-122031" xr:uid="{F5D8F3E7-9332-2541-8F8A-DF1778827E51}"/>
    <hyperlink ref="D132" r:id="rId62" location="optionProductId=7691&amp;expiration=2031-1-AL1G1-12031" display="https://www.cmegroup.com/markets/energy/electricity/pjm-western-hub-peak-calendar-month-real-time-lmp.quotes.options.html - optionProductId=7691&amp;expiration=2031-1-AL1G1-12031" xr:uid="{AD978563-06D3-D142-A647-219C4D733427}"/>
    <hyperlink ref="D134" r:id="rId63" location="optionProductId=7691&amp;expiration=2031-2-AL1H1-22031" display="https://www.cmegroup.com/markets/energy/electricity/pjm-western-hub-peak-calendar-month-real-time-lmp.quotes.options.html - optionProductId=7691&amp;expiration=2031-2-AL1H1-22031" xr:uid="{32F7D5D0-2DDB-EA44-83CF-87387FE2AFAA}"/>
    <hyperlink ref="D136" r:id="rId64" location="optionProductId=7691&amp;expiration=2031-3-AL1J1-32031" display="https://www.cmegroup.com/markets/energy/electricity/pjm-western-hub-peak-calendar-month-real-time-lmp.quotes.options.html - optionProductId=7691&amp;expiration=2031-3-AL1J1-32031" xr:uid="{F00A335F-D027-6446-9420-7146E4B8F54D}"/>
    <hyperlink ref="D138" r:id="rId65" location="optionProductId=7691&amp;expiration=2031-4-AL1K1-42031" display="https://www.cmegroup.com/markets/energy/electricity/pjm-western-hub-peak-calendar-month-real-time-lmp.quotes.options.html - optionProductId=7691&amp;expiration=2031-4-AL1K1-42031" xr:uid="{34555DB7-A9D8-1A45-9D0F-3BE914522488}"/>
    <hyperlink ref="D140" r:id="rId66" location="optionProductId=7691&amp;expiration=2031-5-AL1M1-52031" display="https://www.cmegroup.com/markets/energy/electricity/pjm-western-hub-peak-calendar-month-real-time-lmp.quotes.options.html - optionProductId=7691&amp;expiration=2031-5-AL1M1-52031" xr:uid="{BFB3B8A7-6896-6749-BFDA-0DC3CC7CAAA9}"/>
    <hyperlink ref="D142" r:id="rId67" location="optionProductId=7691&amp;expiration=2031-6-AL1N1-62031" display="https://www.cmegroup.com/markets/energy/electricity/pjm-western-hub-peak-calendar-month-real-time-lmp.quotes.options.html - optionProductId=7691&amp;expiration=2031-6-AL1N1-62031" xr:uid="{3DEF172B-3E7D-4249-A278-289389293399}"/>
    <hyperlink ref="D144" r:id="rId68" location="optionProductId=7691&amp;expiration=2031-7-AL1Q1-72031" display="https://www.cmegroup.com/markets/energy/electricity/pjm-western-hub-peak-calendar-month-real-time-lmp.quotes.options.html - optionProductId=7691&amp;expiration=2031-7-AL1Q1-72031" xr:uid="{1B3C29F2-1952-5F47-B61F-8A92AE2635FF}"/>
    <hyperlink ref="D146" r:id="rId69" location="optionProductId=7691&amp;expiration=2031-8-AL1U1-82031" display="https://www.cmegroup.com/markets/energy/electricity/pjm-western-hub-peak-calendar-month-real-time-lmp.quotes.options.html - optionProductId=7691&amp;expiration=2031-8-AL1U1-82031" xr:uid="{0DF5D425-D6AB-9948-AE06-0AED3F8C09AC}"/>
    <hyperlink ref="D148" r:id="rId70" location="optionProductId=7691&amp;expiration=2031-9-AL1V1-92031" display="https://www.cmegroup.com/markets/energy/electricity/pjm-western-hub-peak-calendar-month-real-time-lmp.quotes.options.html - optionProductId=7691&amp;expiration=2031-9-AL1V1-92031" xr:uid="{73FFE5CF-6142-4041-9521-2D6B576AE4C0}"/>
    <hyperlink ref="D150" r:id="rId71" location="optionProductId=7691&amp;expiration=2031-10-AL1X1-102031" display="https://www.cmegroup.com/markets/energy/electricity/pjm-western-hub-peak-calendar-month-real-time-lmp.quotes.options.html - optionProductId=7691&amp;expiration=2031-10-AL1X1-102031" xr:uid="{9E8AC475-327E-8F45-BF73-80CEE66D0FB9}"/>
    <hyperlink ref="D152" r:id="rId72" location="optionProductId=7691&amp;expiration=2031-11-AL1Z1-112031" display="https://www.cmegroup.com/markets/energy/electricity/pjm-western-hub-peak-calendar-month-real-time-lmp.quotes.options.html - optionProductId=7691&amp;expiration=2031-11-AL1Z1-112031" xr:uid="{90B715D4-B8FD-FC48-8F51-787ED8865D35}"/>
    <hyperlink ref="C2" r:id="rId73" xr:uid="{F2FA4F79-AF23-D14C-A7AC-DDE90E555BC9}"/>
  </hyperlinks>
  <pageMargins left="0.7" right="0.7" top="0.75" bottom="0.75" header="0.3" footer="0.3"/>
  <drawing r:id="rId7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AB0A-EB4C-B744-B700-F3D693989F5B}">
  <dimension ref="C5:F69"/>
  <sheetViews>
    <sheetView topLeftCell="I7" zoomScale="207" workbookViewId="0">
      <selection activeCell="F46" sqref="F46:F56"/>
    </sheetView>
  </sheetViews>
  <sheetFormatPr baseColWidth="10" defaultRowHeight="16"/>
  <sheetData>
    <row r="5" spans="3:6">
      <c r="C5" s="22"/>
      <c r="D5" t="s">
        <v>228</v>
      </c>
      <c r="E5" t="s">
        <v>357</v>
      </c>
      <c r="F5" s="34" t="s">
        <v>586</v>
      </c>
    </row>
    <row r="6" spans="3:6">
      <c r="C6" s="22">
        <v>46023</v>
      </c>
      <c r="D6" s="26">
        <v>91.38</v>
      </c>
      <c r="E6" s="26">
        <v>80.66</v>
      </c>
      <c r="F6" s="36">
        <v>4.2039999999999997</v>
      </c>
    </row>
    <row r="7" spans="3:6">
      <c r="C7" s="22">
        <v>46054</v>
      </c>
      <c r="D7" s="26">
        <v>76.08</v>
      </c>
      <c r="E7" s="26">
        <v>78.38</v>
      </c>
      <c r="F7" s="36">
        <v>3.9470000000000001</v>
      </c>
    </row>
    <row r="8" spans="3:6">
      <c r="C8" s="22">
        <v>46082</v>
      </c>
      <c r="D8" s="26">
        <v>58</v>
      </c>
      <c r="E8" s="26">
        <v>40.85</v>
      </c>
      <c r="F8" s="36">
        <v>3.5489999999999999</v>
      </c>
    </row>
    <row r="9" spans="3:6">
      <c r="C9" s="22">
        <v>46113</v>
      </c>
      <c r="D9" s="26">
        <v>57.8</v>
      </c>
      <c r="E9" s="26">
        <v>32.35</v>
      </c>
      <c r="F9" s="36">
        <v>3.52</v>
      </c>
    </row>
    <row r="10" spans="3:6">
      <c r="C10" s="22">
        <v>46143</v>
      </c>
      <c r="D10" s="26">
        <v>58.47</v>
      </c>
      <c r="E10" s="26">
        <v>34.15</v>
      </c>
      <c r="F10" s="36">
        <v>3.5569999999999999</v>
      </c>
    </row>
    <row r="11" spans="3:6">
      <c r="C11" s="22">
        <v>46174</v>
      </c>
      <c r="D11" s="26">
        <v>65.38</v>
      </c>
      <c r="E11" s="26">
        <v>44.56</v>
      </c>
      <c r="F11" s="36">
        <v>3.7250000000000001</v>
      </c>
    </row>
    <row r="12" spans="3:6">
      <c r="C12" s="22">
        <v>46204</v>
      </c>
      <c r="D12" s="26">
        <v>94.05</v>
      </c>
      <c r="E12" s="26">
        <v>74.78</v>
      </c>
      <c r="F12" s="36">
        <v>3.9180000000000001</v>
      </c>
    </row>
    <row r="13" spans="3:6">
      <c r="C13" s="22">
        <v>46235</v>
      </c>
      <c r="D13" s="26">
        <v>80.3</v>
      </c>
      <c r="E13" s="26">
        <v>94.89</v>
      </c>
      <c r="F13" s="36">
        <v>3.9670000000000001</v>
      </c>
    </row>
    <row r="14" spans="3:6">
      <c r="C14" s="22">
        <v>46266</v>
      </c>
      <c r="D14" s="26">
        <v>63.23</v>
      </c>
      <c r="E14" s="26">
        <v>47.31</v>
      </c>
      <c r="F14" s="36">
        <v>3.9369999999999998</v>
      </c>
    </row>
    <row r="15" spans="3:6">
      <c r="C15" s="22">
        <v>46296</v>
      </c>
      <c r="D15" s="26">
        <v>61.52</v>
      </c>
      <c r="E15" s="26">
        <v>39.369999999999997</v>
      </c>
      <c r="F15" s="36">
        <v>3.9820000000000002</v>
      </c>
    </row>
    <row r="16" spans="3:6">
      <c r="C16" s="22">
        <v>46327</v>
      </c>
      <c r="D16" s="26">
        <v>60.47</v>
      </c>
      <c r="E16" s="26">
        <v>36.520000000000003</v>
      </c>
      <c r="F16" s="36">
        <v>4.194</v>
      </c>
    </row>
    <row r="17" spans="3:6">
      <c r="C17" s="22">
        <v>46357</v>
      </c>
      <c r="D17" s="26">
        <v>70.5</v>
      </c>
      <c r="E17" s="26">
        <v>42.62</v>
      </c>
      <c r="F17" s="36">
        <v>4.6120000000000001</v>
      </c>
    </row>
    <row r="18" spans="3:6">
      <c r="C18" s="22">
        <v>46388</v>
      </c>
      <c r="D18" s="26">
        <v>98</v>
      </c>
      <c r="E18" s="26">
        <v>76.95</v>
      </c>
      <c r="F18" s="36">
        <v>4.835</v>
      </c>
    </row>
    <row r="19" spans="3:6">
      <c r="C19" s="22">
        <v>46419</v>
      </c>
      <c r="D19" s="26">
        <v>83.4</v>
      </c>
      <c r="E19" s="26">
        <v>76.8</v>
      </c>
      <c r="F19" s="36">
        <v>4.4130000000000003</v>
      </c>
    </row>
    <row r="20" spans="3:6">
      <c r="C20" s="22">
        <v>46447</v>
      </c>
      <c r="D20" s="26">
        <v>59</v>
      </c>
      <c r="E20" s="26">
        <v>38.36</v>
      </c>
      <c r="F20" s="36">
        <v>3.823</v>
      </c>
    </row>
    <row r="21" spans="3:6">
      <c r="C21" s="22">
        <v>46478</v>
      </c>
      <c r="D21" s="26">
        <v>57.5</v>
      </c>
      <c r="E21" s="26">
        <v>32.43</v>
      </c>
      <c r="F21" s="36">
        <v>3.4550000000000001</v>
      </c>
    </row>
    <row r="22" spans="3:6">
      <c r="C22" s="22">
        <v>46508</v>
      </c>
      <c r="D22" s="26">
        <v>58.75</v>
      </c>
      <c r="E22" s="26">
        <v>34.200000000000003</v>
      </c>
      <c r="F22" s="36">
        <v>3.431</v>
      </c>
    </row>
    <row r="23" spans="3:6">
      <c r="C23" s="22">
        <v>46539</v>
      </c>
      <c r="D23" s="26">
        <v>65.25</v>
      </c>
      <c r="E23" s="26">
        <v>42.41</v>
      </c>
      <c r="F23" s="36">
        <v>3.5489999999999999</v>
      </c>
    </row>
    <row r="24" spans="3:6">
      <c r="C24" s="22">
        <v>46569</v>
      </c>
      <c r="D24" s="26">
        <v>93.13</v>
      </c>
      <c r="E24" s="26">
        <v>70.400000000000006</v>
      </c>
      <c r="F24" s="36">
        <v>3.698</v>
      </c>
    </row>
    <row r="25" spans="3:6">
      <c r="C25" s="22">
        <v>46600</v>
      </c>
      <c r="D25" s="26">
        <v>85.57</v>
      </c>
      <c r="E25" s="26">
        <v>95.5</v>
      </c>
      <c r="F25" s="36">
        <v>3.742</v>
      </c>
    </row>
    <row r="26" spans="3:6">
      <c r="C26" s="22">
        <v>46631</v>
      </c>
      <c r="D26" s="26">
        <v>62.75</v>
      </c>
      <c r="E26" s="26">
        <v>43.29</v>
      </c>
      <c r="F26" s="36">
        <v>3.726</v>
      </c>
    </row>
    <row r="27" spans="3:6">
      <c r="C27" s="22">
        <v>46661</v>
      </c>
      <c r="D27" s="26">
        <v>60.75</v>
      </c>
      <c r="E27" s="26">
        <v>38.49</v>
      </c>
      <c r="F27" s="36">
        <v>3.79</v>
      </c>
    </row>
    <row r="28" spans="3:6">
      <c r="C28" s="22">
        <v>46692</v>
      </c>
      <c r="D28" s="26">
        <v>61.75</v>
      </c>
      <c r="E28" s="26">
        <v>36.82</v>
      </c>
      <c r="F28" s="36">
        <v>3.9620000000000002</v>
      </c>
    </row>
    <row r="29" spans="3:6">
      <c r="C29" s="22">
        <v>46722</v>
      </c>
      <c r="D29" s="26">
        <v>69.3</v>
      </c>
      <c r="E29" s="26">
        <v>41.04</v>
      </c>
      <c r="F29" s="36">
        <v>4.3949999999999996</v>
      </c>
    </row>
    <row r="30" spans="3:6">
      <c r="C30" s="22">
        <v>46753</v>
      </c>
      <c r="D30" s="26">
        <v>89.61</v>
      </c>
      <c r="E30" s="26">
        <v>77.03</v>
      </c>
      <c r="F30" s="36">
        <v>4.7</v>
      </c>
    </row>
    <row r="31" spans="3:6">
      <c r="C31" s="22">
        <v>46784</v>
      </c>
      <c r="D31" s="26">
        <v>84.07</v>
      </c>
      <c r="E31" s="26">
        <v>73.349999999999994</v>
      </c>
      <c r="F31" s="36">
        <v>4.32</v>
      </c>
    </row>
    <row r="32" spans="3:6">
      <c r="C32" s="22">
        <v>46813</v>
      </c>
      <c r="D32" s="26">
        <v>64.34</v>
      </c>
      <c r="E32" s="26">
        <v>36.270000000000003</v>
      </c>
      <c r="F32" s="36">
        <v>3.718</v>
      </c>
    </row>
    <row r="33" spans="3:6">
      <c r="C33" s="22">
        <v>46844</v>
      </c>
      <c r="D33" s="26">
        <v>57.13</v>
      </c>
      <c r="E33" s="26">
        <v>32.96</v>
      </c>
      <c r="F33" s="36">
        <v>3.266</v>
      </c>
    </row>
    <row r="34" spans="3:6">
      <c r="C34" s="22">
        <v>46874</v>
      </c>
      <c r="D34" s="26">
        <v>59.73</v>
      </c>
      <c r="E34" s="26">
        <v>33.81</v>
      </c>
      <c r="F34" s="36"/>
    </row>
    <row r="35" spans="3:6">
      <c r="C35" s="22">
        <v>46905</v>
      </c>
      <c r="D35" s="26">
        <v>63.4</v>
      </c>
      <c r="E35" s="26">
        <v>43.23</v>
      </c>
      <c r="F35" s="36"/>
    </row>
    <row r="36" spans="3:6">
      <c r="C36" s="22">
        <v>46935</v>
      </c>
      <c r="D36" s="26">
        <v>91.92</v>
      </c>
      <c r="E36" s="26">
        <v>69.989999999999995</v>
      </c>
      <c r="F36" s="36">
        <v>3.5150000000000001</v>
      </c>
    </row>
    <row r="37" spans="3:6">
      <c r="C37" s="22">
        <v>46966</v>
      </c>
      <c r="D37" s="26">
        <v>84.32</v>
      </c>
      <c r="E37" s="26">
        <v>93.53</v>
      </c>
      <c r="F37" s="36"/>
    </row>
    <row r="38" spans="3:6">
      <c r="C38" s="22">
        <v>46997</v>
      </c>
      <c r="D38" s="26">
        <v>62.42</v>
      </c>
      <c r="E38" s="26">
        <v>46.37</v>
      </c>
      <c r="F38" s="36"/>
    </row>
    <row r="39" spans="3:6">
      <c r="C39" s="22">
        <v>47027</v>
      </c>
      <c r="D39" s="26">
        <v>56.88</v>
      </c>
      <c r="E39" s="26">
        <v>37.28</v>
      </c>
      <c r="F39" s="36">
        <v>3.63</v>
      </c>
    </row>
    <row r="40" spans="3:6">
      <c r="C40" s="22">
        <v>47058</v>
      </c>
      <c r="D40" s="26">
        <v>61.25</v>
      </c>
      <c r="E40" s="26">
        <v>35.270000000000003</v>
      </c>
      <c r="F40" s="36"/>
    </row>
    <row r="41" spans="3:6">
      <c r="C41" s="22">
        <v>47088</v>
      </c>
      <c r="D41" s="26">
        <v>75.430000000000007</v>
      </c>
      <c r="E41" s="26">
        <v>40.83</v>
      </c>
      <c r="F41" s="36">
        <v>4.2290000000000001</v>
      </c>
    </row>
    <row r="42" spans="3:6">
      <c r="C42" s="22">
        <v>47119</v>
      </c>
      <c r="D42" s="26">
        <v>93.6</v>
      </c>
      <c r="E42" s="26">
        <v>78.06</v>
      </c>
      <c r="F42" s="36"/>
    </row>
    <row r="43" spans="3:6">
      <c r="C43" s="22">
        <v>47150</v>
      </c>
      <c r="D43" s="26">
        <v>85.77</v>
      </c>
      <c r="E43" s="26">
        <v>74.09</v>
      </c>
      <c r="F43" s="36"/>
    </row>
    <row r="44" spans="3:6">
      <c r="C44" s="22">
        <v>47178</v>
      </c>
      <c r="D44" s="26">
        <v>64.989999999999995</v>
      </c>
      <c r="E44" s="26">
        <v>37.07</v>
      </c>
      <c r="F44" s="36">
        <v>3.585</v>
      </c>
    </row>
    <row r="45" spans="3:6">
      <c r="C45" s="22">
        <v>47209</v>
      </c>
      <c r="D45" s="26">
        <v>58.07</v>
      </c>
      <c r="E45" s="26">
        <v>33.76</v>
      </c>
      <c r="F45" s="36">
        <v>3.165</v>
      </c>
    </row>
    <row r="46" spans="3:6">
      <c r="C46" s="22">
        <v>47239</v>
      </c>
      <c r="D46" s="26">
        <v>60.37</v>
      </c>
      <c r="E46" s="26">
        <v>34.53</v>
      </c>
      <c r="F46" s="36"/>
    </row>
    <row r="47" spans="3:6">
      <c r="C47" s="22">
        <v>47270</v>
      </c>
      <c r="D47" s="26">
        <v>64.25</v>
      </c>
      <c r="E47" s="26">
        <v>43.77</v>
      </c>
      <c r="F47" s="36"/>
    </row>
    <row r="48" spans="3:6">
      <c r="C48" s="22">
        <v>47300</v>
      </c>
      <c r="D48" s="26">
        <v>85.88</v>
      </c>
      <c r="E48" s="26">
        <v>70.53</v>
      </c>
      <c r="F48" s="36"/>
    </row>
    <row r="49" spans="3:6">
      <c r="C49" s="22">
        <v>47331</v>
      </c>
      <c r="D49" s="26">
        <v>79.069999999999993</v>
      </c>
      <c r="E49" s="26">
        <v>94.3</v>
      </c>
      <c r="F49" s="36"/>
    </row>
    <row r="50" spans="3:6">
      <c r="C50" s="22">
        <v>47362</v>
      </c>
      <c r="D50" s="26">
        <v>63.55</v>
      </c>
      <c r="E50" s="26">
        <v>46.58</v>
      </c>
      <c r="F50" s="36"/>
    </row>
    <row r="51" spans="3:6">
      <c r="C51" s="22">
        <v>47392</v>
      </c>
      <c r="D51" s="26">
        <v>58.07</v>
      </c>
      <c r="E51" s="26">
        <v>37.33</v>
      </c>
      <c r="F51" s="36"/>
    </row>
    <row r="52" spans="3:6">
      <c r="C52" s="22">
        <v>47423</v>
      </c>
      <c r="D52" s="26">
        <v>62.51</v>
      </c>
      <c r="E52" s="26">
        <v>34.94</v>
      </c>
      <c r="F52" s="36"/>
    </row>
    <row r="53" spans="3:6">
      <c r="C53" s="22">
        <v>47453</v>
      </c>
      <c r="D53" s="26">
        <v>76.87</v>
      </c>
      <c r="E53" s="26">
        <v>40.799999999999997</v>
      </c>
      <c r="F53" s="36"/>
    </row>
    <row r="54" spans="3:6">
      <c r="C54" s="22"/>
      <c r="D54" s="26"/>
      <c r="E54" s="26"/>
      <c r="F54" s="36"/>
    </row>
    <row r="55" spans="3:6">
      <c r="C55" s="22"/>
      <c r="D55" s="26"/>
      <c r="E55" s="26"/>
      <c r="F55" s="36"/>
    </row>
    <row r="56" spans="3:6">
      <c r="C56" s="22"/>
      <c r="D56" s="26"/>
      <c r="E56" s="26"/>
      <c r="F56" s="36"/>
    </row>
    <row r="57" spans="3:6">
      <c r="C57" s="22"/>
      <c r="D57" s="26"/>
      <c r="E57" s="26"/>
      <c r="F57" s="36" t="s">
        <v>12</v>
      </c>
    </row>
    <row r="58" spans="3:6">
      <c r="C58" s="22"/>
      <c r="D58" s="26"/>
      <c r="E58" s="26"/>
      <c r="F58" s="36" t="s">
        <v>12</v>
      </c>
    </row>
    <row r="59" spans="3:6">
      <c r="C59" s="22"/>
      <c r="D59" s="26"/>
      <c r="E59" s="26"/>
      <c r="F59" s="36" t="s">
        <v>12</v>
      </c>
    </row>
    <row r="60" spans="3:6">
      <c r="C60" s="22"/>
      <c r="D60" s="26"/>
      <c r="E60" s="26"/>
      <c r="F60" s="36" t="s">
        <v>12</v>
      </c>
    </row>
    <row r="61" spans="3:6">
      <c r="C61" s="22"/>
      <c r="D61" s="26"/>
      <c r="E61" s="26"/>
      <c r="F61" s="36" t="s">
        <v>12</v>
      </c>
    </row>
    <row r="62" spans="3:6">
      <c r="C62" s="22"/>
      <c r="D62" s="26"/>
      <c r="E62" s="26"/>
      <c r="F62" s="36" t="s">
        <v>12</v>
      </c>
    </row>
    <row r="63" spans="3:6">
      <c r="C63" s="22"/>
      <c r="D63" s="26"/>
      <c r="E63" s="26"/>
      <c r="F63" s="36" t="s">
        <v>12</v>
      </c>
    </row>
    <row r="64" spans="3:6">
      <c r="C64" s="22"/>
      <c r="D64" s="26"/>
      <c r="E64" s="26"/>
      <c r="F64" s="36" t="s">
        <v>12</v>
      </c>
    </row>
    <row r="65" spans="3:6">
      <c r="C65" s="22"/>
      <c r="D65" s="26"/>
      <c r="E65" s="26"/>
      <c r="F65" s="36" t="s">
        <v>12</v>
      </c>
    </row>
    <row r="66" spans="3:6">
      <c r="E66" s="26"/>
      <c r="F66" s="36" t="s">
        <v>12</v>
      </c>
    </row>
    <row r="67" spans="3:6">
      <c r="E67" s="26"/>
      <c r="F67" s="36" t="s">
        <v>12</v>
      </c>
    </row>
    <row r="68" spans="3:6">
      <c r="E68" s="26"/>
      <c r="F68" s="36" t="s">
        <v>12</v>
      </c>
    </row>
    <row r="69" spans="3:6">
      <c r="E69" s="26"/>
      <c r="F69" s="36" t="s">
        <v>12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E02B-E879-A744-8B90-FF33316DD1FC}">
  <dimension ref="E7:O23"/>
  <sheetViews>
    <sheetView topLeftCell="H16" zoomScale="200" workbookViewId="0">
      <selection activeCell="S20" sqref="S20"/>
    </sheetView>
  </sheetViews>
  <sheetFormatPr baseColWidth="10" defaultRowHeight="16"/>
  <sheetData>
    <row r="7" spans="5:15">
      <c r="F7" t="s">
        <v>594</v>
      </c>
      <c r="N7">
        <v>5919221000</v>
      </c>
    </row>
    <row r="8" spans="5:15">
      <c r="E8" s="34">
        <v>2009</v>
      </c>
      <c r="F8" s="37">
        <v>5.4861040000000001</v>
      </c>
      <c r="G8" s="34" t="s">
        <v>587</v>
      </c>
      <c r="N8" s="34">
        <v>5486104000</v>
      </c>
      <c r="O8" s="38">
        <f>N8/N7-1</f>
        <v>-7.3171283856439895E-2</v>
      </c>
    </row>
    <row r="9" spans="5:15">
      <c r="E9" s="34">
        <v>2010</v>
      </c>
      <c r="F9" s="37">
        <v>5.6692499999999999</v>
      </c>
      <c r="G9" s="34" t="s">
        <v>587</v>
      </c>
      <c r="N9" s="34">
        <v>5669250000</v>
      </c>
      <c r="O9" s="38">
        <f t="shared" ref="O9:O23" si="0">N9/N8-1</f>
        <v>3.3383617955474509E-2</v>
      </c>
    </row>
    <row r="10" spans="5:15">
      <c r="E10" s="34">
        <v>2011</v>
      </c>
      <c r="F10" s="37">
        <v>5.5389730000000004</v>
      </c>
      <c r="G10" s="34" t="s">
        <v>587</v>
      </c>
      <c r="N10" s="34">
        <v>5538973000</v>
      </c>
      <c r="O10" s="38">
        <f t="shared" si="0"/>
        <v>-2.2979582837236001E-2</v>
      </c>
    </row>
    <row r="11" spans="5:15">
      <c r="E11" s="34">
        <v>2012</v>
      </c>
      <c r="F11" s="37">
        <v>5.3314672999999999</v>
      </c>
      <c r="G11" s="34" t="s">
        <v>587</v>
      </c>
      <c r="N11" s="34">
        <v>5331467300</v>
      </c>
      <c r="O11" s="38">
        <f t="shared" si="0"/>
        <v>-3.746284735455474E-2</v>
      </c>
    </row>
    <row r="12" spans="5:15">
      <c r="E12" s="34">
        <v>2013</v>
      </c>
      <c r="F12" s="37">
        <v>5.4734360000000004</v>
      </c>
      <c r="G12" s="34" t="s">
        <v>587</v>
      </c>
      <c r="N12" s="34">
        <v>5473436000</v>
      </c>
      <c r="O12" s="38">
        <f t="shared" si="0"/>
        <v>2.6628448044687447E-2</v>
      </c>
    </row>
    <row r="13" spans="5:15">
      <c r="E13" s="34">
        <v>2014</v>
      </c>
      <c r="F13" s="37">
        <v>5.5313853000000002</v>
      </c>
      <c r="G13" s="34" t="s">
        <v>587</v>
      </c>
      <c r="N13" s="34">
        <v>5531385300</v>
      </c>
      <c r="O13" s="38">
        <f t="shared" si="0"/>
        <v>1.0587371442728033E-2</v>
      </c>
    </row>
    <row r="14" spans="5:15">
      <c r="E14" s="34">
        <v>2015</v>
      </c>
      <c r="F14" s="37">
        <v>5.3684966000000003</v>
      </c>
      <c r="G14" s="34" t="s">
        <v>587</v>
      </c>
      <c r="N14" s="34">
        <v>5368496600</v>
      </c>
      <c r="O14" s="38">
        <f t="shared" si="0"/>
        <v>-2.9448084189687473E-2</v>
      </c>
    </row>
    <row r="15" spans="5:15">
      <c r="E15" s="34">
        <v>2016</v>
      </c>
      <c r="F15" s="37">
        <v>5.2453617000000001</v>
      </c>
      <c r="G15" s="34" t="s">
        <v>587</v>
      </c>
      <c r="N15" s="34">
        <v>5245361700</v>
      </c>
      <c r="O15" s="38">
        <f t="shared" si="0"/>
        <v>-2.2936570361244191E-2</v>
      </c>
    </row>
    <row r="16" spans="5:15">
      <c r="E16" s="34">
        <v>2017</v>
      </c>
      <c r="F16" s="37">
        <v>5.1954175999999999</v>
      </c>
      <c r="G16" s="34" t="s">
        <v>588</v>
      </c>
      <c r="N16" s="34">
        <v>5195417600</v>
      </c>
      <c r="O16" s="38">
        <f t="shared" si="0"/>
        <v>-9.521574079438655E-3</v>
      </c>
    </row>
    <row r="17" spans="5:15">
      <c r="E17" s="34">
        <v>2018</v>
      </c>
      <c r="F17" s="37">
        <v>5.3612365000000004</v>
      </c>
      <c r="G17" s="34" t="s">
        <v>588</v>
      </c>
      <c r="N17" s="34">
        <v>5361236500</v>
      </c>
      <c r="O17" s="38">
        <f t="shared" si="0"/>
        <v>3.1916375692302434E-2</v>
      </c>
    </row>
    <row r="18" spans="5:15">
      <c r="E18" s="34">
        <v>2019</v>
      </c>
      <c r="F18" s="37">
        <v>5.2359119999999999</v>
      </c>
      <c r="G18" s="34" t="s">
        <v>588</v>
      </c>
      <c r="N18" s="34">
        <v>5235912000</v>
      </c>
      <c r="O18" s="38">
        <f t="shared" si="0"/>
        <v>-2.3376043940609548E-2</v>
      </c>
    </row>
    <row r="19" spans="5:15">
      <c r="E19" s="34">
        <v>2020</v>
      </c>
      <c r="F19" s="37">
        <v>4.6899540000000002</v>
      </c>
      <c r="G19" s="34" t="s">
        <v>588</v>
      </c>
      <c r="N19" s="34">
        <v>4689954000</v>
      </c>
      <c r="O19" s="38">
        <f t="shared" si="0"/>
        <v>-0.10427180594326257</v>
      </c>
    </row>
    <row r="20" spans="5:15">
      <c r="E20" s="34">
        <v>2021</v>
      </c>
      <c r="F20" s="37">
        <v>5.020111</v>
      </c>
      <c r="G20" s="34" t="s">
        <v>589</v>
      </c>
      <c r="N20" s="34">
        <v>5020111000</v>
      </c>
      <c r="O20" s="38">
        <f t="shared" si="0"/>
        <v>7.0396639284735052E-2</v>
      </c>
    </row>
    <row r="21" spans="5:15">
      <c r="E21" s="34">
        <v>2022</v>
      </c>
      <c r="F21" s="37">
        <v>5.0554030000000001</v>
      </c>
      <c r="G21" s="34" t="s">
        <v>589</v>
      </c>
      <c r="N21" s="34">
        <v>5055403000</v>
      </c>
      <c r="O21" s="38">
        <f t="shared" si="0"/>
        <v>7.0301234375096389E-3</v>
      </c>
    </row>
    <row r="22" spans="5:15">
      <c r="E22" s="34">
        <v>2023</v>
      </c>
      <c r="F22" s="37">
        <v>4.9184067000000002</v>
      </c>
      <c r="G22" s="34" t="s">
        <v>589</v>
      </c>
      <c r="N22" s="34">
        <v>4918406700</v>
      </c>
      <c r="O22" s="38">
        <f t="shared" si="0"/>
        <v>-2.709898696503521E-2</v>
      </c>
    </row>
    <row r="23" spans="5:15">
      <c r="E23" s="34">
        <v>2024</v>
      </c>
      <c r="F23" s="37">
        <v>4.9041199999999998</v>
      </c>
      <c r="G23" s="34" t="s">
        <v>589</v>
      </c>
      <c r="N23" s="34">
        <v>4904120000</v>
      </c>
      <c r="O23" s="38">
        <f t="shared" si="0"/>
        <v>-2.9047414887426459E-3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5509-42ED-0D4B-97DD-EEC7142A290F}">
  <dimension ref="A3:R322"/>
  <sheetViews>
    <sheetView workbookViewId="0">
      <selection activeCell="Q10" sqref="Q10:R74"/>
    </sheetView>
  </sheetViews>
  <sheetFormatPr baseColWidth="10" defaultRowHeight="16"/>
  <sheetData>
    <row r="3" spans="1:18">
      <c r="A3" t="s">
        <v>585</v>
      </c>
    </row>
    <row r="4" spans="1:18" ht="21">
      <c r="B4" s="31" t="s">
        <v>358</v>
      </c>
    </row>
    <row r="5" spans="1:18" ht="21">
      <c r="B5" s="31" t="s">
        <v>306</v>
      </c>
    </row>
    <row r="6" spans="1:18">
      <c r="B6" s="1" t="s">
        <v>0</v>
      </c>
      <c r="C6" s="1" t="s">
        <v>359</v>
      </c>
      <c r="D6" s="1" t="s">
        <v>1</v>
      </c>
      <c r="E6" s="1" t="s">
        <v>2</v>
      </c>
      <c r="F6" s="1" t="s">
        <v>3</v>
      </c>
      <c r="G6" s="1" t="s">
        <v>4</v>
      </c>
      <c r="H6" s="1" t="s">
        <v>6</v>
      </c>
      <c r="I6" s="1" t="s">
        <v>7</v>
      </c>
      <c r="J6" s="1" t="s">
        <v>8</v>
      </c>
      <c r="K6" s="1" t="s">
        <v>9</v>
      </c>
      <c r="L6" s="1" t="s">
        <v>10</v>
      </c>
    </row>
    <row r="7" spans="1:18">
      <c r="B7" s="1"/>
      <c r="C7" s="1"/>
      <c r="D7" s="1"/>
      <c r="E7" s="1"/>
      <c r="F7" s="1"/>
      <c r="G7" s="1" t="s">
        <v>5</v>
      </c>
      <c r="H7" s="1"/>
      <c r="I7" s="1"/>
      <c r="J7" s="1"/>
      <c r="K7" s="1"/>
      <c r="L7" s="1"/>
    </row>
    <row r="8" spans="1:18">
      <c r="B8" s="1" t="s">
        <v>0</v>
      </c>
      <c r="C8" s="1" t="s">
        <v>359</v>
      </c>
      <c r="D8" s="1" t="s">
        <v>1</v>
      </c>
      <c r="E8" s="1" t="s">
        <v>2</v>
      </c>
      <c r="F8" s="1" t="s">
        <v>3</v>
      </c>
      <c r="G8" s="1" t="s">
        <v>4</v>
      </c>
      <c r="H8" s="1" t="s">
        <v>6</v>
      </c>
      <c r="I8" s="1" t="s">
        <v>7</v>
      </c>
      <c r="J8" s="1" t="s">
        <v>8</v>
      </c>
      <c r="K8" s="1" t="s">
        <v>9</v>
      </c>
      <c r="L8" s="1" t="s">
        <v>10</v>
      </c>
    </row>
    <row r="9" spans="1:18">
      <c r="B9" s="1"/>
      <c r="C9" s="1"/>
      <c r="D9" s="1"/>
      <c r="E9" s="1"/>
      <c r="F9" s="1"/>
      <c r="G9" s="1" t="s">
        <v>5</v>
      </c>
      <c r="H9" s="1"/>
      <c r="I9" s="1"/>
      <c r="J9" s="1"/>
      <c r="K9" s="1"/>
      <c r="L9" s="1"/>
      <c r="P9" s="34">
        <v>6</v>
      </c>
      <c r="Q9" s="35" t="s">
        <v>187</v>
      </c>
      <c r="R9" s="34"/>
    </row>
    <row r="10" spans="1:18">
      <c r="B10" s="2">
        <v>46023</v>
      </c>
      <c r="C10" s="7" t="s">
        <v>361</v>
      </c>
      <c r="D10" s="5"/>
      <c r="E10" s="3">
        <v>4.2039999999999997</v>
      </c>
      <c r="F10" s="32" t="s">
        <v>362</v>
      </c>
      <c r="G10" s="3">
        <v>4.5949999999999998</v>
      </c>
      <c r="H10" s="3">
        <v>4.6260000000000003</v>
      </c>
      <c r="I10" s="3">
        <v>4.6310000000000002</v>
      </c>
      <c r="J10" s="3">
        <v>4.1959999999999997</v>
      </c>
      <c r="K10" s="33">
        <v>201916</v>
      </c>
      <c r="L10" s="3" t="s">
        <v>363</v>
      </c>
      <c r="P10" s="34">
        <v>8</v>
      </c>
      <c r="Q10" s="35"/>
      <c r="R10" s="34" t="s">
        <v>586</v>
      </c>
    </row>
    <row r="11" spans="1:18">
      <c r="B11" s="3" t="s">
        <v>360</v>
      </c>
      <c r="C11" s="7"/>
      <c r="D11" s="5"/>
      <c r="E11" s="3"/>
      <c r="F11" s="32"/>
      <c r="G11" s="3"/>
      <c r="H11" s="3"/>
      <c r="I11" s="3"/>
      <c r="J11" s="3"/>
      <c r="K11" s="33"/>
      <c r="L11" s="4">
        <v>46002</v>
      </c>
      <c r="P11" s="34">
        <v>10</v>
      </c>
      <c r="Q11" s="35" cm="1">
        <f t="array" aca="1" ref="Q11" ca="1">INDIRECT("B"&amp;P11)</f>
        <v>46023</v>
      </c>
      <c r="R11" s="36" cm="1">
        <f t="array" aca="1" ref="R11" ca="1">INDIRECT("E"&amp;P11)</f>
        <v>4.2039999999999997</v>
      </c>
    </row>
    <row r="12" spans="1:18">
      <c r="B12" s="2">
        <v>46054</v>
      </c>
      <c r="C12" s="7" t="s">
        <v>361</v>
      </c>
      <c r="D12" s="5"/>
      <c r="E12" s="3">
        <v>3.9470000000000001</v>
      </c>
      <c r="F12" s="32" t="s">
        <v>365</v>
      </c>
      <c r="G12" s="3">
        <v>4.242</v>
      </c>
      <c r="H12" s="3">
        <v>4.2690000000000001</v>
      </c>
      <c r="I12" s="3">
        <v>4.2690000000000001</v>
      </c>
      <c r="J12" s="3">
        <v>3.9409999999999998</v>
      </c>
      <c r="K12" s="33">
        <v>81866</v>
      </c>
      <c r="L12" s="3" t="s">
        <v>366</v>
      </c>
      <c r="P12" s="34">
        <v>12</v>
      </c>
      <c r="Q12" s="35">
        <v>46054</v>
      </c>
      <c r="R12" s="36" cm="1">
        <f t="array" aca="1" ref="R12" ca="1">INDIRECT("E"&amp;P12)</f>
        <v>3.9470000000000001</v>
      </c>
    </row>
    <row r="13" spans="1:18">
      <c r="B13" s="3" t="s">
        <v>364</v>
      </c>
      <c r="C13" s="7"/>
      <c r="D13" s="5"/>
      <c r="E13" s="3"/>
      <c r="F13" s="32"/>
      <c r="G13" s="3"/>
      <c r="H13" s="3"/>
      <c r="I13" s="3"/>
      <c r="J13" s="3"/>
      <c r="K13" s="33"/>
      <c r="L13" s="4">
        <v>46002</v>
      </c>
      <c r="P13" s="34">
        <v>14</v>
      </c>
      <c r="Q13" s="35">
        <v>46082</v>
      </c>
      <c r="R13" s="36" cm="1">
        <f t="array" aca="1" ref="R13" ca="1">INDIRECT("E"&amp;P13)</f>
        <v>3.5489999999999999</v>
      </c>
    </row>
    <row r="14" spans="1:18">
      <c r="B14" s="2">
        <v>46082</v>
      </c>
      <c r="C14" s="7" t="s">
        <v>361</v>
      </c>
      <c r="D14" s="5"/>
      <c r="E14" s="3">
        <v>3.5489999999999999</v>
      </c>
      <c r="F14" s="32" t="s">
        <v>368</v>
      </c>
      <c r="G14" s="3">
        <v>3.706</v>
      </c>
      <c r="H14" s="3">
        <v>3.722</v>
      </c>
      <c r="I14" s="3">
        <v>3.722</v>
      </c>
      <c r="J14" s="3">
        <v>3.54</v>
      </c>
      <c r="K14" s="33">
        <v>75416</v>
      </c>
      <c r="L14" s="3" t="s">
        <v>369</v>
      </c>
      <c r="P14" s="34">
        <v>16</v>
      </c>
      <c r="Q14" s="35">
        <v>46113</v>
      </c>
      <c r="R14" s="36" cm="1">
        <f t="array" aca="1" ref="R14" ca="1">INDIRECT("E"&amp;P14)</f>
        <v>3.52</v>
      </c>
    </row>
    <row r="15" spans="1:18">
      <c r="B15" s="3" t="s">
        <v>367</v>
      </c>
      <c r="C15" s="7"/>
      <c r="D15" s="5"/>
      <c r="E15" s="3"/>
      <c r="F15" s="32"/>
      <c r="G15" s="3"/>
      <c r="H15" s="3"/>
      <c r="I15" s="3"/>
      <c r="J15" s="3"/>
      <c r="K15" s="33"/>
      <c r="L15" s="4">
        <v>46002</v>
      </c>
      <c r="P15" s="34">
        <v>18</v>
      </c>
      <c r="Q15" s="35">
        <v>46143</v>
      </c>
      <c r="R15" s="36" cm="1">
        <f t="array" aca="1" ref="R15" ca="1">INDIRECT("E"&amp;P15)</f>
        <v>3.5569999999999999</v>
      </c>
    </row>
    <row r="16" spans="1:18">
      <c r="B16" s="2">
        <v>46113</v>
      </c>
      <c r="C16" s="7" t="s">
        <v>361</v>
      </c>
      <c r="D16" s="5"/>
      <c r="E16" s="3">
        <v>3.52</v>
      </c>
      <c r="F16" s="32" t="s">
        <v>371</v>
      </c>
      <c r="G16" s="3">
        <v>3.6419999999999999</v>
      </c>
      <c r="H16" s="3">
        <v>3.6520000000000001</v>
      </c>
      <c r="I16" s="3">
        <v>3.657</v>
      </c>
      <c r="J16" s="3">
        <v>3.508</v>
      </c>
      <c r="K16" s="33">
        <v>61960</v>
      </c>
      <c r="L16" s="3" t="s">
        <v>369</v>
      </c>
      <c r="P16" s="34">
        <v>20</v>
      </c>
      <c r="Q16" s="35">
        <v>46174</v>
      </c>
      <c r="R16" s="36" cm="1">
        <f t="array" aca="1" ref="R16" ca="1">INDIRECT("E"&amp;P16)</f>
        <v>3.7250000000000001</v>
      </c>
    </row>
    <row r="17" spans="2:18">
      <c r="B17" s="3" t="s">
        <v>370</v>
      </c>
      <c r="C17" s="7"/>
      <c r="D17" s="5"/>
      <c r="E17" s="3"/>
      <c r="F17" s="32"/>
      <c r="G17" s="3"/>
      <c r="H17" s="3"/>
      <c r="I17" s="3"/>
      <c r="J17" s="3"/>
      <c r="K17" s="33"/>
      <c r="L17" s="4">
        <v>46002</v>
      </c>
      <c r="P17" s="34">
        <v>22</v>
      </c>
      <c r="Q17" s="35">
        <v>46204</v>
      </c>
      <c r="R17" s="36" cm="1">
        <f t="array" aca="1" ref="R17" ca="1">INDIRECT("E"&amp;P17)</f>
        <v>3.9180000000000001</v>
      </c>
    </row>
    <row r="18" spans="2:18">
      <c r="B18" s="2">
        <v>46143</v>
      </c>
      <c r="C18" s="7" t="s">
        <v>361</v>
      </c>
      <c r="D18" s="5"/>
      <c r="E18" s="3">
        <v>3.5569999999999999</v>
      </c>
      <c r="F18" s="32" t="s">
        <v>373</v>
      </c>
      <c r="G18" s="3">
        <v>3.6680000000000001</v>
      </c>
      <c r="H18" s="3">
        <v>3.6819999999999999</v>
      </c>
      <c r="I18" s="3">
        <v>3.6829999999999998</v>
      </c>
      <c r="J18" s="3">
        <v>3.5459999999999998</v>
      </c>
      <c r="K18" s="33">
        <v>19991</v>
      </c>
      <c r="L18" s="3" t="s">
        <v>369</v>
      </c>
      <c r="P18" s="34">
        <v>24</v>
      </c>
      <c r="Q18" s="35">
        <v>46235</v>
      </c>
      <c r="R18" s="36" cm="1">
        <f t="array" aca="1" ref="R18" ca="1">INDIRECT("E"&amp;P18)</f>
        <v>3.9670000000000001</v>
      </c>
    </row>
    <row r="19" spans="2:18">
      <c r="B19" s="3" t="s">
        <v>372</v>
      </c>
      <c r="C19" s="7"/>
      <c r="D19" s="5"/>
      <c r="E19" s="3"/>
      <c r="F19" s="32"/>
      <c r="G19" s="3"/>
      <c r="H19" s="3"/>
      <c r="I19" s="3"/>
      <c r="J19" s="3"/>
      <c r="K19" s="33"/>
      <c r="L19" s="4">
        <v>46002</v>
      </c>
      <c r="P19" s="34">
        <v>26</v>
      </c>
      <c r="Q19" s="35">
        <v>46266</v>
      </c>
      <c r="R19" s="36" cm="1">
        <f t="array" aca="1" ref="R19" ca="1">INDIRECT("E"&amp;P19)</f>
        <v>3.9369999999999998</v>
      </c>
    </row>
    <row r="20" spans="2:18">
      <c r="B20" s="2">
        <v>46174</v>
      </c>
      <c r="C20" s="7" t="s">
        <v>361</v>
      </c>
      <c r="D20" s="5"/>
      <c r="E20" s="3">
        <v>3.7250000000000001</v>
      </c>
      <c r="F20" s="32" t="s">
        <v>375</v>
      </c>
      <c r="G20" s="3">
        <v>3.8290000000000002</v>
      </c>
      <c r="H20" s="3">
        <v>3.8420000000000001</v>
      </c>
      <c r="I20" s="3">
        <v>3.8420000000000001</v>
      </c>
      <c r="J20" s="3">
        <v>3.7120000000000002</v>
      </c>
      <c r="K20" s="33">
        <v>11132</v>
      </c>
      <c r="L20" s="3" t="s">
        <v>369</v>
      </c>
      <c r="P20" s="34">
        <v>28</v>
      </c>
      <c r="Q20" s="35">
        <v>46296</v>
      </c>
      <c r="R20" s="36" cm="1">
        <f t="array" aca="1" ref="R20" ca="1">INDIRECT("E"&amp;P20)</f>
        <v>3.9820000000000002</v>
      </c>
    </row>
    <row r="21" spans="2:18">
      <c r="B21" s="3" t="s">
        <v>374</v>
      </c>
      <c r="C21" s="7"/>
      <c r="D21" s="5"/>
      <c r="E21" s="3"/>
      <c r="F21" s="32"/>
      <c r="G21" s="3"/>
      <c r="H21" s="3"/>
      <c r="I21" s="3"/>
      <c r="J21" s="3"/>
      <c r="K21" s="33"/>
      <c r="L21" s="4">
        <v>46002</v>
      </c>
      <c r="P21" s="34">
        <v>30</v>
      </c>
      <c r="Q21" s="35">
        <v>46327</v>
      </c>
      <c r="R21" s="36" cm="1">
        <f t="array" aca="1" ref="R21" ca="1">INDIRECT("E"&amp;P21)</f>
        <v>4.194</v>
      </c>
    </row>
    <row r="22" spans="2:18">
      <c r="B22" s="2">
        <v>46204</v>
      </c>
      <c r="C22" s="7" t="s">
        <v>361</v>
      </c>
      <c r="D22" s="5"/>
      <c r="E22" s="3">
        <v>3.9180000000000001</v>
      </c>
      <c r="F22" s="32" t="s">
        <v>377</v>
      </c>
      <c r="G22" s="3">
        <v>4.0179999999999998</v>
      </c>
      <c r="H22" s="3">
        <v>4.032</v>
      </c>
      <c r="I22" s="3">
        <v>4.0330000000000004</v>
      </c>
      <c r="J22" s="3">
        <v>3.9039999999999999</v>
      </c>
      <c r="K22" s="33">
        <v>11285</v>
      </c>
      <c r="L22" s="3" t="s">
        <v>366</v>
      </c>
      <c r="P22" s="34">
        <v>32</v>
      </c>
      <c r="Q22" s="35">
        <v>46357</v>
      </c>
      <c r="R22" s="36" cm="1">
        <f t="array" aca="1" ref="R22" ca="1">INDIRECT("E"&amp;P22)</f>
        <v>4.6120000000000001</v>
      </c>
    </row>
    <row r="23" spans="2:18">
      <c r="B23" s="3" t="s">
        <v>376</v>
      </c>
      <c r="C23" s="7"/>
      <c r="D23" s="5"/>
      <c r="E23" s="3"/>
      <c r="F23" s="32"/>
      <c r="G23" s="3"/>
      <c r="H23" s="3"/>
      <c r="I23" s="3"/>
      <c r="J23" s="3"/>
      <c r="K23" s="33"/>
      <c r="L23" s="4">
        <v>46002</v>
      </c>
      <c r="P23" s="34">
        <v>34</v>
      </c>
      <c r="Q23" s="35">
        <v>46388</v>
      </c>
      <c r="R23" s="36" cm="1">
        <f t="array" aca="1" ref="R23" ca="1">INDIRECT("E"&amp;P23)</f>
        <v>4.835</v>
      </c>
    </row>
    <row r="24" spans="2:18">
      <c r="B24" s="2">
        <v>46235</v>
      </c>
      <c r="C24" s="7" t="s">
        <v>361</v>
      </c>
      <c r="D24" s="5"/>
      <c r="E24" s="3">
        <v>3.9670000000000001</v>
      </c>
      <c r="F24" s="32" t="s">
        <v>379</v>
      </c>
      <c r="G24" s="3">
        <v>4.069</v>
      </c>
      <c r="H24" s="3">
        <v>4.08</v>
      </c>
      <c r="I24" s="3">
        <v>4.0839999999999996</v>
      </c>
      <c r="J24" s="3">
        <v>3.9580000000000002</v>
      </c>
      <c r="K24" s="33">
        <v>6265</v>
      </c>
      <c r="L24" s="3" t="s">
        <v>380</v>
      </c>
      <c r="P24" s="34">
        <v>36</v>
      </c>
      <c r="Q24" s="35">
        <v>46419</v>
      </c>
      <c r="R24" s="36" cm="1">
        <f t="array" aca="1" ref="R24" ca="1">INDIRECT("E"&amp;P24)</f>
        <v>4.4130000000000003</v>
      </c>
    </row>
    <row r="25" spans="2:18">
      <c r="B25" s="3" t="s">
        <v>378</v>
      </c>
      <c r="C25" s="7"/>
      <c r="D25" s="5"/>
      <c r="E25" s="3"/>
      <c r="F25" s="32"/>
      <c r="G25" s="3"/>
      <c r="H25" s="3"/>
      <c r="I25" s="3"/>
      <c r="J25" s="3"/>
      <c r="K25" s="33"/>
      <c r="L25" s="4">
        <v>46002</v>
      </c>
      <c r="P25" s="34">
        <v>38</v>
      </c>
      <c r="Q25" s="35">
        <v>46447</v>
      </c>
      <c r="R25" s="36" cm="1">
        <f t="array" aca="1" ref="R25" ca="1">INDIRECT("E"&amp;P25)</f>
        <v>3.823</v>
      </c>
    </row>
    <row r="26" spans="2:18">
      <c r="B26" s="2">
        <v>46266</v>
      </c>
      <c r="C26" s="7" t="s">
        <v>361</v>
      </c>
      <c r="D26" s="5"/>
      <c r="E26" s="3">
        <v>3.9369999999999998</v>
      </c>
      <c r="F26" s="32" t="s">
        <v>382</v>
      </c>
      <c r="G26" s="3">
        <v>4.0359999999999996</v>
      </c>
      <c r="H26" s="3">
        <v>4.0919999999999996</v>
      </c>
      <c r="I26" s="3">
        <v>4.0919999999999996</v>
      </c>
      <c r="J26" s="3">
        <v>3.9260000000000002</v>
      </c>
      <c r="K26" s="33">
        <v>7736</v>
      </c>
      <c r="L26" s="3" t="s">
        <v>383</v>
      </c>
      <c r="P26" s="34">
        <v>40</v>
      </c>
      <c r="Q26" s="35">
        <v>46478</v>
      </c>
      <c r="R26" s="36" cm="1">
        <f t="array" aca="1" ref="R26" ca="1">INDIRECT("E"&amp;P26)</f>
        <v>3.4550000000000001</v>
      </c>
    </row>
    <row r="27" spans="2:18">
      <c r="B27" s="3" t="s">
        <v>381</v>
      </c>
      <c r="C27" s="7"/>
      <c r="D27" s="5"/>
      <c r="E27" s="3"/>
      <c r="F27" s="32"/>
      <c r="G27" s="3"/>
      <c r="H27" s="3"/>
      <c r="I27" s="3"/>
      <c r="J27" s="3"/>
      <c r="K27" s="33"/>
      <c r="L27" s="4">
        <v>46002</v>
      </c>
      <c r="P27" s="34">
        <v>42</v>
      </c>
      <c r="Q27" s="35">
        <v>46508</v>
      </c>
      <c r="R27" s="36" cm="1">
        <f t="array" aca="1" ref="R27" ca="1">INDIRECT("E"&amp;P27)</f>
        <v>3.431</v>
      </c>
    </row>
    <row r="28" spans="2:18">
      <c r="B28" s="2">
        <v>46296</v>
      </c>
      <c r="C28" s="7" t="s">
        <v>361</v>
      </c>
      <c r="D28" s="5"/>
      <c r="E28" s="3">
        <v>3.9820000000000002</v>
      </c>
      <c r="F28" s="32" t="s">
        <v>385</v>
      </c>
      <c r="G28" s="3">
        <v>4.0810000000000004</v>
      </c>
      <c r="H28" s="3">
        <v>4.093</v>
      </c>
      <c r="I28" s="3">
        <v>4.0949999999999998</v>
      </c>
      <c r="J28" s="3">
        <v>3.9710000000000001</v>
      </c>
      <c r="K28" s="33">
        <v>16763</v>
      </c>
      <c r="L28" s="3" t="s">
        <v>369</v>
      </c>
      <c r="P28" s="34">
        <v>44</v>
      </c>
      <c r="Q28" s="35">
        <v>46539</v>
      </c>
      <c r="R28" s="36" cm="1">
        <f t="array" aca="1" ref="R28" ca="1">INDIRECT("E"&amp;P28)</f>
        <v>3.5489999999999999</v>
      </c>
    </row>
    <row r="29" spans="2:18">
      <c r="B29" s="3" t="s">
        <v>384</v>
      </c>
      <c r="C29" s="7"/>
      <c r="D29" s="5"/>
      <c r="E29" s="3"/>
      <c r="F29" s="32"/>
      <c r="G29" s="3"/>
      <c r="H29" s="3"/>
      <c r="I29" s="3"/>
      <c r="J29" s="3"/>
      <c r="K29" s="33"/>
      <c r="L29" s="4">
        <v>46002</v>
      </c>
      <c r="P29" s="34">
        <v>46</v>
      </c>
      <c r="Q29" s="35">
        <v>46569</v>
      </c>
      <c r="R29" s="36" cm="1">
        <f t="array" aca="1" ref="R29" ca="1">INDIRECT("E"&amp;P29)</f>
        <v>3.698</v>
      </c>
    </row>
    <row r="30" spans="2:18">
      <c r="B30" s="2">
        <v>46327</v>
      </c>
      <c r="C30" s="7" t="s">
        <v>361</v>
      </c>
      <c r="D30" s="5"/>
      <c r="E30" s="3">
        <v>4.194</v>
      </c>
      <c r="F30" s="32" t="s">
        <v>387</v>
      </c>
      <c r="G30" s="3">
        <v>4.282</v>
      </c>
      <c r="H30" s="3">
        <v>4.2910000000000004</v>
      </c>
      <c r="I30" s="3">
        <v>4.2910000000000004</v>
      </c>
      <c r="J30" s="3">
        <v>4.1879999999999997</v>
      </c>
      <c r="K30" s="33">
        <v>4529</v>
      </c>
      <c r="L30" s="3" t="s">
        <v>388</v>
      </c>
      <c r="P30" s="34">
        <v>48</v>
      </c>
      <c r="Q30" s="35">
        <v>46600</v>
      </c>
      <c r="R30" s="36" cm="1">
        <f t="array" aca="1" ref="R30" ca="1">INDIRECT("E"&amp;P30)</f>
        <v>3.742</v>
      </c>
    </row>
    <row r="31" spans="2:18">
      <c r="B31" s="3" t="s">
        <v>386</v>
      </c>
      <c r="C31" s="7"/>
      <c r="D31" s="5"/>
      <c r="E31" s="3"/>
      <c r="F31" s="32"/>
      <c r="G31" s="3"/>
      <c r="H31" s="3"/>
      <c r="I31" s="3"/>
      <c r="J31" s="3"/>
      <c r="K31" s="33"/>
      <c r="L31" s="4">
        <v>46002</v>
      </c>
      <c r="P31" s="34">
        <v>50</v>
      </c>
      <c r="Q31" s="35">
        <v>46631</v>
      </c>
      <c r="R31" s="36" cm="1">
        <f t="array" aca="1" ref="R31" ca="1">INDIRECT("E"&amp;P31)</f>
        <v>3.726</v>
      </c>
    </row>
    <row r="32" spans="2:18">
      <c r="B32" s="2">
        <v>46357</v>
      </c>
      <c r="C32" s="7" t="s">
        <v>361</v>
      </c>
      <c r="D32" s="5"/>
      <c r="E32" s="3">
        <v>4.6120000000000001</v>
      </c>
      <c r="F32" s="32" t="s">
        <v>390</v>
      </c>
      <c r="G32" s="3">
        <v>4.7</v>
      </c>
      <c r="H32" s="3">
        <v>4.7060000000000004</v>
      </c>
      <c r="I32" s="3">
        <v>4.7080000000000002</v>
      </c>
      <c r="J32" s="3">
        <v>4.609</v>
      </c>
      <c r="K32" s="33">
        <v>4702</v>
      </c>
      <c r="L32" s="3" t="s">
        <v>366</v>
      </c>
      <c r="P32" s="34">
        <v>52</v>
      </c>
      <c r="Q32" s="35">
        <v>46661</v>
      </c>
      <c r="R32" s="36" cm="1">
        <f t="array" aca="1" ref="R32" ca="1">INDIRECT("E"&amp;P32)</f>
        <v>3.79</v>
      </c>
    </row>
    <row r="33" spans="2:18">
      <c r="B33" s="3" t="s">
        <v>389</v>
      </c>
      <c r="C33" s="7"/>
      <c r="D33" s="5"/>
      <c r="E33" s="3"/>
      <c r="F33" s="32"/>
      <c r="G33" s="3"/>
      <c r="H33" s="3"/>
      <c r="I33" s="3"/>
      <c r="J33" s="3"/>
      <c r="K33" s="33"/>
      <c r="L33" s="4">
        <v>46002</v>
      </c>
      <c r="P33" s="34">
        <v>54</v>
      </c>
      <c r="Q33" s="35">
        <v>46692</v>
      </c>
      <c r="R33" s="36" cm="1">
        <f t="array" aca="1" ref="R33" ca="1">INDIRECT("E"&amp;P33)</f>
        <v>3.9620000000000002</v>
      </c>
    </row>
    <row r="34" spans="2:18">
      <c r="B34" s="2">
        <v>46388</v>
      </c>
      <c r="C34" s="7" t="s">
        <v>361</v>
      </c>
      <c r="D34" s="5"/>
      <c r="E34" s="3">
        <v>4.835</v>
      </c>
      <c r="F34" s="32" t="s">
        <v>392</v>
      </c>
      <c r="G34" s="3">
        <v>4.9249999999999998</v>
      </c>
      <c r="H34" s="3">
        <v>4.9530000000000003</v>
      </c>
      <c r="I34" s="3">
        <v>4.9710000000000001</v>
      </c>
      <c r="J34" s="3">
        <v>4.8319999999999999</v>
      </c>
      <c r="K34" s="33">
        <v>8921</v>
      </c>
      <c r="L34" s="3" t="s">
        <v>366</v>
      </c>
      <c r="P34" s="34">
        <v>56</v>
      </c>
      <c r="Q34" s="35">
        <v>46722</v>
      </c>
      <c r="R34" s="36" cm="1">
        <f t="array" aca="1" ref="R34" ca="1">INDIRECT("E"&amp;P34)</f>
        <v>4.3949999999999996</v>
      </c>
    </row>
    <row r="35" spans="2:18">
      <c r="B35" s="3" t="s">
        <v>391</v>
      </c>
      <c r="C35" s="7"/>
      <c r="D35" s="5"/>
      <c r="E35" s="3"/>
      <c r="F35" s="32"/>
      <c r="G35" s="3"/>
      <c r="H35" s="3"/>
      <c r="I35" s="3"/>
      <c r="J35" s="3"/>
      <c r="K35" s="33"/>
      <c r="L35" s="4">
        <v>46002</v>
      </c>
      <c r="P35" s="34">
        <v>58</v>
      </c>
      <c r="Q35" s="35">
        <v>46753</v>
      </c>
      <c r="R35" s="36" cm="1">
        <f t="array" aca="1" ref="R35" ca="1">INDIRECT("E"&amp;P35)</f>
        <v>4.7</v>
      </c>
    </row>
    <row r="36" spans="2:18">
      <c r="B36" s="2">
        <v>46419</v>
      </c>
      <c r="C36" s="7" t="s">
        <v>361</v>
      </c>
      <c r="D36" s="5"/>
      <c r="E36" s="3">
        <v>4.4130000000000003</v>
      </c>
      <c r="F36" s="32" t="s">
        <v>394</v>
      </c>
      <c r="G36" s="3">
        <v>4.4870000000000001</v>
      </c>
      <c r="H36" s="3">
        <v>4.4820000000000002</v>
      </c>
      <c r="I36" s="3">
        <v>4.4850000000000003</v>
      </c>
      <c r="J36" s="3">
        <v>4.41</v>
      </c>
      <c r="K36" s="33">
        <v>3789</v>
      </c>
      <c r="L36" s="3" t="s">
        <v>395</v>
      </c>
      <c r="P36" s="34">
        <v>60</v>
      </c>
      <c r="Q36" s="35">
        <v>46784</v>
      </c>
      <c r="R36" s="36" cm="1">
        <f t="array" aca="1" ref="R36" ca="1">INDIRECT("E"&amp;P36)</f>
        <v>4.32</v>
      </c>
    </row>
    <row r="37" spans="2:18">
      <c r="B37" s="3" t="s">
        <v>393</v>
      </c>
      <c r="C37" s="7"/>
      <c r="D37" s="5"/>
      <c r="E37" s="3"/>
      <c r="F37" s="32"/>
      <c r="G37" s="3"/>
      <c r="H37" s="3"/>
      <c r="I37" s="3"/>
      <c r="J37" s="3"/>
      <c r="K37" s="33"/>
      <c r="L37" s="4">
        <v>46002</v>
      </c>
      <c r="P37" s="34">
        <v>62</v>
      </c>
      <c r="Q37" s="35">
        <v>46813</v>
      </c>
      <c r="R37" s="36" cm="1">
        <f t="array" aca="1" ref="R37" ca="1">INDIRECT("E"&amp;P37)</f>
        <v>3.718</v>
      </c>
    </row>
    <row r="38" spans="2:18">
      <c r="B38" s="2">
        <v>46447</v>
      </c>
      <c r="C38" s="7" t="s">
        <v>361</v>
      </c>
      <c r="D38" s="5"/>
      <c r="E38" s="3">
        <v>3.823</v>
      </c>
      <c r="F38" s="32" t="s">
        <v>397</v>
      </c>
      <c r="G38" s="3">
        <v>3.879</v>
      </c>
      <c r="H38" s="3">
        <v>3.907</v>
      </c>
      <c r="I38" s="3">
        <v>3.907</v>
      </c>
      <c r="J38" s="3">
        <v>3.8140000000000001</v>
      </c>
      <c r="K38" s="33">
        <v>5866</v>
      </c>
      <c r="L38" s="3" t="s">
        <v>398</v>
      </c>
      <c r="P38" s="34">
        <v>64</v>
      </c>
      <c r="Q38" s="35">
        <v>46844</v>
      </c>
      <c r="R38" s="36" cm="1">
        <f t="array" aca="1" ref="R38" ca="1">INDIRECT("E"&amp;P38)</f>
        <v>3.266</v>
      </c>
    </row>
    <row r="39" spans="2:18">
      <c r="B39" s="3" t="s">
        <v>396</v>
      </c>
      <c r="C39" s="7"/>
      <c r="D39" s="5"/>
      <c r="E39" s="3"/>
      <c r="F39" s="32"/>
      <c r="G39" s="3"/>
      <c r="H39" s="3"/>
      <c r="I39" s="3"/>
      <c r="J39" s="3"/>
      <c r="K39" s="33"/>
      <c r="L39" s="4">
        <v>46002</v>
      </c>
      <c r="P39" s="34">
        <v>66</v>
      </c>
      <c r="Q39" s="35">
        <v>46874</v>
      </c>
      <c r="R39" s="36" t="str" cm="1">
        <f t="array" aca="1" ref="R39" ca="1">INDIRECT("E"&amp;P39)</f>
        <v>-</v>
      </c>
    </row>
    <row r="40" spans="2:18">
      <c r="B40" s="2">
        <v>46478</v>
      </c>
      <c r="C40" s="7" t="s">
        <v>361</v>
      </c>
      <c r="D40" s="5"/>
      <c r="E40" s="3">
        <v>3.4550000000000001</v>
      </c>
      <c r="F40" s="32" t="s">
        <v>400</v>
      </c>
      <c r="G40" s="3">
        <v>3.492</v>
      </c>
      <c r="H40" s="3">
        <v>3.52</v>
      </c>
      <c r="I40" s="3">
        <v>3.52</v>
      </c>
      <c r="J40" s="3">
        <v>3.4449999999999998</v>
      </c>
      <c r="K40" s="33">
        <v>7344</v>
      </c>
      <c r="L40" s="3" t="s">
        <v>401</v>
      </c>
      <c r="P40" s="34">
        <v>68</v>
      </c>
      <c r="Q40" s="35">
        <v>46905</v>
      </c>
      <c r="R40" s="36" t="str" cm="1">
        <f t="array" aca="1" ref="R40" ca="1">INDIRECT("E"&amp;P40)</f>
        <v>-</v>
      </c>
    </row>
    <row r="41" spans="2:18">
      <c r="B41" s="3" t="s">
        <v>399</v>
      </c>
      <c r="C41" s="7"/>
      <c r="D41" s="5"/>
      <c r="E41" s="3"/>
      <c r="F41" s="32"/>
      <c r="G41" s="3"/>
      <c r="H41" s="3"/>
      <c r="I41" s="3"/>
      <c r="J41" s="3"/>
      <c r="K41" s="33"/>
      <c r="L41" s="4">
        <v>46002</v>
      </c>
      <c r="P41" s="34">
        <v>70</v>
      </c>
      <c r="Q41" s="35">
        <v>46935</v>
      </c>
      <c r="R41" s="36" cm="1">
        <f t="array" aca="1" ref="R41" ca="1">INDIRECT("E"&amp;P41)</f>
        <v>3.5150000000000001</v>
      </c>
    </row>
    <row r="42" spans="2:18">
      <c r="B42" s="2">
        <v>46508</v>
      </c>
      <c r="C42" s="7" t="s">
        <v>361</v>
      </c>
      <c r="D42" s="5"/>
      <c r="E42" s="3">
        <v>3.431</v>
      </c>
      <c r="F42" s="32" t="s">
        <v>403</v>
      </c>
      <c r="G42" s="3">
        <v>3.4670000000000001</v>
      </c>
      <c r="H42" s="3">
        <v>3.468</v>
      </c>
      <c r="I42" s="3">
        <v>3.4750000000000001</v>
      </c>
      <c r="J42" s="3">
        <v>3.4260000000000002</v>
      </c>
      <c r="K42" s="33">
        <v>1694</v>
      </c>
      <c r="L42" s="3" t="s">
        <v>404</v>
      </c>
      <c r="P42" s="34">
        <v>72</v>
      </c>
      <c r="Q42" s="35">
        <v>46966</v>
      </c>
      <c r="R42" s="36" t="str" cm="1">
        <f t="array" aca="1" ref="R42" ca="1">INDIRECT("E"&amp;P42)</f>
        <v>-</v>
      </c>
    </row>
    <row r="43" spans="2:18">
      <c r="B43" s="3" t="s">
        <v>402</v>
      </c>
      <c r="C43" s="7"/>
      <c r="D43" s="5"/>
      <c r="E43" s="3"/>
      <c r="F43" s="32"/>
      <c r="G43" s="3"/>
      <c r="H43" s="3"/>
      <c r="I43" s="3"/>
      <c r="J43" s="3"/>
      <c r="K43" s="33"/>
      <c r="L43" s="4">
        <v>46002</v>
      </c>
      <c r="P43" s="34">
        <v>74</v>
      </c>
      <c r="Q43" s="35">
        <v>46997</v>
      </c>
      <c r="R43" s="36" t="str" cm="1">
        <f t="array" aca="1" ref="R43" ca="1">INDIRECT("E"&amp;P43)</f>
        <v>-</v>
      </c>
    </row>
    <row r="44" spans="2:18">
      <c r="B44" s="2">
        <v>46539</v>
      </c>
      <c r="C44" s="7" t="s">
        <v>361</v>
      </c>
      <c r="D44" s="5"/>
      <c r="E44" s="3">
        <v>3.5489999999999999</v>
      </c>
      <c r="F44" s="32" t="s">
        <v>406</v>
      </c>
      <c r="G44" s="3">
        <v>3.581</v>
      </c>
      <c r="H44" s="3">
        <v>3.5960000000000001</v>
      </c>
      <c r="I44" s="3">
        <v>3.5960000000000001</v>
      </c>
      <c r="J44" s="3">
        <v>3.5430000000000001</v>
      </c>
      <c r="K44" s="33">
        <v>1043</v>
      </c>
      <c r="L44" s="3" t="s">
        <v>404</v>
      </c>
      <c r="P44" s="34">
        <v>76</v>
      </c>
      <c r="Q44" s="35">
        <v>47027</v>
      </c>
      <c r="R44" s="36" cm="1">
        <f t="array" aca="1" ref="R44" ca="1">INDIRECT("E"&amp;P44)</f>
        <v>3.63</v>
      </c>
    </row>
    <row r="45" spans="2:18">
      <c r="B45" s="3" t="s">
        <v>405</v>
      </c>
      <c r="C45" s="7"/>
      <c r="D45" s="5"/>
      <c r="E45" s="3"/>
      <c r="F45" s="32"/>
      <c r="G45" s="3"/>
      <c r="H45" s="3"/>
      <c r="I45" s="3"/>
      <c r="J45" s="3"/>
      <c r="K45" s="33"/>
      <c r="L45" s="4">
        <v>46002</v>
      </c>
      <c r="P45" s="34">
        <v>78</v>
      </c>
      <c r="Q45" s="35">
        <v>47058</v>
      </c>
      <c r="R45" s="36" t="str" cm="1">
        <f t="array" aca="1" ref="R45" ca="1">INDIRECT("E"&amp;P45)</f>
        <v>-</v>
      </c>
    </row>
    <row r="46" spans="2:18">
      <c r="B46" s="2">
        <v>46569</v>
      </c>
      <c r="C46" s="7" t="s">
        <v>361</v>
      </c>
      <c r="D46" s="5"/>
      <c r="E46" s="3">
        <v>3.698</v>
      </c>
      <c r="F46" s="32" t="s">
        <v>408</v>
      </c>
      <c r="G46" s="3">
        <v>3.7269999999999999</v>
      </c>
      <c r="H46" s="3">
        <v>3.726</v>
      </c>
      <c r="I46" s="3">
        <v>3.7330000000000001</v>
      </c>
      <c r="J46" s="3">
        <v>3.6890000000000001</v>
      </c>
      <c r="K46" s="33">
        <v>1207</v>
      </c>
      <c r="L46" s="3" t="s">
        <v>409</v>
      </c>
      <c r="P46" s="34">
        <v>80</v>
      </c>
      <c r="Q46" s="35">
        <v>47088</v>
      </c>
      <c r="R46" s="36" cm="1">
        <f t="array" aca="1" ref="R46" ca="1">INDIRECT("E"&amp;P46)</f>
        <v>4.2290000000000001</v>
      </c>
    </row>
    <row r="47" spans="2:18">
      <c r="B47" s="3" t="s">
        <v>407</v>
      </c>
      <c r="C47" s="7"/>
      <c r="D47" s="5"/>
      <c r="E47" s="3"/>
      <c r="F47" s="32"/>
      <c r="G47" s="3"/>
      <c r="H47" s="3"/>
      <c r="I47" s="3"/>
      <c r="J47" s="3"/>
      <c r="K47" s="33"/>
      <c r="L47" s="4">
        <v>46002</v>
      </c>
      <c r="P47" s="34">
        <v>82</v>
      </c>
      <c r="Q47" s="35">
        <v>47119</v>
      </c>
      <c r="R47" s="36" t="str" cm="1">
        <f t="array" aca="1" ref="R47" ca="1">INDIRECT("E"&amp;P47)</f>
        <v>-</v>
      </c>
    </row>
    <row r="48" spans="2:18">
      <c r="B48" s="2">
        <v>46600</v>
      </c>
      <c r="C48" s="7" t="s">
        <v>361</v>
      </c>
      <c r="D48" s="5"/>
      <c r="E48" s="3">
        <v>3.742</v>
      </c>
      <c r="F48" s="32" t="s">
        <v>411</v>
      </c>
      <c r="G48" s="3">
        <v>3.7669999999999999</v>
      </c>
      <c r="H48" s="3">
        <v>3.77</v>
      </c>
      <c r="I48" s="3">
        <v>3.77</v>
      </c>
      <c r="J48" s="3">
        <v>3.7320000000000002</v>
      </c>
      <c r="K48" s="33">
        <v>1480</v>
      </c>
      <c r="L48" s="3" t="s">
        <v>412</v>
      </c>
      <c r="P48" s="34">
        <v>84</v>
      </c>
      <c r="Q48" s="35">
        <v>47150</v>
      </c>
      <c r="R48" s="36" t="str" cm="1">
        <f t="array" aca="1" ref="R48" ca="1">INDIRECT("E"&amp;P48)</f>
        <v>-</v>
      </c>
    </row>
    <row r="49" spans="2:18">
      <c r="B49" s="3" t="s">
        <v>410</v>
      </c>
      <c r="C49" s="7"/>
      <c r="D49" s="5"/>
      <c r="E49" s="3"/>
      <c r="F49" s="32"/>
      <c r="G49" s="3"/>
      <c r="H49" s="3"/>
      <c r="I49" s="3"/>
      <c r="J49" s="3"/>
      <c r="K49" s="33"/>
      <c r="L49" s="4">
        <v>46002</v>
      </c>
      <c r="P49" s="34">
        <v>86</v>
      </c>
      <c r="Q49" s="35">
        <v>47178</v>
      </c>
      <c r="R49" s="36" cm="1">
        <f t="array" aca="1" ref="R49" ca="1">INDIRECT("E"&amp;P49)</f>
        <v>3.585</v>
      </c>
    </row>
    <row r="50" spans="2:18">
      <c r="B50" s="2">
        <v>46631</v>
      </c>
      <c r="C50" s="7" t="s">
        <v>361</v>
      </c>
      <c r="D50" s="5"/>
      <c r="E50" s="3">
        <v>3.726</v>
      </c>
      <c r="F50" s="32" t="s">
        <v>414</v>
      </c>
      <c r="G50" s="3">
        <v>3.7469999999999999</v>
      </c>
      <c r="H50" s="3">
        <v>3.7290000000000001</v>
      </c>
      <c r="I50" s="3">
        <v>3.7509999999999999</v>
      </c>
      <c r="J50" s="3">
        <v>3.7120000000000002</v>
      </c>
      <c r="K50" s="33">
        <v>1384</v>
      </c>
      <c r="L50" s="3" t="s">
        <v>415</v>
      </c>
      <c r="P50" s="34">
        <v>88</v>
      </c>
      <c r="Q50" s="35">
        <v>47209</v>
      </c>
      <c r="R50" s="36" cm="1">
        <f t="array" aca="1" ref="R50" ca="1">INDIRECT("E"&amp;P50)</f>
        <v>3.165</v>
      </c>
    </row>
    <row r="51" spans="2:18">
      <c r="B51" s="3" t="s">
        <v>413</v>
      </c>
      <c r="C51" s="7"/>
      <c r="D51" s="5"/>
      <c r="E51" s="3"/>
      <c r="F51" s="32"/>
      <c r="G51" s="3"/>
      <c r="H51" s="3"/>
      <c r="I51" s="3"/>
      <c r="J51" s="3"/>
      <c r="K51" s="33"/>
      <c r="L51" s="4">
        <v>46002</v>
      </c>
      <c r="P51" s="34">
        <v>90</v>
      </c>
      <c r="Q51" s="35">
        <v>47239</v>
      </c>
      <c r="R51" s="36" t="str" cm="1">
        <f t="array" aca="1" ref="R51" ca="1">INDIRECT("E"&amp;P51)</f>
        <v>-</v>
      </c>
    </row>
    <row r="52" spans="2:18">
      <c r="B52" s="2">
        <v>46661</v>
      </c>
      <c r="C52" s="7" t="s">
        <v>361</v>
      </c>
      <c r="D52" s="5"/>
      <c r="E52" s="3">
        <v>3.79</v>
      </c>
      <c r="F52" s="32" t="s">
        <v>417</v>
      </c>
      <c r="G52" s="3">
        <v>3.8159999999999998</v>
      </c>
      <c r="H52" s="3">
        <v>3.8109999999999999</v>
      </c>
      <c r="I52" s="3">
        <v>3.8170000000000002</v>
      </c>
      <c r="J52" s="3">
        <v>3.7789999999999999</v>
      </c>
      <c r="K52" s="33">
        <v>2168</v>
      </c>
      <c r="L52" s="3" t="s">
        <v>369</v>
      </c>
      <c r="P52" s="34">
        <v>92</v>
      </c>
      <c r="Q52" s="35">
        <v>47270</v>
      </c>
      <c r="R52" s="36" t="str" cm="1">
        <f t="array" aca="1" ref="R52" ca="1">INDIRECT("E"&amp;P52)</f>
        <v>-</v>
      </c>
    </row>
    <row r="53" spans="2:18">
      <c r="B53" s="3" t="s">
        <v>416</v>
      </c>
      <c r="C53" s="7"/>
      <c r="D53" s="5"/>
      <c r="E53" s="3"/>
      <c r="F53" s="32"/>
      <c r="G53" s="3"/>
      <c r="H53" s="3"/>
      <c r="I53" s="3"/>
      <c r="J53" s="3"/>
      <c r="K53" s="33"/>
      <c r="L53" s="4">
        <v>46002</v>
      </c>
      <c r="P53" s="34">
        <v>94</v>
      </c>
      <c r="Q53" s="35">
        <v>47300</v>
      </c>
      <c r="R53" s="36" t="str" cm="1">
        <f t="array" aca="1" ref="R53" ca="1">INDIRECT("E"&amp;P53)</f>
        <v>-</v>
      </c>
    </row>
    <row r="54" spans="2:18">
      <c r="B54" s="2">
        <v>46692</v>
      </c>
      <c r="C54" s="7" t="s">
        <v>361</v>
      </c>
      <c r="D54" s="5"/>
      <c r="E54" s="3">
        <v>3.9620000000000002</v>
      </c>
      <c r="F54" s="32" t="s">
        <v>419</v>
      </c>
      <c r="G54" s="3">
        <v>4</v>
      </c>
      <c r="H54" s="3">
        <v>3.9780000000000002</v>
      </c>
      <c r="I54" s="3">
        <v>3.9980000000000002</v>
      </c>
      <c r="J54" s="3">
        <v>3.9620000000000002</v>
      </c>
      <c r="K54" s="3">
        <v>710</v>
      </c>
      <c r="L54" s="3" t="s">
        <v>369</v>
      </c>
      <c r="P54" s="34">
        <v>96</v>
      </c>
      <c r="Q54" s="35">
        <v>47331</v>
      </c>
      <c r="R54" s="36" t="str" cm="1">
        <f t="array" aca="1" ref="R54" ca="1">INDIRECT("E"&amp;P54)</f>
        <v>-</v>
      </c>
    </row>
    <row r="55" spans="2:18">
      <c r="B55" s="3" t="s">
        <v>418</v>
      </c>
      <c r="C55" s="7"/>
      <c r="D55" s="5"/>
      <c r="E55" s="3"/>
      <c r="F55" s="32"/>
      <c r="G55" s="3"/>
      <c r="H55" s="3"/>
      <c r="I55" s="3"/>
      <c r="J55" s="3"/>
      <c r="K55" s="3"/>
      <c r="L55" s="4">
        <v>46002</v>
      </c>
      <c r="P55" s="34">
        <v>98</v>
      </c>
      <c r="Q55" s="35">
        <v>47362</v>
      </c>
      <c r="R55" s="36" t="str" cm="1">
        <f t="array" aca="1" ref="R55" ca="1">INDIRECT("E"&amp;P55)</f>
        <v>-</v>
      </c>
    </row>
    <row r="56" spans="2:18">
      <c r="B56" s="2">
        <v>46722</v>
      </c>
      <c r="C56" s="7" t="s">
        <v>361</v>
      </c>
      <c r="D56" s="5"/>
      <c r="E56" s="3">
        <v>4.3949999999999996</v>
      </c>
      <c r="F56" s="32" t="s">
        <v>421</v>
      </c>
      <c r="G56" s="3">
        <v>4.4249999999999998</v>
      </c>
      <c r="H56" s="3">
        <v>4.4050000000000002</v>
      </c>
      <c r="I56" s="3">
        <v>4.4240000000000004</v>
      </c>
      <c r="J56" s="3">
        <v>4.38</v>
      </c>
      <c r="K56" s="3">
        <v>392</v>
      </c>
      <c r="L56" s="3" t="s">
        <v>422</v>
      </c>
      <c r="P56" s="34">
        <v>100</v>
      </c>
      <c r="Q56" s="35">
        <v>47392</v>
      </c>
      <c r="R56" s="36" t="str" cm="1">
        <f t="array" aca="1" ref="R56" ca="1">INDIRECT("E"&amp;P56)</f>
        <v>-</v>
      </c>
    </row>
    <row r="57" spans="2:18">
      <c r="B57" s="3" t="s">
        <v>420</v>
      </c>
      <c r="C57" s="7"/>
      <c r="D57" s="5"/>
      <c r="E57" s="3"/>
      <c r="F57" s="32"/>
      <c r="G57" s="3"/>
      <c r="H57" s="3"/>
      <c r="I57" s="3"/>
      <c r="J57" s="3"/>
      <c r="K57" s="3"/>
      <c r="L57" s="4">
        <v>46002</v>
      </c>
      <c r="P57" s="34">
        <v>102</v>
      </c>
      <c r="Q57" s="35">
        <v>47423</v>
      </c>
      <c r="R57" s="36" t="str" cm="1">
        <f t="array" aca="1" ref="R57" ca="1">INDIRECT("E"&amp;P57)</f>
        <v>-</v>
      </c>
    </row>
    <row r="58" spans="2:18">
      <c r="B58" s="2">
        <v>46753</v>
      </c>
      <c r="C58" s="7" t="s">
        <v>361</v>
      </c>
      <c r="D58" s="5"/>
      <c r="E58" s="3">
        <v>4.7</v>
      </c>
      <c r="F58" s="32" t="s">
        <v>424</v>
      </c>
      <c r="G58" s="3">
        <v>4.71</v>
      </c>
      <c r="H58" s="3">
        <v>4.6950000000000003</v>
      </c>
      <c r="I58" s="3">
        <v>4.7</v>
      </c>
      <c r="J58" s="3">
        <v>4.6950000000000003</v>
      </c>
      <c r="K58" s="3">
        <v>162</v>
      </c>
      <c r="L58" s="3" t="s">
        <v>425</v>
      </c>
      <c r="P58" s="34">
        <v>104</v>
      </c>
      <c r="Q58" s="35">
        <v>47453</v>
      </c>
      <c r="R58" s="36" t="str" cm="1">
        <f t="array" aca="1" ref="R58" ca="1">INDIRECT("E"&amp;P58)</f>
        <v>-</v>
      </c>
    </row>
    <row r="59" spans="2:18">
      <c r="B59" s="3" t="s">
        <v>423</v>
      </c>
      <c r="C59" s="7"/>
      <c r="D59" s="5"/>
      <c r="E59" s="3"/>
      <c r="F59" s="32"/>
      <c r="G59" s="3"/>
      <c r="H59" s="3"/>
      <c r="I59" s="3"/>
      <c r="J59" s="3"/>
      <c r="K59" s="3"/>
      <c r="L59" s="4">
        <v>46002</v>
      </c>
      <c r="P59" s="34">
        <v>106</v>
      </c>
      <c r="Q59" s="35">
        <v>47484</v>
      </c>
      <c r="R59" s="36" t="str" cm="1">
        <f t="array" aca="1" ref="R59" ca="1">INDIRECT("E"&amp;P59)</f>
        <v>-</v>
      </c>
    </row>
    <row r="60" spans="2:18">
      <c r="B60" s="2">
        <v>46784</v>
      </c>
      <c r="C60" s="7" t="s">
        <v>361</v>
      </c>
      <c r="D60" s="5"/>
      <c r="E60" s="3">
        <v>4.32</v>
      </c>
      <c r="F60" s="32" t="s">
        <v>427</v>
      </c>
      <c r="G60" s="3">
        <v>4.3280000000000003</v>
      </c>
      <c r="H60" s="3">
        <v>4.3109999999999999</v>
      </c>
      <c r="I60" s="3">
        <v>4.32</v>
      </c>
      <c r="J60" s="3">
        <v>4.3109999999999999</v>
      </c>
      <c r="K60" s="3">
        <v>121</v>
      </c>
      <c r="L60" s="3" t="s">
        <v>428</v>
      </c>
      <c r="P60" s="34">
        <v>108</v>
      </c>
      <c r="Q60" s="35">
        <v>47515</v>
      </c>
      <c r="R60" s="36" t="str" cm="1">
        <f t="array" aca="1" ref="R60" ca="1">INDIRECT("E"&amp;P60)</f>
        <v>-</v>
      </c>
    </row>
    <row r="61" spans="2:18">
      <c r="B61" s="3" t="s">
        <v>426</v>
      </c>
      <c r="C61" s="7"/>
      <c r="D61" s="5"/>
      <c r="E61" s="3"/>
      <c r="F61" s="32"/>
      <c r="G61" s="3"/>
      <c r="H61" s="3"/>
      <c r="I61" s="3"/>
      <c r="J61" s="3"/>
      <c r="K61" s="3"/>
      <c r="L61" s="4">
        <v>46002</v>
      </c>
      <c r="P61" s="34">
        <v>110</v>
      </c>
      <c r="Q61" s="35">
        <v>47543</v>
      </c>
      <c r="R61" s="36" t="str" cm="1">
        <f t="array" aca="1" ref="R61" ca="1">INDIRECT("E"&amp;P61)</f>
        <v>-</v>
      </c>
    </row>
    <row r="62" spans="2:18">
      <c r="B62" s="2">
        <v>46813</v>
      </c>
      <c r="C62" s="7" t="s">
        <v>361</v>
      </c>
      <c r="D62" s="5"/>
      <c r="E62" s="3">
        <v>3.718</v>
      </c>
      <c r="F62" s="32" t="s">
        <v>430</v>
      </c>
      <c r="G62" s="3">
        <v>3.7210000000000001</v>
      </c>
      <c r="H62" s="3">
        <v>3.718</v>
      </c>
      <c r="I62" s="3">
        <v>3.718</v>
      </c>
      <c r="J62" s="3">
        <v>3.718</v>
      </c>
      <c r="K62" s="3">
        <v>78</v>
      </c>
      <c r="L62" s="3" t="s">
        <v>431</v>
      </c>
      <c r="P62" s="34">
        <v>112</v>
      </c>
      <c r="Q62" s="35">
        <v>47574</v>
      </c>
      <c r="R62" s="36" t="str" cm="1">
        <f t="array" aca="1" ref="R62" ca="1">INDIRECT("E"&amp;P62)</f>
        <v>-</v>
      </c>
    </row>
    <row r="63" spans="2:18">
      <c r="B63" s="3" t="s">
        <v>429</v>
      </c>
      <c r="C63" s="7"/>
      <c r="D63" s="5"/>
      <c r="E63" s="3"/>
      <c r="F63" s="32"/>
      <c r="G63" s="3"/>
      <c r="H63" s="3"/>
      <c r="I63" s="3"/>
      <c r="J63" s="3"/>
      <c r="K63" s="3"/>
      <c r="L63" s="4">
        <v>46002</v>
      </c>
      <c r="P63" s="34">
        <v>114</v>
      </c>
      <c r="Q63" s="35">
        <v>47604</v>
      </c>
      <c r="R63" s="36" t="str" cm="1">
        <f t="array" aca="1" ref="R63" ca="1">INDIRECT("E"&amp;P63)</f>
        <v>-</v>
      </c>
    </row>
    <row r="64" spans="2:18">
      <c r="B64" s="2">
        <v>46844</v>
      </c>
      <c r="C64" s="7" t="s">
        <v>361</v>
      </c>
      <c r="D64" s="5"/>
      <c r="E64" s="3">
        <v>3.266</v>
      </c>
      <c r="F64" s="3" t="s">
        <v>433</v>
      </c>
      <c r="G64" s="3">
        <v>3.266</v>
      </c>
      <c r="H64" s="3">
        <v>3.2730000000000001</v>
      </c>
      <c r="I64" s="3">
        <v>3.2730000000000001</v>
      </c>
      <c r="J64" s="3">
        <v>3.266</v>
      </c>
      <c r="K64" s="3">
        <v>43</v>
      </c>
      <c r="L64" s="3" t="s">
        <v>434</v>
      </c>
      <c r="P64" s="34">
        <v>116</v>
      </c>
      <c r="Q64" s="35">
        <v>47635</v>
      </c>
      <c r="R64" s="36" t="str" cm="1">
        <f t="array" aca="1" ref="R64" ca="1">INDIRECT("E"&amp;P64)</f>
        <v>-</v>
      </c>
    </row>
    <row r="65" spans="2:18">
      <c r="B65" s="3" t="s">
        <v>432</v>
      </c>
      <c r="C65" s="7"/>
      <c r="D65" s="5"/>
      <c r="E65" s="3"/>
      <c r="F65" s="3"/>
      <c r="G65" s="3"/>
      <c r="H65" s="3"/>
      <c r="I65" s="3"/>
      <c r="J65" s="3"/>
      <c r="K65" s="3"/>
      <c r="L65" s="4">
        <v>46002</v>
      </c>
      <c r="P65" s="34">
        <v>118</v>
      </c>
      <c r="Q65" s="35">
        <v>47665</v>
      </c>
      <c r="R65" s="36" t="str" cm="1">
        <f t="array" aca="1" ref="R65" ca="1">INDIRECT("E"&amp;P65)</f>
        <v>-</v>
      </c>
    </row>
    <row r="66" spans="2:18">
      <c r="B66" s="2">
        <v>46874</v>
      </c>
      <c r="C66" s="7" t="s">
        <v>361</v>
      </c>
      <c r="D66" s="5"/>
      <c r="E66" s="3" t="s">
        <v>12</v>
      </c>
      <c r="F66" s="3" t="s">
        <v>12</v>
      </c>
      <c r="G66" s="3">
        <v>3.2509999999999999</v>
      </c>
      <c r="H66" s="3" t="s">
        <v>12</v>
      </c>
      <c r="I66" s="3" t="s">
        <v>12</v>
      </c>
      <c r="J66" s="3" t="s">
        <v>12</v>
      </c>
      <c r="K66" s="3">
        <v>4</v>
      </c>
      <c r="L66" s="3" t="s">
        <v>436</v>
      </c>
      <c r="P66" s="34">
        <v>120</v>
      </c>
      <c r="Q66" s="35">
        <v>47696</v>
      </c>
      <c r="R66" s="36" t="str" cm="1">
        <f t="array" aca="1" ref="R66" ca="1">INDIRECT("E"&amp;P66)</f>
        <v>-</v>
      </c>
    </row>
    <row r="67" spans="2:18">
      <c r="B67" s="3" t="s">
        <v>435</v>
      </c>
      <c r="C67" s="7"/>
      <c r="D67" s="5"/>
      <c r="E67" s="3"/>
      <c r="F67" s="3"/>
      <c r="G67" s="3"/>
      <c r="H67" s="3"/>
      <c r="I67" s="3"/>
      <c r="J67" s="3"/>
      <c r="K67" s="3"/>
      <c r="L67" s="4">
        <v>46002</v>
      </c>
      <c r="P67" s="34">
        <v>122</v>
      </c>
      <c r="Q67" s="35">
        <v>47727</v>
      </c>
      <c r="R67" s="36" t="str" cm="1">
        <f t="array" aca="1" ref="R67" ca="1">INDIRECT("E"&amp;P67)</f>
        <v>-</v>
      </c>
    </row>
    <row r="68" spans="2:18">
      <c r="B68" s="2">
        <v>46905</v>
      </c>
      <c r="C68" s="7" t="s">
        <v>361</v>
      </c>
      <c r="D68" s="5"/>
      <c r="E68" s="3" t="s">
        <v>12</v>
      </c>
      <c r="F68" s="3" t="s">
        <v>12</v>
      </c>
      <c r="G68" s="3">
        <v>3.3769999999999998</v>
      </c>
      <c r="H68" s="3" t="s">
        <v>12</v>
      </c>
      <c r="I68" s="3" t="s">
        <v>12</v>
      </c>
      <c r="J68" s="3" t="s">
        <v>12</v>
      </c>
      <c r="K68" s="3">
        <v>6</v>
      </c>
      <c r="L68" s="3" t="s">
        <v>438</v>
      </c>
      <c r="P68" s="34">
        <v>124</v>
      </c>
      <c r="Q68" s="35">
        <v>47757</v>
      </c>
      <c r="R68" s="36" t="str" cm="1">
        <f t="array" aca="1" ref="R68" ca="1">INDIRECT("E"&amp;P68)</f>
        <v>-</v>
      </c>
    </row>
    <row r="69" spans="2:18">
      <c r="B69" s="3" t="s">
        <v>437</v>
      </c>
      <c r="C69" s="7"/>
      <c r="D69" s="5"/>
      <c r="E69" s="3"/>
      <c r="F69" s="3"/>
      <c r="G69" s="3"/>
      <c r="H69" s="3"/>
      <c r="I69" s="3"/>
      <c r="J69" s="3"/>
      <c r="K69" s="3"/>
      <c r="L69" s="4">
        <v>46002</v>
      </c>
      <c r="P69" s="34">
        <v>126</v>
      </c>
      <c r="Q69" s="35">
        <v>47788</v>
      </c>
      <c r="R69" s="36" t="str" cm="1">
        <f t="array" aca="1" ref="R69" ca="1">INDIRECT("E"&amp;P69)</f>
        <v>-</v>
      </c>
    </row>
    <row r="70" spans="2:18">
      <c r="B70" s="2">
        <v>46935</v>
      </c>
      <c r="C70" s="7" t="s">
        <v>361</v>
      </c>
      <c r="D70" s="5"/>
      <c r="E70" s="3">
        <v>3.5150000000000001</v>
      </c>
      <c r="F70" s="32" t="s">
        <v>440</v>
      </c>
      <c r="G70" s="3">
        <v>3.5350000000000001</v>
      </c>
      <c r="H70" s="3">
        <v>3.51</v>
      </c>
      <c r="I70" s="3">
        <v>3.5150000000000001</v>
      </c>
      <c r="J70" s="3">
        <v>3.51</v>
      </c>
      <c r="K70" s="3">
        <v>19</v>
      </c>
      <c r="L70" s="3" t="s">
        <v>441</v>
      </c>
      <c r="P70" s="34">
        <v>128</v>
      </c>
      <c r="Q70" s="35">
        <v>47818</v>
      </c>
      <c r="R70" s="36" t="str" cm="1">
        <f t="array" aca="1" ref="R70" ca="1">INDIRECT("E"&amp;P70)</f>
        <v>-</v>
      </c>
    </row>
    <row r="71" spans="2:18">
      <c r="B71" s="3" t="s">
        <v>439</v>
      </c>
      <c r="C71" s="7"/>
      <c r="D71" s="5"/>
      <c r="E71" s="3"/>
      <c r="F71" s="32"/>
      <c r="G71" s="3"/>
      <c r="H71" s="3"/>
      <c r="I71" s="3"/>
      <c r="J71" s="3"/>
      <c r="K71" s="3"/>
      <c r="L71" s="4">
        <v>46002</v>
      </c>
      <c r="P71" s="34">
        <v>130</v>
      </c>
      <c r="Q71" s="35">
        <v>47849</v>
      </c>
      <c r="R71" s="36" t="str" cm="1">
        <f t="array" aca="1" ref="R71" ca="1">INDIRECT("E"&amp;P71)</f>
        <v>-</v>
      </c>
    </row>
    <row r="72" spans="2:18">
      <c r="B72" s="2">
        <v>46966</v>
      </c>
      <c r="C72" s="7" t="s">
        <v>361</v>
      </c>
      <c r="D72" s="5"/>
      <c r="E72" s="3" t="s">
        <v>12</v>
      </c>
      <c r="F72" s="3" t="s">
        <v>12</v>
      </c>
      <c r="G72" s="3">
        <v>3.589</v>
      </c>
      <c r="H72" s="3" t="s">
        <v>12</v>
      </c>
      <c r="I72" s="3" t="s">
        <v>12</v>
      </c>
      <c r="J72" s="3" t="s">
        <v>12</v>
      </c>
      <c r="K72" s="3">
        <v>19</v>
      </c>
      <c r="L72" s="3" t="s">
        <v>438</v>
      </c>
      <c r="P72" s="34">
        <v>132</v>
      </c>
      <c r="Q72" s="35">
        <v>47880</v>
      </c>
      <c r="R72" s="36" t="str" cm="1">
        <f t="array" aca="1" ref="R72" ca="1">INDIRECT("E"&amp;P72)</f>
        <v>-</v>
      </c>
    </row>
    <row r="73" spans="2:18">
      <c r="B73" s="3" t="s">
        <v>442</v>
      </c>
      <c r="C73" s="7"/>
      <c r="D73" s="5"/>
      <c r="E73" s="3"/>
      <c r="F73" s="3"/>
      <c r="G73" s="3"/>
      <c r="H73" s="3"/>
      <c r="I73" s="3"/>
      <c r="J73" s="3"/>
      <c r="K73" s="3"/>
      <c r="L73" s="4">
        <v>46002</v>
      </c>
      <c r="P73" s="34">
        <v>134</v>
      </c>
      <c r="Q73" s="35">
        <v>47908</v>
      </c>
      <c r="R73" s="36" t="str" cm="1">
        <f t="array" aca="1" ref="R73" ca="1">INDIRECT("E"&amp;P73)</f>
        <v>-</v>
      </c>
    </row>
    <row r="74" spans="2:18">
      <c r="B74" s="2">
        <v>46997</v>
      </c>
      <c r="C74" s="7" t="s">
        <v>361</v>
      </c>
      <c r="D74" s="5"/>
      <c r="E74" s="3" t="s">
        <v>12</v>
      </c>
      <c r="F74" s="3" t="s">
        <v>12</v>
      </c>
      <c r="G74" s="3">
        <v>3.5750000000000002</v>
      </c>
      <c r="H74" s="3" t="s">
        <v>12</v>
      </c>
      <c r="I74" s="3" t="s">
        <v>12</v>
      </c>
      <c r="J74" s="3" t="s">
        <v>12</v>
      </c>
      <c r="K74" s="3">
        <v>12</v>
      </c>
      <c r="L74" s="3" t="s">
        <v>438</v>
      </c>
      <c r="P74" s="34">
        <v>136</v>
      </c>
      <c r="Q74" s="35">
        <v>47939</v>
      </c>
      <c r="R74" s="36" t="str" cm="1">
        <f t="array" aca="1" ref="R74" ca="1">INDIRECT("E"&amp;P74)</f>
        <v>-</v>
      </c>
    </row>
    <row r="75" spans="2:18">
      <c r="B75" s="3" t="s">
        <v>443</v>
      </c>
      <c r="C75" s="7"/>
      <c r="D75" s="5"/>
      <c r="E75" s="3"/>
      <c r="F75" s="3"/>
      <c r="G75" s="3"/>
      <c r="H75" s="3"/>
      <c r="I75" s="3"/>
      <c r="J75" s="3"/>
      <c r="K75" s="3"/>
      <c r="L75" s="4">
        <v>46002</v>
      </c>
    </row>
    <row r="76" spans="2:18">
      <c r="B76" s="2">
        <v>47027</v>
      </c>
      <c r="C76" s="7" t="s">
        <v>361</v>
      </c>
      <c r="D76" s="5"/>
      <c r="E76" s="3">
        <v>3.63</v>
      </c>
      <c r="F76" s="32" t="s">
        <v>445</v>
      </c>
      <c r="G76" s="3">
        <v>3.6419999999999999</v>
      </c>
      <c r="H76" s="3">
        <v>3.63</v>
      </c>
      <c r="I76" s="3">
        <v>3.63</v>
      </c>
      <c r="J76" s="3">
        <v>3.63</v>
      </c>
      <c r="K76" s="3">
        <v>44</v>
      </c>
      <c r="L76" s="3" t="s">
        <v>446</v>
      </c>
    </row>
    <row r="77" spans="2:18">
      <c r="B77" s="3" t="s">
        <v>444</v>
      </c>
      <c r="C77" s="7"/>
      <c r="D77" s="5"/>
      <c r="E77" s="3"/>
      <c r="F77" s="32"/>
      <c r="G77" s="3"/>
      <c r="H77" s="3"/>
      <c r="I77" s="3"/>
      <c r="J77" s="3"/>
      <c r="K77" s="3"/>
      <c r="L77" s="4">
        <v>46002</v>
      </c>
    </row>
    <row r="78" spans="2:18">
      <c r="B78" s="2">
        <v>47058</v>
      </c>
      <c r="C78" s="7" t="s">
        <v>361</v>
      </c>
      <c r="D78" s="5"/>
      <c r="E78" s="3" t="s">
        <v>12</v>
      </c>
      <c r="F78" s="3" t="s">
        <v>12</v>
      </c>
      <c r="G78" s="3">
        <v>3.84</v>
      </c>
      <c r="H78" s="3" t="s">
        <v>12</v>
      </c>
      <c r="I78" s="3" t="s">
        <v>12</v>
      </c>
      <c r="J78" s="3" t="s">
        <v>12</v>
      </c>
      <c r="K78" s="3">
        <v>23</v>
      </c>
      <c r="L78" s="3" t="s">
        <v>448</v>
      </c>
    </row>
    <row r="79" spans="2:18">
      <c r="B79" s="3" t="s">
        <v>447</v>
      </c>
      <c r="C79" s="7"/>
      <c r="D79" s="5"/>
      <c r="E79" s="3"/>
      <c r="F79" s="3"/>
      <c r="G79" s="3"/>
      <c r="H79" s="3"/>
      <c r="I79" s="3"/>
      <c r="J79" s="3"/>
      <c r="K79" s="3"/>
      <c r="L79" s="4">
        <v>46002</v>
      </c>
    </row>
    <row r="80" spans="2:18">
      <c r="B80" s="2">
        <v>47088</v>
      </c>
      <c r="C80" s="7" t="s">
        <v>361</v>
      </c>
      <c r="D80" s="5"/>
      <c r="E80" s="3">
        <v>4.2290000000000001</v>
      </c>
      <c r="F80" s="32" t="s">
        <v>450</v>
      </c>
      <c r="G80" s="3">
        <v>4.2859999999999996</v>
      </c>
      <c r="H80" s="3">
        <v>4.234</v>
      </c>
      <c r="I80" s="3">
        <v>4.234</v>
      </c>
      <c r="J80" s="3">
        <v>4.2290000000000001</v>
      </c>
      <c r="K80" s="3">
        <v>27</v>
      </c>
      <c r="L80" s="3" t="s">
        <v>448</v>
      </c>
    </row>
    <row r="81" spans="2:12">
      <c r="B81" s="3" t="s">
        <v>449</v>
      </c>
      <c r="C81" s="7"/>
      <c r="D81" s="5"/>
      <c r="E81" s="3"/>
      <c r="F81" s="32"/>
      <c r="G81" s="3"/>
      <c r="H81" s="3"/>
      <c r="I81" s="3"/>
      <c r="J81" s="3"/>
      <c r="K81" s="3"/>
      <c r="L81" s="4">
        <v>46002</v>
      </c>
    </row>
    <row r="82" spans="2:12">
      <c r="B82" s="2">
        <v>47119</v>
      </c>
      <c r="C82" s="7" t="s">
        <v>361</v>
      </c>
      <c r="D82" s="5"/>
      <c r="E82" s="3" t="s">
        <v>12</v>
      </c>
      <c r="F82" s="3" t="s">
        <v>12</v>
      </c>
      <c r="G82" s="3">
        <v>4.57</v>
      </c>
      <c r="H82" s="3" t="s">
        <v>12</v>
      </c>
      <c r="I82" s="3" t="s">
        <v>12</v>
      </c>
      <c r="J82" s="3" t="s">
        <v>12</v>
      </c>
      <c r="K82" s="3">
        <v>20</v>
      </c>
      <c r="L82" s="3" t="s">
        <v>452</v>
      </c>
    </row>
    <row r="83" spans="2:12">
      <c r="B83" s="3" t="s">
        <v>451</v>
      </c>
      <c r="C83" s="7"/>
      <c r="D83" s="5"/>
      <c r="E83" s="3"/>
      <c r="F83" s="3"/>
      <c r="G83" s="3"/>
      <c r="H83" s="3"/>
      <c r="I83" s="3"/>
      <c r="J83" s="3"/>
      <c r="K83" s="3"/>
      <c r="L83" s="4">
        <v>46002</v>
      </c>
    </row>
    <row r="84" spans="2:12">
      <c r="B84" s="2">
        <v>47150</v>
      </c>
      <c r="C84" s="7" t="s">
        <v>361</v>
      </c>
      <c r="D84" s="5"/>
      <c r="E84" s="3" t="s">
        <v>12</v>
      </c>
      <c r="F84" s="3" t="s">
        <v>12</v>
      </c>
      <c r="G84" s="3">
        <v>4.2649999999999997</v>
      </c>
      <c r="H84" s="3" t="s">
        <v>12</v>
      </c>
      <c r="I84" s="3" t="s">
        <v>12</v>
      </c>
      <c r="J84" s="3" t="s">
        <v>12</v>
      </c>
      <c r="K84" s="3">
        <v>3</v>
      </c>
      <c r="L84" s="3" t="s">
        <v>436</v>
      </c>
    </row>
    <row r="85" spans="2:12">
      <c r="B85" s="3" t="s">
        <v>453</v>
      </c>
      <c r="C85" s="7"/>
      <c r="D85" s="5"/>
      <c r="E85" s="3"/>
      <c r="F85" s="3"/>
      <c r="G85" s="3"/>
      <c r="H85" s="3"/>
      <c r="I85" s="3"/>
      <c r="J85" s="3"/>
      <c r="K85" s="3"/>
      <c r="L85" s="4">
        <v>46002</v>
      </c>
    </row>
    <row r="86" spans="2:12">
      <c r="B86" s="2">
        <v>47178</v>
      </c>
      <c r="C86" s="7" t="s">
        <v>361</v>
      </c>
      <c r="D86" s="5"/>
      <c r="E86" s="3">
        <v>3.585</v>
      </c>
      <c r="F86" s="32" t="s">
        <v>455</v>
      </c>
      <c r="G86" s="3">
        <v>3.59</v>
      </c>
      <c r="H86" s="3">
        <v>3.585</v>
      </c>
      <c r="I86" s="3">
        <v>3.585</v>
      </c>
      <c r="J86" s="3">
        <v>3.585</v>
      </c>
      <c r="K86" s="3">
        <v>2</v>
      </c>
      <c r="L86" s="3" t="s">
        <v>456</v>
      </c>
    </row>
    <row r="87" spans="2:12">
      <c r="B87" s="3" t="s">
        <v>454</v>
      </c>
      <c r="C87" s="7"/>
      <c r="D87" s="5"/>
      <c r="E87" s="3"/>
      <c r="F87" s="32"/>
      <c r="G87" s="3"/>
      <c r="H87" s="3"/>
      <c r="I87" s="3"/>
      <c r="J87" s="3"/>
      <c r="K87" s="3"/>
      <c r="L87" s="4">
        <v>46002</v>
      </c>
    </row>
    <row r="88" spans="2:12">
      <c r="B88" s="2">
        <v>47209</v>
      </c>
      <c r="C88" s="7" t="s">
        <v>361</v>
      </c>
      <c r="D88" s="5"/>
      <c r="E88" s="3">
        <v>3.165</v>
      </c>
      <c r="F88" s="32" t="s">
        <v>458</v>
      </c>
      <c r="G88" s="3">
        <v>3.17</v>
      </c>
      <c r="H88" s="3">
        <v>3.165</v>
      </c>
      <c r="I88" s="3">
        <v>3.165</v>
      </c>
      <c r="J88" s="3">
        <v>3.165</v>
      </c>
      <c r="K88" s="3">
        <v>2</v>
      </c>
      <c r="L88" s="3" t="s">
        <v>456</v>
      </c>
    </row>
    <row r="89" spans="2:12">
      <c r="B89" s="3" t="s">
        <v>457</v>
      </c>
      <c r="C89" s="7"/>
      <c r="D89" s="5"/>
      <c r="E89" s="3"/>
      <c r="F89" s="32"/>
      <c r="G89" s="3"/>
      <c r="H89" s="3"/>
      <c r="I89" s="3"/>
      <c r="J89" s="3"/>
      <c r="K89" s="3"/>
      <c r="L89" s="4">
        <v>46002</v>
      </c>
    </row>
    <row r="90" spans="2:12">
      <c r="B90" s="2">
        <v>47239</v>
      </c>
      <c r="C90" s="7" t="s">
        <v>361</v>
      </c>
      <c r="D90" s="5"/>
      <c r="E90" s="3" t="s">
        <v>12</v>
      </c>
      <c r="F90" s="3" t="s">
        <v>12</v>
      </c>
      <c r="G90" s="3">
        <v>3.157</v>
      </c>
      <c r="H90" s="3" t="s">
        <v>12</v>
      </c>
      <c r="I90" s="3" t="s">
        <v>12</v>
      </c>
      <c r="J90" s="3" t="s">
        <v>12</v>
      </c>
      <c r="K90" s="3">
        <v>0</v>
      </c>
      <c r="L90" s="3" t="s">
        <v>460</v>
      </c>
    </row>
    <row r="91" spans="2:12">
      <c r="B91" s="3" t="s">
        <v>459</v>
      </c>
      <c r="C91" s="7"/>
      <c r="D91" s="5"/>
      <c r="E91" s="3"/>
      <c r="F91" s="3"/>
      <c r="G91" s="3"/>
      <c r="H91" s="3"/>
      <c r="I91" s="3"/>
      <c r="J91" s="3"/>
      <c r="K91" s="3"/>
      <c r="L91" s="4">
        <v>46002</v>
      </c>
    </row>
    <row r="92" spans="2:12">
      <c r="B92" s="2">
        <v>47270</v>
      </c>
      <c r="C92" s="7" t="s">
        <v>361</v>
      </c>
      <c r="D92" s="5"/>
      <c r="E92" s="3" t="s">
        <v>12</v>
      </c>
      <c r="F92" s="3" t="s">
        <v>12</v>
      </c>
      <c r="G92" s="3">
        <v>3.3</v>
      </c>
      <c r="H92" s="3" t="s">
        <v>12</v>
      </c>
      <c r="I92" s="3" t="s">
        <v>12</v>
      </c>
      <c r="J92" s="3" t="s">
        <v>12</v>
      </c>
      <c r="K92" s="3">
        <v>0</v>
      </c>
      <c r="L92" s="3" t="s">
        <v>462</v>
      </c>
    </row>
    <row r="93" spans="2:12">
      <c r="B93" s="3" t="s">
        <v>461</v>
      </c>
      <c r="C93" s="7"/>
      <c r="D93" s="5"/>
      <c r="E93" s="3"/>
      <c r="F93" s="3"/>
      <c r="G93" s="3"/>
      <c r="H93" s="3"/>
      <c r="I93" s="3"/>
      <c r="J93" s="3"/>
      <c r="K93" s="3"/>
      <c r="L93" s="4">
        <v>46002</v>
      </c>
    </row>
    <row r="94" spans="2:12">
      <c r="B94" s="2">
        <v>47300</v>
      </c>
      <c r="C94" s="7" t="s">
        <v>361</v>
      </c>
      <c r="D94" s="5"/>
      <c r="E94" s="3" t="s">
        <v>12</v>
      </c>
      <c r="F94" s="3" t="s">
        <v>12</v>
      </c>
      <c r="G94" s="3">
        <v>3.4630000000000001</v>
      </c>
      <c r="H94" s="3" t="s">
        <v>12</v>
      </c>
      <c r="I94" s="3" t="s">
        <v>12</v>
      </c>
      <c r="J94" s="3" t="s">
        <v>12</v>
      </c>
      <c r="K94" s="3">
        <v>0</v>
      </c>
      <c r="L94" s="3" t="s">
        <v>460</v>
      </c>
    </row>
    <row r="95" spans="2:12">
      <c r="B95" s="3" t="s">
        <v>463</v>
      </c>
      <c r="C95" s="7"/>
      <c r="D95" s="5"/>
      <c r="E95" s="3"/>
      <c r="F95" s="3"/>
      <c r="G95" s="3"/>
      <c r="H95" s="3"/>
      <c r="I95" s="3"/>
      <c r="J95" s="3"/>
      <c r="K95" s="3"/>
      <c r="L95" s="4">
        <v>46002</v>
      </c>
    </row>
    <row r="96" spans="2:12">
      <c r="B96" s="2">
        <v>47331</v>
      </c>
      <c r="C96" s="7" t="s">
        <v>361</v>
      </c>
      <c r="D96" s="5"/>
      <c r="E96" s="3" t="s">
        <v>12</v>
      </c>
      <c r="F96" s="3" t="s">
        <v>12</v>
      </c>
      <c r="G96" s="3">
        <v>3.5230000000000001</v>
      </c>
      <c r="H96" s="3" t="s">
        <v>12</v>
      </c>
      <c r="I96" s="3" t="s">
        <v>12</v>
      </c>
      <c r="J96" s="3" t="s">
        <v>12</v>
      </c>
      <c r="K96" s="3">
        <v>0</v>
      </c>
      <c r="L96" s="3" t="s">
        <v>460</v>
      </c>
    </row>
    <row r="97" spans="2:12">
      <c r="B97" s="3" t="s">
        <v>464</v>
      </c>
      <c r="C97" s="7"/>
      <c r="D97" s="5"/>
      <c r="E97" s="3"/>
      <c r="F97" s="3"/>
      <c r="G97" s="3"/>
      <c r="H97" s="3"/>
      <c r="I97" s="3"/>
      <c r="J97" s="3"/>
      <c r="K97" s="3"/>
      <c r="L97" s="4">
        <v>46002</v>
      </c>
    </row>
    <row r="98" spans="2:12">
      <c r="B98" s="2">
        <v>47362</v>
      </c>
      <c r="C98" s="7" t="s">
        <v>361</v>
      </c>
      <c r="D98" s="5"/>
      <c r="E98" s="3" t="s">
        <v>12</v>
      </c>
      <c r="F98" s="3" t="s">
        <v>12</v>
      </c>
      <c r="G98" s="3">
        <v>3.5059999999999998</v>
      </c>
      <c r="H98" s="3" t="s">
        <v>12</v>
      </c>
      <c r="I98" s="3" t="s">
        <v>12</v>
      </c>
      <c r="J98" s="3" t="s">
        <v>12</v>
      </c>
      <c r="K98" s="3">
        <v>0</v>
      </c>
      <c r="L98" s="3" t="s">
        <v>462</v>
      </c>
    </row>
    <row r="99" spans="2:12">
      <c r="B99" s="3" t="s">
        <v>465</v>
      </c>
      <c r="C99" s="7"/>
      <c r="D99" s="5"/>
      <c r="E99" s="3"/>
      <c r="F99" s="3"/>
      <c r="G99" s="3"/>
      <c r="H99" s="3"/>
      <c r="I99" s="3"/>
      <c r="J99" s="3"/>
      <c r="K99" s="3"/>
      <c r="L99" s="4">
        <v>46002</v>
      </c>
    </row>
    <row r="100" spans="2:12">
      <c r="B100" s="2">
        <v>47392</v>
      </c>
      <c r="C100" s="7" t="s">
        <v>361</v>
      </c>
      <c r="D100" s="5"/>
      <c r="E100" s="3" t="s">
        <v>12</v>
      </c>
      <c r="F100" s="3" t="s">
        <v>12</v>
      </c>
      <c r="G100" s="3">
        <v>3.5790000000000002</v>
      </c>
      <c r="H100" s="3" t="s">
        <v>12</v>
      </c>
      <c r="I100" s="3" t="s">
        <v>12</v>
      </c>
      <c r="J100" s="3" t="s">
        <v>12</v>
      </c>
      <c r="K100" s="3">
        <v>0</v>
      </c>
      <c r="L100" s="3" t="s">
        <v>467</v>
      </c>
    </row>
    <row r="101" spans="2:12">
      <c r="B101" s="3" t="s">
        <v>466</v>
      </c>
      <c r="C101" s="7"/>
      <c r="D101" s="5"/>
      <c r="E101" s="3"/>
      <c r="F101" s="3"/>
      <c r="G101" s="3"/>
      <c r="H101" s="3"/>
      <c r="I101" s="3"/>
      <c r="J101" s="3"/>
      <c r="K101" s="3"/>
      <c r="L101" s="4">
        <v>46002</v>
      </c>
    </row>
    <row r="102" spans="2:12">
      <c r="B102" s="2">
        <v>47423</v>
      </c>
      <c r="C102" s="7" t="s">
        <v>361</v>
      </c>
      <c r="D102" s="5"/>
      <c r="E102" s="3" t="s">
        <v>12</v>
      </c>
      <c r="F102" s="3" t="s">
        <v>12</v>
      </c>
      <c r="G102" s="3">
        <v>3.778</v>
      </c>
      <c r="H102" s="3" t="s">
        <v>12</v>
      </c>
      <c r="I102" s="3" t="s">
        <v>12</v>
      </c>
      <c r="J102" s="3" t="s">
        <v>12</v>
      </c>
      <c r="K102" s="3">
        <v>0</v>
      </c>
      <c r="L102" s="3" t="s">
        <v>467</v>
      </c>
    </row>
    <row r="103" spans="2:12">
      <c r="B103" s="3" t="s">
        <v>468</v>
      </c>
      <c r="C103" s="7"/>
      <c r="D103" s="5"/>
      <c r="E103" s="3"/>
      <c r="F103" s="3"/>
      <c r="G103" s="3"/>
      <c r="H103" s="3"/>
      <c r="I103" s="3"/>
      <c r="J103" s="3"/>
      <c r="K103" s="3"/>
      <c r="L103" s="4">
        <v>46002</v>
      </c>
    </row>
    <row r="104" spans="2:12">
      <c r="B104" s="2">
        <v>47453</v>
      </c>
      <c r="C104" s="7" t="s">
        <v>361</v>
      </c>
      <c r="D104" s="5"/>
      <c r="E104" s="3" t="s">
        <v>12</v>
      </c>
      <c r="F104" s="3" t="s">
        <v>12</v>
      </c>
      <c r="G104" s="3">
        <v>4.2229999999999999</v>
      </c>
      <c r="H104" s="3" t="s">
        <v>12</v>
      </c>
      <c r="I104" s="3" t="s">
        <v>12</v>
      </c>
      <c r="J104" s="3" t="s">
        <v>12</v>
      </c>
      <c r="K104" s="3">
        <v>0</v>
      </c>
      <c r="L104" s="3" t="s">
        <v>470</v>
      </c>
    </row>
    <row r="105" spans="2:12">
      <c r="B105" s="3" t="s">
        <v>469</v>
      </c>
      <c r="C105" s="7"/>
      <c r="D105" s="5"/>
      <c r="E105" s="3"/>
      <c r="F105" s="3"/>
      <c r="G105" s="3"/>
      <c r="H105" s="3"/>
      <c r="I105" s="3"/>
      <c r="J105" s="3"/>
      <c r="K105" s="3"/>
      <c r="L105" s="4">
        <v>46002</v>
      </c>
    </row>
    <row r="106" spans="2:12">
      <c r="B106" s="2">
        <v>47484</v>
      </c>
      <c r="C106" s="7" t="s">
        <v>361</v>
      </c>
      <c r="D106" s="5"/>
      <c r="E106" s="3" t="s">
        <v>12</v>
      </c>
      <c r="F106" s="3" t="s">
        <v>12</v>
      </c>
      <c r="G106" s="3">
        <v>4.4989999999999997</v>
      </c>
      <c r="H106" s="3" t="s">
        <v>12</v>
      </c>
      <c r="I106" s="3" t="s">
        <v>12</v>
      </c>
      <c r="J106" s="3" t="s">
        <v>12</v>
      </c>
      <c r="K106" s="3">
        <v>0</v>
      </c>
      <c r="L106" s="3" t="s">
        <v>470</v>
      </c>
    </row>
    <row r="107" spans="2:12">
      <c r="B107" s="3" t="s">
        <v>471</v>
      </c>
      <c r="C107" s="7"/>
      <c r="D107" s="5"/>
      <c r="E107" s="3"/>
      <c r="F107" s="3"/>
      <c r="G107" s="3"/>
      <c r="H107" s="3"/>
      <c r="I107" s="3"/>
      <c r="J107" s="3"/>
      <c r="K107" s="3"/>
      <c r="L107" s="4">
        <v>46002</v>
      </c>
    </row>
    <row r="108" spans="2:12">
      <c r="B108" s="2">
        <v>47515</v>
      </c>
      <c r="C108" s="7" t="s">
        <v>361</v>
      </c>
      <c r="D108" s="5"/>
      <c r="E108" s="3" t="s">
        <v>12</v>
      </c>
      <c r="F108" s="3" t="s">
        <v>12</v>
      </c>
      <c r="G108" s="3">
        <v>4.2140000000000004</v>
      </c>
      <c r="H108" s="3" t="s">
        <v>12</v>
      </c>
      <c r="I108" s="3" t="s">
        <v>12</v>
      </c>
      <c r="J108" s="3" t="s">
        <v>12</v>
      </c>
      <c r="K108" s="3">
        <v>0</v>
      </c>
      <c r="L108" s="3" t="s">
        <v>467</v>
      </c>
    </row>
    <row r="109" spans="2:12">
      <c r="B109" s="3" t="s">
        <v>472</v>
      </c>
      <c r="C109" s="7"/>
      <c r="D109" s="5"/>
      <c r="E109" s="3"/>
      <c r="F109" s="3"/>
      <c r="G109" s="3"/>
      <c r="H109" s="3"/>
      <c r="I109" s="3"/>
      <c r="J109" s="3"/>
      <c r="K109" s="3"/>
      <c r="L109" s="4">
        <v>46002</v>
      </c>
    </row>
    <row r="110" spans="2:12">
      <c r="B110" s="2">
        <v>47543</v>
      </c>
      <c r="C110" s="7" t="s">
        <v>361</v>
      </c>
      <c r="D110" s="5"/>
      <c r="E110" s="3" t="s">
        <v>12</v>
      </c>
      <c r="F110" s="3" t="s">
        <v>12</v>
      </c>
      <c r="G110" s="3">
        <v>3.6190000000000002</v>
      </c>
      <c r="H110" s="3" t="s">
        <v>12</v>
      </c>
      <c r="I110" s="3" t="s">
        <v>12</v>
      </c>
      <c r="J110" s="3" t="s">
        <v>12</v>
      </c>
      <c r="K110" s="3">
        <v>0</v>
      </c>
      <c r="L110" s="3" t="s">
        <v>467</v>
      </c>
    </row>
    <row r="111" spans="2:12">
      <c r="B111" s="3" t="s">
        <v>473</v>
      </c>
      <c r="C111" s="7"/>
      <c r="D111" s="5"/>
      <c r="E111" s="3"/>
      <c r="F111" s="3"/>
      <c r="G111" s="3"/>
      <c r="H111" s="3"/>
      <c r="I111" s="3"/>
      <c r="J111" s="3"/>
      <c r="K111" s="3"/>
      <c r="L111" s="4">
        <v>46002</v>
      </c>
    </row>
    <row r="112" spans="2:12">
      <c r="B112" s="2">
        <v>47574</v>
      </c>
      <c r="C112" s="7" t="s">
        <v>361</v>
      </c>
      <c r="D112" s="5"/>
      <c r="E112" s="3" t="s">
        <v>12</v>
      </c>
      <c r="F112" s="3" t="s">
        <v>12</v>
      </c>
      <c r="G112" s="3">
        <v>3.1840000000000002</v>
      </c>
      <c r="H112" s="3" t="s">
        <v>12</v>
      </c>
      <c r="I112" s="3" t="s">
        <v>12</v>
      </c>
      <c r="J112" s="3" t="s">
        <v>12</v>
      </c>
      <c r="K112" s="3">
        <v>0</v>
      </c>
      <c r="L112" s="3" t="s">
        <v>467</v>
      </c>
    </row>
    <row r="113" spans="2:12">
      <c r="B113" s="3" t="s">
        <v>474</v>
      </c>
      <c r="C113" s="7"/>
      <c r="D113" s="5"/>
      <c r="E113" s="3"/>
      <c r="F113" s="3"/>
      <c r="G113" s="3"/>
      <c r="H113" s="3"/>
      <c r="I113" s="3"/>
      <c r="J113" s="3"/>
      <c r="K113" s="3"/>
      <c r="L113" s="4">
        <v>46002</v>
      </c>
    </row>
    <row r="114" spans="2:12">
      <c r="B114" s="2">
        <v>47604</v>
      </c>
      <c r="C114" s="7" t="s">
        <v>361</v>
      </c>
      <c r="D114" s="5"/>
      <c r="E114" s="3" t="s">
        <v>12</v>
      </c>
      <c r="F114" s="3" t="s">
        <v>12</v>
      </c>
      <c r="G114" s="3">
        <v>3.113</v>
      </c>
      <c r="H114" s="3" t="s">
        <v>12</v>
      </c>
      <c r="I114" s="3" t="s">
        <v>12</v>
      </c>
      <c r="J114" s="3" t="s">
        <v>12</v>
      </c>
      <c r="K114" s="3">
        <v>0</v>
      </c>
      <c r="L114" s="3" t="s">
        <v>467</v>
      </c>
    </row>
    <row r="115" spans="2:12">
      <c r="B115" s="3" t="s">
        <v>475</v>
      </c>
      <c r="C115" s="7"/>
      <c r="D115" s="5"/>
      <c r="E115" s="3"/>
      <c r="F115" s="3"/>
      <c r="G115" s="3"/>
      <c r="H115" s="3"/>
      <c r="I115" s="3"/>
      <c r="J115" s="3"/>
      <c r="K115" s="3"/>
      <c r="L115" s="4">
        <v>46002</v>
      </c>
    </row>
    <row r="116" spans="2:12">
      <c r="B116" s="2">
        <v>47635</v>
      </c>
      <c r="C116" s="7" t="s">
        <v>361</v>
      </c>
      <c r="D116" s="5"/>
      <c r="E116" s="3" t="s">
        <v>12</v>
      </c>
      <c r="F116" s="3" t="s">
        <v>12</v>
      </c>
      <c r="G116" s="3">
        <v>3.2549999999999999</v>
      </c>
      <c r="H116" s="3" t="s">
        <v>12</v>
      </c>
      <c r="I116" s="3" t="s">
        <v>12</v>
      </c>
      <c r="J116" s="3" t="s">
        <v>12</v>
      </c>
      <c r="K116" s="3">
        <v>0</v>
      </c>
      <c r="L116" s="3" t="s">
        <v>460</v>
      </c>
    </row>
    <row r="117" spans="2:12">
      <c r="B117" s="3" t="s">
        <v>476</v>
      </c>
      <c r="C117" s="7"/>
      <c r="D117" s="5"/>
      <c r="E117" s="3"/>
      <c r="F117" s="3"/>
      <c r="G117" s="3"/>
      <c r="H117" s="3"/>
      <c r="I117" s="3"/>
      <c r="J117" s="3"/>
      <c r="K117" s="3"/>
      <c r="L117" s="4">
        <v>46002</v>
      </c>
    </row>
    <row r="118" spans="2:12">
      <c r="B118" s="2">
        <v>47665</v>
      </c>
      <c r="C118" s="7" t="s">
        <v>361</v>
      </c>
      <c r="D118" s="5"/>
      <c r="E118" s="3" t="s">
        <v>12</v>
      </c>
      <c r="F118" s="3" t="s">
        <v>12</v>
      </c>
      <c r="G118" s="3">
        <v>3.415</v>
      </c>
      <c r="H118" s="3" t="s">
        <v>12</v>
      </c>
      <c r="I118" s="3" t="s">
        <v>12</v>
      </c>
      <c r="J118" s="3" t="s">
        <v>12</v>
      </c>
      <c r="K118" s="3">
        <v>0</v>
      </c>
      <c r="L118" s="3" t="s">
        <v>460</v>
      </c>
    </row>
    <row r="119" spans="2:12">
      <c r="B119" s="3" t="s">
        <v>477</v>
      </c>
      <c r="C119" s="7"/>
      <c r="D119" s="5"/>
      <c r="E119" s="3"/>
      <c r="F119" s="3"/>
      <c r="G119" s="3"/>
      <c r="H119" s="3"/>
      <c r="I119" s="3"/>
      <c r="J119" s="3"/>
      <c r="K119" s="3"/>
      <c r="L119" s="4">
        <v>46002</v>
      </c>
    </row>
    <row r="120" spans="2:12">
      <c r="B120" s="2">
        <v>47696</v>
      </c>
      <c r="C120" s="7" t="s">
        <v>361</v>
      </c>
      <c r="D120" s="5"/>
      <c r="E120" s="3" t="s">
        <v>12</v>
      </c>
      <c r="F120" s="3" t="s">
        <v>12</v>
      </c>
      <c r="G120" s="3">
        <v>3.476</v>
      </c>
      <c r="H120" s="3" t="s">
        <v>12</v>
      </c>
      <c r="I120" s="3" t="s">
        <v>12</v>
      </c>
      <c r="J120" s="3" t="s">
        <v>12</v>
      </c>
      <c r="K120" s="3">
        <v>0</v>
      </c>
      <c r="L120" s="3" t="s">
        <v>467</v>
      </c>
    </row>
    <row r="121" spans="2:12">
      <c r="B121" s="3" t="s">
        <v>478</v>
      </c>
      <c r="C121" s="7"/>
      <c r="D121" s="5"/>
      <c r="E121" s="3"/>
      <c r="F121" s="3"/>
      <c r="G121" s="3"/>
      <c r="H121" s="3"/>
      <c r="I121" s="3"/>
      <c r="J121" s="3"/>
      <c r="K121" s="3"/>
      <c r="L121" s="4">
        <v>46002</v>
      </c>
    </row>
    <row r="122" spans="2:12">
      <c r="B122" s="2">
        <v>47727</v>
      </c>
      <c r="C122" s="7" t="s">
        <v>361</v>
      </c>
      <c r="D122" s="5"/>
      <c r="E122" s="3" t="s">
        <v>12</v>
      </c>
      <c r="F122" s="3" t="s">
        <v>12</v>
      </c>
      <c r="G122" s="3">
        <v>3.464</v>
      </c>
      <c r="H122" s="3" t="s">
        <v>12</v>
      </c>
      <c r="I122" s="3" t="s">
        <v>12</v>
      </c>
      <c r="J122" s="3" t="s">
        <v>12</v>
      </c>
      <c r="K122" s="3">
        <v>0</v>
      </c>
      <c r="L122" s="3" t="s">
        <v>460</v>
      </c>
    </row>
    <row r="123" spans="2:12">
      <c r="B123" s="3" t="s">
        <v>479</v>
      </c>
      <c r="C123" s="7"/>
      <c r="D123" s="5"/>
      <c r="E123" s="3"/>
      <c r="F123" s="3"/>
      <c r="G123" s="3"/>
      <c r="H123" s="3"/>
      <c r="I123" s="3"/>
      <c r="J123" s="3"/>
      <c r="K123" s="3"/>
      <c r="L123" s="4">
        <v>46002</v>
      </c>
    </row>
    <row r="124" spans="2:12">
      <c r="B124" s="2">
        <v>47757</v>
      </c>
      <c r="C124" s="7" t="s">
        <v>361</v>
      </c>
      <c r="D124" s="5"/>
      <c r="E124" s="3" t="s">
        <v>12</v>
      </c>
      <c r="F124" s="3" t="s">
        <v>12</v>
      </c>
      <c r="G124" s="3">
        <v>3.5670000000000002</v>
      </c>
      <c r="H124" s="3" t="s">
        <v>12</v>
      </c>
      <c r="I124" s="3" t="s">
        <v>12</v>
      </c>
      <c r="J124" s="3" t="s">
        <v>12</v>
      </c>
      <c r="K124" s="3">
        <v>0</v>
      </c>
      <c r="L124" s="3" t="s">
        <v>470</v>
      </c>
    </row>
    <row r="125" spans="2:12">
      <c r="B125" s="3" t="s">
        <v>480</v>
      </c>
      <c r="C125" s="7"/>
      <c r="D125" s="5"/>
      <c r="E125" s="3"/>
      <c r="F125" s="3"/>
      <c r="G125" s="3"/>
      <c r="H125" s="3"/>
      <c r="I125" s="3"/>
      <c r="J125" s="3"/>
      <c r="K125" s="3"/>
      <c r="L125" s="4">
        <v>46002</v>
      </c>
    </row>
    <row r="126" spans="2:12">
      <c r="B126" s="2">
        <v>47788</v>
      </c>
      <c r="C126" s="7" t="s">
        <v>361</v>
      </c>
      <c r="D126" s="5"/>
      <c r="E126" s="3" t="s">
        <v>12</v>
      </c>
      <c r="F126" s="3" t="s">
        <v>12</v>
      </c>
      <c r="G126" s="3">
        <v>3.7759999999999998</v>
      </c>
      <c r="H126" s="3" t="s">
        <v>12</v>
      </c>
      <c r="I126" s="3" t="s">
        <v>12</v>
      </c>
      <c r="J126" s="3" t="s">
        <v>12</v>
      </c>
      <c r="K126" s="3">
        <v>0</v>
      </c>
      <c r="L126" s="3" t="s">
        <v>482</v>
      </c>
    </row>
    <row r="127" spans="2:12">
      <c r="B127" s="3" t="s">
        <v>481</v>
      </c>
      <c r="C127" s="7"/>
      <c r="D127" s="5"/>
      <c r="E127" s="3"/>
      <c r="F127" s="3"/>
      <c r="G127" s="3"/>
      <c r="H127" s="3"/>
      <c r="I127" s="3"/>
      <c r="J127" s="3"/>
      <c r="K127" s="3"/>
      <c r="L127" s="4">
        <v>46002</v>
      </c>
    </row>
    <row r="128" spans="2:12">
      <c r="B128" s="2">
        <v>47818</v>
      </c>
      <c r="C128" s="7" t="s">
        <v>361</v>
      </c>
      <c r="D128" s="5"/>
      <c r="E128" s="3" t="s">
        <v>12</v>
      </c>
      <c r="F128" s="3" t="s">
        <v>12</v>
      </c>
      <c r="G128" s="3">
        <v>4.2069999999999999</v>
      </c>
      <c r="H128" s="3" t="s">
        <v>12</v>
      </c>
      <c r="I128" s="3" t="s">
        <v>12</v>
      </c>
      <c r="J128" s="3" t="s">
        <v>12</v>
      </c>
      <c r="K128" s="3">
        <v>0</v>
      </c>
      <c r="L128" s="3" t="s">
        <v>482</v>
      </c>
    </row>
    <row r="129" spans="2:12">
      <c r="B129" s="3" t="s">
        <v>483</v>
      </c>
      <c r="C129" s="7"/>
      <c r="D129" s="5"/>
      <c r="E129" s="3"/>
      <c r="F129" s="3"/>
      <c r="G129" s="3"/>
      <c r="H129" s="3"/>
      <c r="I129" s="3"/>
      <c r="J129" s="3"/>
      <c r="K129" s="3"/>
      <c r="L129" s="4">
        <v>46002</v>
      </c>
    </row>
    <row r="130" spans="2:12">
      <c r="B130" s="2">
        <v>47849</v>
      </c>
      <c r="C130" s="7" t="s">
        <v>361</v>
      </c>
      <c r="D130" s="5"/>
      <c r="E130" s="3" t="s">
        <v>12</v>
      </c>
      <c r="F130" s="3" t="s">
        <v>12</v>
      </c>
      <c r="G130" s="3">
        <v>4.4470000000000001</v>
      </c>
      <c r="H130" s="3" t="s">
        <v>12</v>
      </c>
      <c r="I130" s="3" t="s">
        <v>12</v>
      </c>
      <c r="J130" s="3" t="s">
        <v>12</v>
      </c>
      <c r="K130" s="3">
        <v>0</v>
      </c>
      <c r="L130" s="3" t="s">
        <v>460</v>
      </c>
    </row>
    <row r="131" spans="2:12">
      <c r="B131" s="3" t="s">
        <v>484</v>
      </c>
      <c r="C131" s="7"/>
      <c r="D131" s="5"/>
      <c r="E131" s="3"/>
      <c r="F131" s="3"/>
      <c r="G131" s="3"/>
      <c r="H131" s="3"/>
      <c r="I131" s="3"/>
      <c r="J131" s="3"/>
      <c r="K131" s="3"/>
      <c r="L131" s="4">
        <v>46002</v>
      </c>
    </row>
    <row r="132" spans="2:12">
      <c r="B132" s="2">
        <v>47880</v>
      </c>
      <c r="C132" s="7" t="s">
        <v>361</v>
      </c>
      <c r="D132" s="5"/>
      <c r="E132" s="3" t="s">
        <v>12</v>
      </c>
      <c r="F132" s="3" t="s">
        <v>12</v>
      </c>
      <c r="G132" s="3">
        <v>4.157</v>
      </c>
      <c r="H132" s="3" t="s">
        <v>12</v>
      </c>
      <c r="I132" s="3" t="s">
        <v>12</v>
      </c>
      <c r="J132" s="3" t="s">
        <v>12</v>
      </c>
      <c r="K132" s="3">
        <v>0</v>
      </c>
      <c r="L132" s="3" t="s">
        <v>462</v>
      </c>
    </row>
    <row r="133" spans="2:12">
      <c r="B133" s="3" t="s">
        <v>485</v>
      </c>
      <c r="C133" s="7"/>
      <c r="D133" s="5"/>
      <c r="E133" s="3"/>
      <c r="F133" s="3"/>
      <c r="G133" s="3"/>
      <c r="H133" s="3"/>
      <c r="I133" s="3"/>
      <c r="J133" s="3"/>
      <c r="K133" s="3"/>
      <c r="L133" s="4">
        <v>46002</v>
      </c>
    </row>
    <row r="134" spans="2:12">
      <c r="B134" s="2">
        <v>47908</v>
      </c>
      <c r="C134" s="7" t="s">
        <v>361</v>
      </c>
      <c r="D134" s="5"/>
      <c r="E134" s="3" t="s">
        <v>12</v>
      </c>
      <c r="F134" s="3" t="s">
        <v>12</v>
      </c>
      <c r="G134" s="3">
        <v>3.5219999999999998</v>
      </c>
      <c r="H134" s="3" t="s">
        <v>12</v>
      </c>
      <c r="I134" s="3" t="s">
        <v>12</v>
      </c>
      <c r="J134" s="3" t="s">
        <v>12</v>
      </c>
      <c r="K134" s="3">
        <v>0</v>
      </c>
      <c r="L134" s="3" t="s">
        <v>482</v>
      </c>
    </row>
    <row r="135" spans="2:12">
      <c r="B135" s="3" t="s">
        <v>486</v>
      </c>
      <c r="C135" s="7"/>
      <c r="D135" s="5"/>
      <c r="E135" s="3"/>
      <c r="F135" s="3"/>
      <c r="G135" s="3"/>
      <c r="H135" s="3"/>
      <c r="I135" s="3"/>
      <c r="J135" s="3"/>
      <c r="K135" s="3"/>
      <c r="L135" s="4">
        <v>46002</v>
      </c>
    </row>
    <row r="136" spans="2:12">
      <c r="B136" s="2">
        <v>47939</v>
      </c>
      <c r="C136" s="7" t="s">
        <v>361</v>
      </c>
      <c r="D136" s="5"/>
      <c r="E136" s="3" t="s">
        <v>12</v>
      </c>
      <c r="F136" s="3" t="s">
        <v>12</v>
      </c>
      <c r="G136" s="3">
        <v>3.0640000000000001</v>
      </c>
      <c r="H136" s="3" t="s">
        <v>12</v>
      </c>
      <c r="I136" s="3" t="s">
        <v>12</v>
      </c>
      <c r="J136" s="3" t="s">
        <v>12</v>
      </c>
      <c r="K136" s="3">
        <v>0</v>
      </c>
      <c r="L136" s="3" t="s">
        <v>482</v>
      </c>
    </row>
    <row r="137" spans="2:12">
      <c r="B137" s="3" t="s">
        <v>487</v>
      </c>
      <c r="C137" s="7"/>
      <c r="D137" s="5"/>
      <c r="E137" s="3"/>
      <c r="F137" s="3"/>
      <c r="G137" s="3"/>
      <c r="H137" s="3"/>
      <c r="I137" s="3"/>
      <c r="J137" s="3"/>
      <c r="K137" s="3"/>
      <c r="L137" s="4">
        <v>46002</v>
      </c>
    </row>
    <row r="138" spans="2:12">
      <c r="B138" s="2">
        <v>47969</v>
      </c>
      <c r="C138" s="7" t="s">
        <v>361</v>
      </c>
      <c r="D138" s="5"/>
      <c r="E138" s="3" t="s">
        <v>12</v>
      </c>
      <c r="F138" s="3" t="s">
        <v>12</v>
      </c>
      <c r="G138" s="3">
        <v>2.9990000000000001</v>
      </c>
      <c r="H138" s="3" t="s">
        <v>12</v>
      </c>
      <c r="I138" s="3" t="s">
        <v>12</v>
      </c>
      <c r="J138" s="3" t="s">
        <v>12</v>
      </c>
      <c r="K138" s="3">
        <v>0</v>
      </c>
      <c r="L138" s="3" t="s">
        <v>462</v>
      </c>
    </row>
    <row r="139" spans="2:12">
      <c r="B139" s="3" t="s">
        <v>488</v>
      </c>
      <c r="C139" s="7"/>
      <c r="D139" s="5"/>
      <c r="E139" s="3"/>
      <c r="F139" s="3"/>
      <c r="G139" s="3"/>
      <c r="H139" s="3"/>
      <c r="I139" s="3"/>
      <c r="J139" s="3"/>
      <c r="K139" s="3"/>
      <c r="L139" s="4">
        <v>46002</v>
      </c>
    </row>
    <row r="140" spans="2:12">
      <c r="B140" s="2">
        <v>48000</v>
      </c>
      <c r="C140" s="7" t="s">
        <v>361</v>
      </c>
      <c r="D140" s="5"/>
      <c r="E140" s="3" t="s">
        <v>12</v>
      </c>
      <c r="F140" s="3" t="s">
        <v>12</v>
      </c>
      <c r="G140" s="3">
        <v>3.1339999999999999</v>
      </c>
      <c r="H140" s="3" t="s">
        <v>12</v>
      </c>
      <c r="I140" s="3" t="s">
        <v>12</v>
      </c>
      <c r="J140" s="3" t="s">
        <v>12</v>
      </c>
      <c r="K140" s="3">
        <v>0</v>
      </c>
      <c r="L140" s="3" t="s">
        <v>490</v>
      </c>
    </row>
    <row r="141" spans="2:12">
      <c r="B141" s="3" t="s">
        <v>489</v>
      </c>
      <c r="C141" s="7"/>
      <c r="D141" s="5"/>
      <c r="E141" s="3"/>
      <c r="F141" s="3"/>
      <c r="G141" s="3"/>
      <c r="H141" s="3"/>
      <c r="I141" s="3"/>
      <c r="J141" s="3"/>
      <c r="K141" s="3"/>
      <c r="L141" s="4">
        <v>46002</v>
      </c>
    </row>
    <row r="142" spans="2:12">
      <c r="B142" s="2">
        <v>48030</v>
      </c>
      <c r="C142" s="7" t="s">
        <v>361</v>
      </c>
      <c r="D142" s="5"/>
      <c r="E142" s="3" t="s">
        <v>12</v>
      </c>
      <c r="F142" s="3" t="s">
        <v>12</v>
      </c>
      <c r="G142" s="3">
        <v>3.2839999999999998</v>
      </c>
      <c r="H142" s="3" t="s">
        <v>12</v>
      </c>
      <c r="I142" s="3" t="s">
        <v>12</v>
      </c>
      <c r="J142" s="3" t="s">
        <v>12</v>
      </c>
      <c r="K142" s="3">
        <v>0</v>
      </c>
      <c r="L142" s="3" t="s">
        <v>460</v>
      </c>
    </row>
    <row r="143" spans="2:12">
      <c r="B143" s="3" t="s">
        <v>491</v>
      </c>
      <c r="C143" s="7"/>
      <c r="D143" s="5"/>
      <c r="E143" s="3"/>
      <c r="F143" s="3"/>
      <c r="G143" s="3"/>
      <c r="H143" s="3"/>
      <c r="I143" s="3"/>
      <c r="J143" s="3"/>
      <c r="K143" s="3"/>
      <c r="L143" s="4">
        <v>46002</v>
      </c>
    </row>
    <row r="144" spans="2:12">
      <c r="B144" s="2">
        <v>48061</v>
      </c>
      <c r="C144" s="7" t="s">
        <v>361</v>
      </c>
      <c r="D144" s="5"/>
      <c r="E144" s="3" t="s">
        <v>12</v>
      </c>
      <c r="F144" s="3" t="s">
        <v>12</v>
      </c>
      <c r="G144" s="3">
        <v>3.3340000000000001</v>
      </c>
      <c r="H144" s="3" t="s">
        <v>12</v>
      </c>
      <c r="I144" s="3" t="s">
        <v>12</v>
      </c>
      <c r="J144" s="3" t="s">
        <v>12</v>
      </c>
      <c r="K144" s="3">
        <v>0</v>
      </c>
      <c r="L144" s="3" t="s">
        <v>460</v>
      </c>
    </row>
    <row r="145" spans="2:12">
      <c r="B145" s="3" t="s">
        <v>492</v>
      </c>
      <c r="C145" s="7"/>
      <c r="D145" s="5"/>
      <c r="E145" s="3"/>
      <c r="F145" s="3"/>
      <c r="G145" s="3"/>
      <c r="H145" s="3"/>
      <c r="I145" s="3"/>
      <c r="J145" s="3"/>
      <c r="K145" s="3"/>
      <c r="L145" s="4">
        <v>46002</v>
      </c>
    </row>
    <row r="146" spans="2:12">
      <c r="B146" s="2">
        <v>48092</v>
      </c>
      <c r="C146" s="7" t="s">
        <v>361</v>
      </c>
      <c r="D146" s="5"/>
      <c r="E146" s="3" t="s">
        <v>12</v>
      </c>
      <c r="F146" s="3" t="s">
        <v>12</v>
      </c>
      <c r="G146" s="3">
        <v>3.3180000000000001</v>
      </c>
      <c r="H146" s="3" t="s">
        <v>12</v>
      </c>
      <c r="I146" s="3" t="s">
        <v>12</v>
      </c>
      <c r="J146" s="3" t="s">
        <v>12</v>
      </c>
      <c r="K146" s="3">
        <v>0</v>
      </c>
      <c r="L146" s="3" t="s">
        <v>470</v>
      </c>
    </row>
    <row r="147" spans="2:12">
      <c r="B147" s="3" t="s">
        <v>493</v>
      </c>
      <c r="C147" s="7"/>
      <c r="D147" s="5"/>
      <c r="E147" s="3"/>
      <c r="F147" s="3"/>
      <c r="G147" s="3"/>
      <c r="H147" s="3"/>
      <c r="I147" s="3"/>
      <c r="J147" s="3"/>
      <c r="K147" s="3"/>
      <c r="L147" s="4">
        <v>46002</v>
      </c>
    </row>
    <row r="148" spans="2:12">
      <c r="B148" s="2">
        <v>48122</v>
      </c>
      <c r="C148" s="7" t="s">
        <v>361</v>
      </c>
      <c r="D148" s="5"/>
      <c r="E148" s="3" t="s">
        <v>12</v>
      </c>
      <c r="F148" s="3" t="s">
        <v>12</v>
      </c>
      <c r="G148" s="3">
        <v>3.399</v>
      </c>
      <c r="H148" s="3" t="s">
        <v>12</v>
      </c>
      <c r="I148" s="3" t="s">
        <v>12</v>
      </c>
      <c r="J148" s="3" t="s">
        <v>12</v>
      </c>
      <c r="K148" s="3">
        <v>0</v>
      </c>
      <c r="L148" s="3" t="s">
        <v>460</v>
      </c>
    </row>
    <row r="149" spans="2:12">
      <c r="B149" s="3" t="s">
        <v>494</v>
      </c>
      <c r="C149" s="7"/>
      <c r="D149" s="5"/>
      <c r="E149" s="3"/>
      <c r="F149" s="3"/>
      <c r="G149" s="3"/>
      <c r="H149" s="3"/>
      <c r="I149" s="3"/>
      <c r="J149" s="3"/>
      <c r="K149" s="3"/>
      <c r="L149" s="4">
        <v>46002</v>
      </c>
    </row>
    <row r="150" spans="2:12">
      <c r="B150" s="2">
        <v>48153</v>
      </c>
      <c r="C150" s="7" t="s">
        <v>361</v>
      </c>
      <c r="D150" s="5"/>
      <c r="E150" s="3" t="s">
        <v>12</v>
      </c>
      <c r="F150" s="3" t="s">
        <v>12</v>
      </c>
      <c r="G150" s="3">
        <v>3.633</v>
      </c>
      <c r="H150" s="3" t="s">
        <v>12</v>
      </c>
      <c r="I150" s="3" t="s">
        <v>12</v>
      </c>
      <c r="J150" s="3" t="s">
        <v>12</v>
      </c>
      <c r="K150" s="3">
        <v>0</v>
      </c>
      <c r="L150" s="3" t="s">
        <v>470</v>
      </c>
    </row>
    <row r="151" spans="2:12">
      <c r="B151" s="3" t="s">
        <v>495</v>
      </c>
      <c r="C151" s="7"/>
      <c r="D151" s="5"/>
      <c r="E151" s="3"/>
      <c r="F151" s="3"/>
      <c r="G151" s="3"/>
      <c r="H151" s="3"/>
      <c r="I151" s="3"/>
      <c r="J151" s="3"/>
      <c r="K151" s="3"/>
      <c r="L151" s="4">
        <v>46002</v>
      </c>
    </row>
    <row r="152" spans="2:12">
      <c r="B152" s="2">
        <v>48183</v>
      </c>
      <c r="C152" s="7" t="s">
        <v>361</v>
      </c>
      <c r="D152" s="5"/>
      <c r="E152" s="3" t="s">
        <v>12</v>
      </c>
      <c r="F152" s="3" t="s">
        <v>12</v>
      </c>
      <c r="G152" s="3">
        <v>4.0629999999999997</v>
      </c>
      <c r="H152" s="3" t="s">
        <v>12</v>
      </c>
      <c r="I152" s="3" t="s">
        <v>12</v>
      </c>
      <c r="J152" s="3" t="s">
        <v>12</v>
      </c>
      <c r="K152" s="3">
        <v>0</v>
      </c>
      <c r="L152" s="3" t="s">
        <v>497</v>
      </c>
    </row>
    <row r="153" spans="2:12">
      <c r="B153" s="3" t="s">
        <v>496</v>
      </c>
      <c r="C153" s="7"/>
      <c r="D153" s="5"/>
      <c r="E153" s="3"/>
      <c r="F153" s="3"/>
      <c r="G153" s="3"/>
      <c r="H153" s="3"/>
      <c r="I153" s="3"/>
      <c r="J153" s="3"/>
      <c r="K153" s="3"/>
      <c r="L153" s="4">
        <v>46002</v>
      </c>
    </row>
    <row r="154" spans="2:12">
      <c r="B154" s="2">
        <v>48214</v>
      </c>
      <c r="C154" s="7" t="s">
        <v>361</v>
      </c>
      <c r="D154" s="5"/>
      <c r="E154" s="3" t="s">
        <v>12</v>
      </c>
      <c r="F154" s="3" t="s">
        <v>12</v>
      </c>
      <c r="G154" s="3">
        <v>4.3540000000000001</v>
      </c>
      <c r="H154" s="3" t="s">
        <v>12</v>
      </c>
      <c r="I154" s="3" t="s">
        <v>12</v>
      </c>
      <c r="J154" s="3" t="s">
        <v>12</v>
      </c>
      <c r="K154" s="3">
        <v>0</v>
      </c>
      <c r="L154" s="3" t="s">
        <v>490</v>
      </c>
    </row>
    <row r="155" spans="2:12">
      <c r="B155" s="3" t="s">
        <v>498</v>
      </c>
      <c r="C155" s="7"/>
      <c r="D155" s="5"/>
      <c r="E155" s="3"/>
      <c r="F155" s="3"/>
      <c r="G155" s="3"/>
      <c r="H155" s="3"/>
      <c r="I155" s="3"/>
      <c r="J155" s="3"/>
      <c r="K155" s="3"/>
      <c r="L155" s="4">
        <v>46002</v>
      </c>
    </row>
    <row r="156" spans="2:12">
      <c r="B156" s="2">
        <v>48245</v>
      </c>
      <c r="C156" s="7" t="s">
        <v>361</v>
      </c>
      <c r="D156" s="5"/>
      <c r="E156" s="3" t="s">
        <v>12</v>
      </c>
      <c r="F156" s="3" t="s">
        <v>12</v>
      </c>
      <c r="G156" s="3">
        <v>4.0490000000000004</v>
      </c>
      <c r="H156" s="3" t="s">
        <v>12</v>
      </c>
      <c r="I156" s="3" t="s">
        <v>12</v>
      </c>
      <c r="J156" s="3" t="s">
        <v>12</v>
      </c>
      <c r="K156" s="3">
        <v>0</v>
      </c>
      <c r="L156" s="3" t="s">
        <v>460</v>
      </c>
    </row>
    <row r="157" spans="2:12">
      <c r="B157" s="3" t="s">
        <v>499</v>
      </c>
      <c r="C157" s="7"/>
      <c r="D157" s="5"/>
      <c r="E157" s="3"/>
      <c r="F157" s="3"/>
      <c r="G157" s="3"/>
      <c r="H157" s="3"/>
      <c r="I157" s="3"/>
      <c r="J157" s="3"/>
      <c r="K157" s="3"/>
      <c r="L157" s="4">
        <v>46002</v>
      </c>
    </row>
    <row r="158" spans="2:12">
      <c r="B158" s="2">
        <v>48274</v>
      </c>
      <c r="C158" s="7" t="s">
        <v>361</v>
      </c>
      <c r="D158" s="5"/>
      <c r="E158" s="3" t="s">
        <v>12</v>
      </c>
      <c r="F158" s="3" t="s">
        <v>12</v>
      </c>
      <c r="G158" s="3">
        <v>3.3690000000000002</v>
      </c>
      <c r="H158" s="3" t="s">
        <v>12</v>
      </c>
      <c r="I158" s="3" t="s">
        <v>12</v>
      </c>
      <c r="J158" s="3" t="s">
        <v>12</v>
      </c>
      <c r="K158" s="3">
        <v>0</v>
      </c>
      <c r="L158" s="3" t="s">
        <v>470</v>
      </c>
    </row>
    <row r="159" spans="2:12">
      <c r="B159" s="3" t="s">
        <v>500</v>
      </c>
      <c r="C159" s="7"/>
      <c r="D159" s="5"/>
      <c r="E159" s="3"/>
      <c r="F159" s="3"/>
      <c r="G159" s="3"/>
      <c r="H159" s="3"/>
      <c r="I159" s="3"/>
      <c r="J159" s="3"/>
      <c r="K159" s="3"/>
      <c r="L159" s="4">
        <v>46002</v>
      </c>
    </row>
    <row r="160" spans="2:12">
      <c r="B160" s="2">
        <v>48305</v>
      </c>
      <c r="C160" s="7" t="s">
        <v>361</v>
      </c>
      <c r="D160" s="5"/>
      <c r="E160" s="3" t="s">
        <v>12</v>
      </c>
      <c r="F160" s="3" t="s">
        <v>12</v>
      </c>
      <c r="G160" s="3">
        <v>2.88</v>
      </c>
      <c r="H160" s="3" t="s">
        <v>12</v>
      </c>
      <c r="I160" s="3" t="s">
        <v>12</v>
      </c>
      <c r="J160" s="3" t="s">
        <v>12</v>
      </c>
      <c r="K160" s="3">
        <v>0</v>
      </c>
      <c r="L160" s="3" t="s">
        <v>490</v>
      </c>
    </row>
    <row r="161" spans="2:12">
      <c r="B161" s="3" t="s">
        <v>501</v>
      </c>
      <c r="C161" s="7"/>
      <c r="D161" s="5"/>
      <c r="E161" s="3"/>
      <c r="F161" s="3"/>
      <c r="G161" s="3"/>
      <c r="H161" s="3"/>
      <c r="I161" s="3"/>
      <c r="J161" s="3"/>
      <c r="K161" s="3"/>
      <c r="L161" s="4">
        <v>46002</v>
      </c>
    </row>
    <row r="162" spans="2:12">
      <c r="B162" s="2">
        <v>48335</v>
      </c>
      <c r="C162" s="7" t="s">
        <v>361</v>
      </c>
      <c r="D162" s="5"/>
      <c r="E162" s="3" t="s">
        <v>12</v>
      </c>
      <c r="F162" s="3" t="s">
        <v>12</v>
      </c>
      <c r="G162" s="3">
        <v>2.8610000000000002</v>
      </c>
      <c r="H162" s="3" t="s">
        <v>12</v>
      </c>
      <c r="I162" s="3" t="s">
        <v>12</v>
      </c>
      <c r="J162" s="3" t="s">
        <v>12</v>
      </c>
      <c r="K162" s="3">
        <v>0</v>
      </c>
      <c r="L162" s="3" t="s">
        <v>470</v>
      </c>
    </row>
    <row r="163" spans="2:12">
      <c r="B163" s="3" t="s">
        <v>502</v>
      </c>
      <c r="C163" s="7"/>
      <c r="D163" s="5"/>
      <c r="E163" s="3"/>
      <c r="F163" s="3"/>
      <c r="G163" s="3"/>
      <c r="H163" s="3"/>
      <c r="I163" s="3"/>
      <c r="J163" s="3"/>
      <c r="K163" s="3"/>
      <c r="L163" s="4">
        <v>46002</v>
      </c>
    </row>
    <row r="164" spans="2:12">
      <c r="B164" s="2">
        <v>48366</v>
      </c>
      <c r="C164" s="7" t="s">
        <v>361</v>
      </c>
      <c r="D164" s="5"/>
      <c r="E164" s="3" t="s">
        <v>12</v>
      </c>
      <c r="F164" s="3" t="s">
        <v>12</v>
      </c>
      <c r="G164" s="3">
        <v>2.9969999999999999</v>
      </c>
      <c r="H164" s="3" t="s">
        <v>12</v>
      </c>
      <c r="I164" s="3" t="s">
        <v>12</v>
      </c>
      <c r="J164" s="3" t="s">
        <v>12</v>
      </c>
      <c r="K164" s="3">
        <v>0</v>
      </c>
      <c r="L164" s="3" t="s">
        <v>470</v>
      </c>
    </row>
    <row r="165" spans="2:12">
      <c r="B165" s="3" t="s">
        <v>503</v>
      </c>
      <c r="C165" s="7"/>
      <c r="D165" s="5"/>
      <c r="E165" s="3"/>
      <c r="F165" s="3"/>
      <c r="G165" s="3"/>
      <c r="H165" s="3"/>
      <c r="I165" s="3"/>
      <c r="J165" s="3"/>
      <c r="K165" s="3"/>
      <c r="L165" s="4">
        <v>46002</v>
      </c>
    </row>
    <row r="166" spans="2:12">
      <c r="B166" s="2">
        <v>48396</v>
      </c>
      <c r="C166" s="7" t="s">
        <v>361</v>
      </c>
      <c r="D166" s="5"/>
      <c r="E166" s="3" t="s">
        <v>12</v>
      </c>
      <c r="F166" s="3" t="s">
        <v>12</v>
      </c>
      <c r="G166" s="3">
        <v>3.157</v>
      </c>
      <c r="H166" s="3" t="s">
        <v>12</v>
      </c>
      <c r="I166" s="3" t="s">
        <v>12</v>
      </c>
      <c r="J166" s="3" t="s">
        <v>12</v>
      </c>
      <c r="K166" s="3">
        <v>0</v>
      </c>
      <c r="L166" s="3" t="s">
        <v>462</v>
      </c>
    </row>
    <row r="167" spans="2:12">
      <c r="B167" s="3" t="s">
        <v>504</v>
      </c>
      <c r="C167" s="7"/>
      <c r="D167" s="5"/>
      <c r="E167" s="3"/>
      <c r="F167" s="3"/>
      <c r="G167" s="3"/>
      <c r="H167" s="3"/>
      <c r="I167" s="3"/>
      <c r="J167" s="3"/>
      <c r="K167" s="3"/>
      <c r="L167" s="4">
        <v>46002</v>
      </c>
    </row>
    <row r="168" spans="2:12">
      <c r="B168" s="2">
        <v>48427</v>
      </c>
      <c r="C168" s="7" t="s">
        <v>361</v>
      </c>
      <c r="D168" s="5"/>
      <c r="E168" s="3" t="s">
        <v>12</v>
      </c>
      <c r="F168" s="3" t="s">
        <v>12</v>
      </c>
      <c r="G168" s="3">
        <v>3.2170000000000001</v>
      </c>
      <c r="H168" s="3" t="s">
        <v>12</v>
      </c>
      <c r="I168" s="3" t="s">
        <v>12</v>
      </c>
      <c r="J168" s="3" t="s">
        <v>12</v>
      </c>
      <c r="K168" s="3">
        <v>0</v>
      </c>
      <c r="L168" s="3" t="s">
        <v>460</v>
      </c>
    </row>
    <row r="169" spans="2:12">
      <c r="B169" s="3" t="s">
        <v>505</v>
      </c>
      <c r="C169" s="7"/>
      <c r="D169" s="5"/>
      <c r="E169" s="3"/>
      <c r="F169" s="3"/>
      <c r="G169" s="3"/>
      <c r="H169" s="3"/>
      <c r="I169" s="3"/>
      <c r="J169" s="3"/>
      <c r="K169" s="3"/>
      <c r="L169" s="4">
        <v>46002</v>
      </c>
    </row>
    <row r="170" spans="2:12">
      <c r="B170" s="2">
        <v>48458</v>
      </c>
      <c r="C170" s="7" t="s">
        <v>361</v>
      </c>
      <c r="D170" s="5"/>
      <c r="E170" s="3" t="s">
        <v>12</v>
      </c>
      <c r="F170" s="3" t="s">
        <v>12</v>
      </c>
      <c r="G170" s="3">
        <v>3.1890000000000001</v>
      </c>
      <c r="H170" s="3" t="s">
        <v>12</v>
      </c>
      <c r="I170" s="3" t="s">
        <v>12</v>
      </c>
      <c r="J170" s="3" t="s">
        <v>12</v>
      </c>
      <c r="K170" s="3">
        <v>0</v>
      </c>
      <c r="L170" s="3" t="s">
        <v>490</v>
      </c>
    </row>
    <row r="171" spans="2:12">
      <c r="B171" s="3" t="s">
        <v>506</v>
      </c>
      <c r="C171" s="7"/>
      <c r="D171" s="5"/>
      <c r="E171" s="3"/>
      <c r="F171" s="3"/>
      <c r="G171" s="3"/>
      <c r="H171" s="3"/>
      <c r="I171" s="3"/>
      <c r="J171" s="3"/>
      <c r="K171" s="3"/>
      <c r="L171" s="4">
        <v>46002</v>
      </c>
    </row>
    <row r="172" spans="2:12">
      <c r="B172" s="2">
        <v>48488</v>
      </c>
      <c r="C172" s="7" t="s">
        <v>361</v>
      </c>
      <c r="D172" s="5"/>
      <c r="E172" s="3" t="s">
        <v>12</v>
      </c>
      <c r="F172" s="3" t="s">
        <v>12</v>
      </c>
      <c r="G172" s="3">
        <v>3.2589999999999999</v>
      </c>
      <c r="H172" s="3" t="s">
        <v>12</v>
      </c>
      <c r="I172" s="3" t="s">
        <v>12</v>
      </c>
      <c r="J172" s="3" t="s">
        <v>12</v>
      </c>
      <c r="K172" s="3">
        <v>0</v>
      </c>
      <c r="L172" s="3" t="s">
        <v>470</v>
      </c>
    </row>
    <row r="173" spans="2:12">
      <c r="B173" s="3" t="s">
        <v>507</v>
      </c>
      <c r="C173" s="7"/>
      <c r="D173" s="5"/>
      <c r="E173" s="3"/>
      <c r="F173" s="3"/>
      <c r="G173" s="3"/>
      <c r="H173" s="3"/>
      <c r="I173" s="3"/>
      <c r="J173" s="3"/>
      <c r="K173" s="3"/>
      <c r="L173" s="4">
        <v>46002</v>
      </c>
    </row>
    <row r="174" spans="2:12">
      <c r="B174" s="2">
        <v>48519</v>
      </c>
      <c r="C174" s="7" t="s">
        <v>361</v>
      </c>
      <c r="D174" s="5"/>
      <c r="E174" s="3" t="s">
        <v>12</v>
      </c>
      <c r="F174" s="3" t="s">
        <v>12</v>
      </c>
      <c r="G174" s="3">
        <v>3.4550000000000001</v>
      </c>
      <c r="H174" s="3" t="s">
        <v>12</v>
      </c>
      <c r="I174" s="3" t="s">
        <v>12</v>
      </c>
      <c r="J174" s="3" t="s">
        <v>12</v>
      </c>
      <c r="K174" s="3">
        <v>0</v>
      </c>
      <c r="L174" s="3" t="s">
        <v>490</v>
      </c>
    </row>
    <row r="175" spans="2:12">
      <c r="B175" s="3" t="s">
        <v>508</v>
      </c>
      <c r="C175" s="7"/>
      <c r="D175" s="5"/>
      <c r="E175" s="3"/>
      <c r="F175" s="3"/>
      <c r="G175" s="3"/>
      <c r="H175" s="3"/>
      <c r="I175" s="3"/>
      <c r="J175" s="3"/>
      <c r="K175" s="3"/>
      <c r="L175" s="4">
        <v>46002</v>
      </c>
    </row>
    <row r="176" spans="2:12">
      <c r="B176" s="2">
        <v>48549</v>
      </c>
      <c r="C176" s="7" t="s">
        <v>361</v>
      </c>
      <c r="D176" s="5"/>
      <c r="E176" s="3" t="s">
        <v>12</v>
      </c>
      <c r="F176" s="3" t="s">
        <v>12</v>
      </c>
      <c r="G176" s="3">
        <v>3.8519999999999999</v>
      </c>
      <c r="H176" s="3" t="s">
        <v>12</v>
      </c>
      <c r="I176" s="3" t="s">
        <v>12</v>
      </c>
      <c r="J176" s="3" t="s">
        <v>12</v>
      </c>
      <c r="K176" s="3">
        <v>0</v>
      </c>
      <c r="L176" s="3" t="s">
        <v>460</v>
      </c>
    </row>
    <row r="177" spans="2:12">
      <c r="B177" s="3" t="s">
        <v>509</v>
      </c>
      <c r="C177" s="7"/>
      <c r="D177" s="5"/>
      <c r="E177" s="3"/>
      <c r="F177" s="3"/>
      <c r="G177" s="3"/>
      <c r="H177" s="3"/>
      <c r="I177" s="3"/>
      <c r="J177" s="3"/>
      <c r="K177" s="3"/>
      <c r="L177" s="4">
        <v>46002</v>
      </c>
    </row>
    <row r="178" spans="2:12">
      <c r="B178" s="2">
        <v>48580</v>
      </c>
      <c r="C178" s="7" t="s">
        <v>361</v>
      </c>
      <c r="D178" s="5"/>
      <c r="E178" s="3" t="s">
        <v>12</v>
      </c>
      <c r="F178" s="3" t="s">
        <v>12</v>
      </c>
      <c r="G178" s="3">
        <v>4.1070000000000002</v>
      </c>
      <c r="H178" s="3" t="s">
        <v>12</v>
      </c>
      <c r="I178" s="3" t="s">
        <v>12</v>
      </c>
      <c r="J178" s="3" t="s">
        <v>12</v>
      </c>
      <c r="K178" s="3">
        <v>0</v>
      </c>
      <c r="L178" s="3" t="s">
        <v>511</v>
      </c>
    </row>
    <row r="179" spans="2:12">
      <c r="B179" s="3" t="s">
        <v>510</v>
      </c>
      <c r="C179" s="7"/>
      <c r="D179" s="5"/>
      <c r="E179" s="3"/>
      <c r="F179" s="3"/>
      <c r="G179" s="3"/>
      <c r="H179" s="3"/>
      <c r="I179" s="3"/>
      <c r="J179" s="3"/>
      <c r="K179" s="3"/>
      <c r="L179" s="4">
        <v>46002</v>
      </c>
    </row>
    <row r="180" spans="2:12">
      <c r="B180" s="2">
        <v>48611</v>
      </c>
      <c r="C180" s="7" t="s">
        <v>361</v>
      </c>
      <c r="D180" s="5"/>
      <c r="E180" s="3" t="s">
        <v>12</v>
      </c>
      <c r="F180" s="3" t="s">
        <v>12</v>
      </c>
      <c r="G180" s="3">
        <v>3.8420000000000001</v>
      </c>
      <c r="H180" s="3" t="s">
        <v>12</v>
      </c>
      <c r="I180" s="3" t="s">
        <v>12</v>
      </c>
      <c r="J180" s="3" t="s">
        <v>12</v>
      </c>
      <c r="K180" s="3">
        <v>0</v>
      </c>
      <c r="L180" s="3" t="s">
        <v>511</v>
      </c>
    </row>
    <row r="181" spans="2:12">
      <c r="B181" s="3" t="s">
        <v>512</v>
      </c>
      <c r="C181" s="7"/>
      <c r="D181" s="5"/>
      <c r="E181" s="3"/>
      <c r="F181" s="3"/>
      <c r="G181" s="3"/>
      <c r="H181" s="3"/>
      <c r="I181" s="3"/>
      <c r="J181" s="3"/>
      <c r="K181" s="3"/>
      <c r="L181" s="4">
        <v>46002</v>
      </c>
    </row>
    <row r="182" spans="2:12">
      <c r="B182" s="2">
        <v>48639</v>
      </c>
      <c r="C182" s="7" t="s">
        <v>361</v>
      </c>
      <c r="D182" s="5"/>
      <c r="E182" s="3" t="s">
        <v>12</v>
      </c>
      <c r="F182" s="3" t="s">
        <v>12</v>
      </c>
      <c r="G182" s="3">
        <v>3.202</v>
      </c>
      <c r="H182" s="3" t="s">
        <v>12</v>
      </c>
      <c r="I182" s="3" t="s">
        <v>12</v>
      </c>
      <c r="J182" s="3" t="s">
        <v>12</v>
      </c>
      <c r="K182" s="3">
        <v>0</v>
      </c>
      <c r="L182" s="3" t="s">
        <v>511</v>
      </c>
    </row>
    <row r="183" spans="2:12">
      <c r="B183" s="3" t="s">
        <v>513</v>
      </c>
      <c r="C183" s="7"/>
      <c r="D183" s="5"/>
      <c r="E183" s="3"/>
      <c r="F183" s="3"/>
      <c r="G183" s="3"/>
      <c r="H183" s="3"/>
      <c r="I183" s="3"/>
      <c r="J183" s="3"/>
      <c r="K183" s="3"/>
      <c r="L183" s="4">
        <v>46002</v>
      </c>
    </row>
    <row r="184" spans="2:12">
      <c r="B184" s="2">
        <v>48670</v>
      </c>
      <c r="C184" s="7" t="s">
        <v>361</v>
      </c>
      <c r="D184" s="5"/>
      <c r="E184" s="3" t="s">
        <v>12</v>
      </c>
      <c r="F184" s="3" t="s">
        <v>12</v>
      </c>
      <c r="G184" s="3">
        <v>2.7869999999999999</v>
      </c>
      <c r="H184" s="3" t="s">
        <v>12</v>
      </c>
      <c r="I184" s="3" t="s">
        <v>12</v>
      </c>
      <c r="J184" s="3" t="s">
        <v>12</v>
      </c>
      <c r="K184" s="3">
        <v>0</v>
      </c>
      <c r="L184" s="3" t="s">
        <v>470</v>
      </c>
    </row>
    <row r="185" spans="2:12">
      <c r="B185" s="3" t="s">
        <v>514</v>
      </c>
      <c r="C185" s="7"/>
      <c r="D185" s="5"/>
      <c r="E185" s="3"/>
      <c r="F185" s="3"/>
      <c r="G185" s="3"/>
      <c r="H185" s="3"/>
      <c r="I185" s="3"/>
      <c r="J185" s="3"/>
      <c r="K185" s="3"/>
      <c r="L185" s="4">
        <v>46002</v>
      </c>
    </row>
    <row r="186" spans="2:12">
      <c r="B186" s="2">
        <v>48700</v>
      </c>
      <c r="C186" s="7" t="s">
        <v>361</v>
      </c>
      <c r="D186" s="5"/>
      <c r="E186" s="3" t="s">
        <v>12</v>
      </c>
      <c r="F186" s="3" t="s">
        <v>12</v>
      </c>
      <c r="G186" s="3">
        <v>2.7869999999999999</v>
      </c>
      <c r="H186" s="3" t="s">
        <v>12</v>
      </c>
      <c r="I186" s="3" t="s">
        <v>12</v>
      </c>
      <c r="J186" s="3" t="s">
        <v>12</v>
      </c>
      <c r="K186" s="3">
        <v>0</v>
      </c>
      <c r="L186" s="3" t="s">
        <v>516</v>
      </c>
    </row>
    <row r="187" spans="2:12">
      <c r="B187" s="3" t="s">
        <v>515</v>
      </c>
      <c r="C187" s="7"/>
      <c r="D187" s="5"/>
      <c r="E187" s="3"/>
      <c r="F187" s="3"/>
      <c r="G187" s="3"/>
      <c r="H187" s="3"/>
      <c r="I187" s="3"/>
      <c r="J187" s="3"/>
      <c r="K187" s="3"/>
      <c r="L187" s="4">
        <v>46002</v>
      </c>
    </row>
    <row r="188" spans="2:12">
      <c r="B188" s="2">
        <v>48731</v>
      </c>
      <c r="C188" s="7" t="s">
        <v>361</v>
      </c>
      <c r="D188" s="5"/>
      <c r="E188" s="3" t="s">
        <v>12</v>
      </c>
      <c r="F188" s="3" t="s">
        <v>12</v>
      </c>
      <c r="G188" s="3">
        <v>2.9470000000000001</v>
      </c>
      <c r="H188" s="3" t="s">
        <v>12</v>
      </c>
      <c r="I188" s="3" t="s">
        <v>12</v>
      </c>
      <c r="J188" s="3" t="s">
        <v>12</v>
      </c>
      <c r="K188" s="3">
        <v>0</v>
      </c>
      <c r="L188" s="3" t="s">
        <v>511</v>
      </c>
    </row>
    <row r="189" spans="2:12">
      <c r="B189" s="3" t="s">
        <v>517</v>
      </c>
      <c r="C189" s="7"/>
      <c r="D189" s="5"/>
      <c r="E189" s="3"/>
      <c r="F189" s="3"/>
      <c r="G189" s="3"/>
      <c r="H189" s="3"/>
      <c r="I189" s="3"/>
      <c r="J189" s="3"/>
      <c r="K189" s="3"/>
      <c r="L189" s="4">
        <v>46002</v>
      </c>
    </row>
    <row r="190" spans="2:12">
      <c r="B190" s="2">
        <v>48761</v>
      </c>
      <c r="C190" s="7" t="s">
        <v>361</v>
      </c>
      <c r="D190" s="5"/>
      <c r="E190" s="3" t="s">
        <v>12</v>
      </c>
      <c r="F190" s="3" t="s">
        <v>12</v>
      </c>
      <c r="G190" s="3">
        <v>3.1269999999999998</v>
      </c>
      <c r="H190" s="3" t="s">
        <v>12</v>
      </c>
      <c r="I190" s="3" t="s">
        <v>12</v>
      </c>
      <c r="J190" s="3" t="s">
        <v>12</v>
      </c>
      <c r="K190" s="3">
        <v>0</v>
      </c>
      <c r="L190" s="3" t="s">
        <v>511</v>
      </c>
    </row>
    <row r="191" spans="2:12">
      <c r="B191" s="3" t="s">
        <v>518</v>
      </c>
      <c r="C191" s="7"/>
      <c r="D191" s="5"/>
      <c r="E191" s="3"/>
      <c r="F191" s="3"/>
      <c r="G191" s="3"/>
      <c r="H191" s="3"/>
      <c r="I191" s="3"/>
      <c r="J191" s="3"/>
      <c r="K191" s="3"/>
      <c r="L191" s="4">
        <v>46002</v>
      </c>
    </row>
    <row r="192" spans="2:12">
      <c r="B192" s="2">
        <v>48792</v>
      </c>
      <c r="C192" s="7" t="s">
        <v>361</v>
      </c>
      <c r="D192" s="5"/>
      <c r="E192" s="3" t="s">
        <v>12</v>
      </c>
      <c r="F192" s="3" t="s">
        <v>12</v>
      </c>
      <c r="G192" s="3">
        <v>3.1970000000000001</v>
      </c>
      <c r="H192" s="3" t="s">
        <v>12</v>
      </c>
      <c r="I192" s="3" t="s">
        <v>12</v>
      </c>
      <c r="J192" s="3" t="s">
        <v>12</v>
      </c>
      <c r="K192" s="3">
        <v>0</v>
      </c>
      <c r="L192" s="3" t="s">
        <v>511</v>
      </c>
    </row>
    <row r="193" spans="2:12">
      <c r="B193" s="3" t="s">
        <v>519</v>
      </c>
      <c r="C193" s="7"/>
      <c r="D193" s="5"/>
      <c r="E193" s="3"/>
      <c r="F193" s="3"/>
      <c r="G193" s="3"/>
      <c r="H193" s="3"/>
      <c r="I193" s="3"/>
      <c r="J193" s="3"/>
      <c r="K193" s="3"/>
      <c r="L193" s="4">
        <v>46002</v>
      </c>
    </row>
    <row r="194" spans="2:12">
      <c r="B194" s="2">
        <v>48823</v>
      </c>
      <c r="C194" s="7" t="s">
        <v>361</v>
      </c>
      <c r="D194" s="5"/>
      <c r="E194" s="3" t="s">
        <v>12</v>
      </c>
      <c r="F194" s="3" t="s">
        <v>12</v>
      </c>
      <c r="G194" s="3">
        <v>3.1720000000000002</v>
      </c>
      <c r="H194" s="3" t="s">
        <v>12</v>
      </c>
      <c r="I194" s="3" t="s">
        <v>12</v>
      </c>
      <c r="J194" s="3" t="s">
        <v>12</v>
      </c>
      <c r="K194" s="3">
        <v>0</v>
      </c>
      <c r="L194" s="3" t="s">
        <v>511</v>
      </c>
    </row>
    <row r="195" spans="2:12">
      <c r="B195" s="3" t="s">
        <v>520</v>
      </c>
      <c r="C195" s="7"/>
      <c r="D195" s="5"/>
      <c r="E195" s="3"/>
      <c r="F195" s="3"/>
      <c r="G195" s="3"/>
      <c r="H195" s="3"/>
      <c r="I195" s="3"/>
      <c r="J195" s="3"/>
      <c r="K195" s="3"/>
      <c r="L195" s="4">
        <v>46002</v>
      </c>
    </row>
    <row r="196" spans="2:12">
      <c r="B196" s="2">
        <v>48853</v>
      </c>
      <c r="C196" s="7" t="s">
        <v>361</v>
      </c>
      <c r="D196" s="5"/>
      <c r="E196" s="3" t="s">
        <v>12</v>
      </c>
      <c r="F196" s="3" t="s">
        <v>12</v>
      </c>
      <c r="G196" s="3">
        <v>3.2469999999999999</v>
      </c>
      <c r="H196" s="3" t="s">
        <v>12</v>
      </c>
      <c r="I196" s="3" t="s">
        <v>12</v>
      </c>
      <c r="J196" s="3" t="s">
        <v>12</v>
      </c>
      <c r="K196" s="3">
        <v>0</v>
      </c>
      <c r="L196" s="3" t="s">
        <v>516</v>
      </c>
    </row>
    <row r="197" spans="2:12">
      <c r="B197" s="3" t="s">
        <v>521</v>
      </c>
      <c r="C197" s="7"/>
      <c r="D197" s="5"/>
      <c r="E197" s="3"/>
      <c r="F197" s="3"/>
      <c r="G197" s="3"/>
      <c r="H197" s="3"/>
      <c r="I197" s="3"/>
      <c r="J197" s="3"/>
      <c r="K197" s="3"/>
      <c r="L197" s="4">
        <v>46002</v>
      </c>
    </row>
    <row r="198" spans="2:12">
      <c r="B198" s="2">
        <v>48884</v>
      </c>
      <c r="C198" s="7" t="s">
        <v>361</v>
      </c>
      <c r="D198" s="5"/>
      <c r="E198" s="3" t="s">
        <v>12</v>
      </c>
      <c r="F198" s="3" t="s">
        <v>12</v>
      </c>
      <c r="G198" s="3">
        <v>3.5070000000000001</v>
      </c>
      <c r="H198" s="3" t="s">
        <v>12</v>
      </c>
      <c r="I198" s="3" t="s">
        <v>12</v>
      </c>
      <c r="J198" s="3" t="s">
        <v>12</v>
      </c>
      <c r="K198" s="3">
        <v>0</v>
      </c>
      <c r="L198" s="3" t="s">
        <v>511</v>
      </c>
    </row>
    <row r="199" spans="2:12">
      <c r="B199" s="3" t="s">
        <v>522</v>
      </c>
      <c r="C199" s="7"/>
      <c r="D199" s="5"/>
      <c r="E199" s="3"/>
      <c r="F199" s="3"/>
      <c r="G199" s="3"/>
      <c r="H199" s="3"/>
      <c r="I199" s="3"/>
      <c r="J199" s="3"/>
      <c r="K199" s="3"/>
      <c r="L199" s="4">
        <v>46002</v>
      </c>
    </row>
    <row r="200" spans="2:12">
      <c r="B200" s="2">
        <v>48914</v>
      </c>
      <c r="C200" s="7" t="s">
        <v>361</v>
      </c>
      <c r="D200" s="5"/>
      <c r="E200" s="3" t="s">
        <v>12</v>
      </c>
      <c r="F200" s="3" t="s">
        <v>12</v>
      </c>
      <c r="G200" s="3">
        <v>3.9369999999999998</v>
      </c>
      <c r="H200" s="3" t="s">
        <v>12</v>
      </c>
      <c r="I200" s="3" t="s">
        <v>12</v>
      </c>
      <c r="J200" s="3" t="s">
        <v>12</v>
      </c>
      <c r="K200" s="3">
        <v>0</v>
      </c>
      <c r="L200" s="3" t="s">
        <v>511</v>
      </c>
    </row>
    <row r="201" spans="2:12">
      <c r="B201" s="3" t="s">
        <v>523</v>
      </c>
      <c r="C201" s="7"/>
      <c r="D201" s="5"/>
      <c r="E201" s="3"/>
      <c r="F201" s="3"/>
      <c r="G201" s="3"/>
      <c r="H201" s="3"/>
      <c r="I201" s="3"/>
      <c r="J201" s="3"/>
      <c r="K201" s="3"/>
      <c r="L201" s="4">
        <v>46002</v>
      </c>
    </row>
    <row r="202" spans="2:12">
      <c r="B202" s="2">
        <v>48945</v>
      </c>
      <c r="C202" s="7" t="s">
        <v>361</v>
      </c>
      <c r="D202" s="5"/>
      <c r="E202" s="3" t="s">
        <v>12</v>
      </c>
      <c r="F202" s="3" t="s">
        <v>12</v>
      </c>
      <c r="G202" s="3">
        <v>4.1920000000000002</v>
      </c>
      <c r="H202" s="3" t="s">
        <v>12</v>
      </c>
      <c r="I202" s="3" t="s">
        <v>12</v>
      </c>
      <c r="J202" s="3" t="s">
        <v>12</v>
      </c>
      <c r="K202" s="3">
        <v>0</v>
      </c>
      <c r="L202" s="3" t="s">
        <v>511</v>
      </c>
    </row>
    <row r="203" spans="2:12">
      <c r="B203" s="3" t="s">
        <v>524</v>
      </c>
      <c r="C203" s="7"/>
      <c r="D203" s="5"/>
      <c r="E203" s="3"/>
      <c r="F203" s="3"/>
      <c r="G203" s="3"/>
      <c r="H203" s="3"/>
      <c r="I203" s="3"/>
      <c r="J203" s="3"/>
      <c r="K203" s="3"/>
      <c r="L203" s="4">
        <v>46002</v>
      </c>
    </row>
    <row r="204" spans="2:12">
      <c r="B204" s="2">
        <v>48976</v>
      </c>
      <c r="C204" s="7" t="s">
        <v>361</v>
      </c>
      <c r="D204" s="5"/>
      <c r="E204" s="3" t="s">
        <v>12</v>
      </c>
      <c r="F204" s="3" t="s">
        <v>12</v>
      </c>
      <c r="G204" s="3">
        <v>3.9220000000000002</v>
      </c>
      <c r="H204" s="3" t="s">
        <v>12</v>
      </c>
      <c r="I204" s="3" t="s">
        <v>12</v>
      </c>
      <c r="J204" s="3" t="s">
        <v>12</v>
      </c>
      <c r="K204" s="3">
        <v>0</v>
      </c>
      <c r="L204" s="3" t="s">
        <v>511</v>
      </c>
    </row>
    <row r="205" spans="2:12">
      <c r="B205" s="3" t="s">
        <v>525</v>
      </c>
      <c r="C205" s="7"/>
      <c r="D205" s="5"/>
      <c r="E205" s="3"/>
      <c r="F205" s="3"/>
      <c r="G205" s="3"/>
      <c r="H205" s="3"/>
      <c r="I205" s="3"/>
      <c r="J205" s="3"/>
      <c r="K205" s="3"/>
      <c r="L205" s="4">
        <v>46002</v>
      </c>
    </row>
    <row r="206" spans="2:12">
      <c r="B206" s="2">
        <v>49004</v>
      </c>
      <c r="C206" s="7" t="s">
        <v>361</v>
      </c>
      <c r="D206" s="5"/>
      <c r="E206" s="3" t="s">
        <v>12</v>
      </c>
      <c r="F206" s="3" t="s">
        <v>12</v>
      </c>
      <c r="G206" s="3">
        <v>3.3220000000000001</v>
      </c>
      <c r="H206" s="3" t="s">
        <v>12</v>
      </c>
      <c r="I206" s="3" t="s">
        <v>12</v>
      </c>
      <c r="J206" s="3" t="s">
        <v>12</v>
      </c>
      <c r="K206" s="3">
        <v>0</v>
      </c>
      <c r="L206" s="3" t="s">
        <v>511</v>
      </c>
    </row>
    <row r="207" spans="2:12">
      <c r="B207" s="3" t="s">
        <v>526</v>
      </c>
      <c r="C207" s="7"/>
      <c r="D207" s="5"/>
      <c r="E207" s="3"/>
      <c r="F207" s="3"/>
      <c r="G207" s="3"/>
      <c r="H207" s="3"/>
      <c r="I207" s="3"/>
      <c r="J207" s="3"/>
      <c r="K207" s="3"/>
      <c r="L207" s="4">
        <v>46002</v>
      </c>
    </row>
    <row r="208" spans="2:12">
      <c r="B208" s="2">
        <v>49035</v>
      </c>
      <c r="C208" s="7" t="s">
        <v>361</v>
      </c>
      <c r="D208" s="5"/>
      <c r="E208" s="3" t="s">
        <v>12</v>
      </c>
      <c r="F208" s="3" t="s">
        <v>12</v>
      </c>
      <c r="G208" s="3">
        <v>2.9220000000000002</v>
      </c>
      <c r="H208" s="3" t="s">
        <v>12</v>
      </c>
      <c r="I208" s="3" t="s">
        <v>12</v>
      </c>
      <c r="J208" s="3" t="s">
        <v>12</v>
      </c>
      <c r="K208" s="3">
        <v>0</v>
      </c>
      <c r="L208" s="3" t="s">
        <v>511</v>
      </c>
    </row>
    <row r="209" spans="2:12">
      <c r="B209" s="3" t="s">
        <v>527</v>
      </c>
      <c r="C209" s="7"/>
      <c r="D209" s="5"/>
      <c r="E209" s="3"/>
      <c r="F209" s="3"/>
      <c r="G209" s="3"/>
      <c r="H209" s="3"/>
      <c r="I209" s="3"/>
      <c r="J209" s="3"/>
      <c r="K209" s="3"/>
      <c r="L209" s="4">
        <v>46002</v>
      </c>
    </row>
    <row r="210" spans="2:12">
      <c r="B210" s="2">
        <v>49065</v>
      </c>
      <c r="C210" s="7" t="s">
        <v>361</v>
      </c>
      <c r="D210" s="5"/>
      <c r="E210" s="3" t="s">
        <v>12</v>
      </c>
      <c r="F210" s="3" t="s">
        <v>12</v>
      </c>
      <c r="G210" s="3">
        <v>2.952</v>
      </c>
      <c r="H210" s="3" t="s">
        <v>12</v>
      </c>
      <c r="I210" s="3" t="s">
        <v>12</v>
      </c>
      <c r="J210" s="3" t="s">
        <v>12</v>
      </c>
      <c r="K210" s="3">
        <v>0</v>
      </c>
      <c r="L210" s="3" t="s">
        <v>511</v>
      </c>
    </row>
    <row r="211" spans="2:12">
      <c r="B211" s="3" t="s">
        <v>528</v>
      </c>
      <c r="C211" s="7"/>
      <c r="D211" s="5"/>
      <c r="E211" s="3"/>
      <c r="F211" s="3"/>
      <c r="G211" s="3"/>
      <c r="H211" s="3"/>
      <c r="I211" s="3"/>
      <c r="J211" s="3"/>
      <c r="K211" s="3"/>
      <c r="L211" s="4">
        <v>46002</v>
      </c>
    </row>
    <row r="212" spans="2:12">
      <c r="B212" s="2">
        <v>49096</v>
      </c>
      <c r="C212" s="7" t="s">
        <v>361</v>
      </c>
      <c r="D212" s="5"/>
      <c r="E212" s="3" t="s">
        <v>12</v>
      </c>
      <c r="F212" s="3" t="s">
        <v>12</v>
      </c>
      <c r="G212" s="3">
        <v>3.0819999999999999</v>
      </c>
      <c r="H212" s="3" t="s">
        <v>12</v>
      </c>
      <c r="I212" s="3" t="s">
        <v>12</v>
      </c>
      <c r="J212" s="3" t="s">
        <v>12</v>
      </c>
      <c r="K212" s="3">
        <v>0</v>
      </c>
      <c r="L212" s="3" t="s">
        <v>511</v>
      </c>
    </row>
    <row r="213" spans="2:12">
      <c r="B213" s="3" t="s">
        <v>529</v>
      </c>
      <c r="C213" s="7"/>
      <c r="D213" s="5"/>
      <c r="E213" s="3"/>
      <c r="F213" s="3"/>
      <c r="G213" s="3"/>
      <c r="H213" s="3"/>
      <c r="I213" s="3"/>
      <c r="J213" s="3"/>
      <c r="K213" s="3"/>
      <c r="L213" s="4">
        <v>46002</v>
      </c>
    </row>
    <row r="214" spans="2:12">
      <c r="B214" s="2">
        <v>49126</v>
      </c>
      <c r="C214" s="7" t="s">
        <v>361</v>
      </c>
      <c r="D214" s="5"/>
      <c r="E214" s="3" t="s">
        <v>12</v>
      </c>
      <c r="F214" s="3" t="s">
        <v>12</v>
      </c>
      <c r="G214" s="3">
        <v>3.2269999999999999</v>
      </c>
      <c r="H214" s="3" t="s">
        <v>12</v>
      </c>
      <c r="I214" s="3" t="s">
        <v>12</v>
      </c>
      <c r="J214" s="3" t="s">
        <v>12</v>
      </c>
      <c r="K214" s="3">
        <v>0</v>
      </c>
      <c r="L214" s="3" t="s">
        <v>511</v>
      </c>
    </row>
    <row r="215" spans="2:12">
      <c r="B215" s="3" t="s">
        <v>530</v>
      </c>
      <c r="C215" s="7"/>
      <c r="D215" s="5"/>
      <c r="E215" s="3"/>
      <c r="F215" s="3"/>
      <c r="G215" s="3"/>
      <c r="H215" s="3"/>
      <c r="I215" s="3"/>
      <c r="J215" s="3"/>
      <c r="K215" s="3"/>
      <c r="L215" s="4">
        <v>46002</v>
      </c>
    </row>
    <row r="216" spans="2:12">
      <c r="B216" s="2">
        <v>49157</v>
      </c>
      <c r="C216" s="7" t="s">
        <v>361</v>
      </c>
      <c r="D216" s="5"/>
      <c r="E216" s="3" t="s">
        <v>12</v>
      </c>
      <c r="F216" s="3" t="s">
        <v>12</v>
      </c>
      <c r="G216" s="3">
        <v>3.2669999999999999</v>
      </c>
      <c r="H216" s="3" t="s">
        <v>12</v>
      </c>
      <c r="I216" s="3" t="s">
        <v>12</v>
      </c>
      <c r="J216" s="3" t="s">
        <v>12</v>
      </c>
      <c r="K216" s="3">
        <v>0</v>
      </c>
      <c r="L216" s="3" t="s">
        <v>511</v>
      </c>
    </row>
    <row r="217" spans="2:12">
      <c r="B217" s="3" t="s">
        <v>531</v>
      </c>
      <c r="C217" s="7"/>
      <c r="D217" s="5"/>
      <c r="E217" s="3"/>
      <c r="F217" s="3"/>
      <c r="G217" s="3"/>
      <c r="H217" s="3"/>
      <c r="I217" s="3"/>
      <c r="J217" s="3"/>
      <c r="K217" s="3"/>
      <c r="L217" s="4">
        <v>46002</v>
      </c>
    </row>
    <row r="218" spans="2:12">
      <c r="B218" s="2">
        <v>49188</v>
      </c>
      <c r="C218" s="7" t="s">
        <v>361</v>
      </c>
      <c r="D218" s="5"/>
      <c r="E218" s="3" t="s">
        <v>12</v>
      </c>
      <c r="F218" s="3" t="s">
        <v>12</v>
      </c>
      <c r="G218" s="3">
        <v>3.282</v>
      </c>
      <c r="H218" s="3" t="s">
        <v>12</v>
      </c>
      <c r="I218" s="3" t="s">
        <v>12</v>
      </c>
      <c r="J218" s="3" t="s">
        <v>12</v>
      </c>
      <c r="K218" s="3">
        <v>0</v>
      </c>
      <c r="L218" s="3" t="s">
        <v>511</v>
      </c>
    </row>
    <row r="219" spans="2:12">
      <c r="B219" s="3" t="s">
        <v>532</v>
      </c>
      <c r="C219" s="7"/>
      <c r="D219" s="5"/>
      <c r="E219" s="3"/>
      <c r="F219" s="3"/>
      <c r="G219" s="3"/>
      <c r="H219" s="3"/>
      <c r="I219" s="3"/>
      <c r="J219" s="3"/>
      <c r="K219" s="3"/>
      <c r="L219" s="4">
        <v>46002</v>
      </c>
    </row>
    <row r="220" spans="2:12">
      <c r="B220" s="2">
        <v>49218</v>
      </c>
      <c r="C220" s="7" t="s">
        <v>361</v>
      </c>
      <c r="D220" s="5"/>
      <c r="E220" s="3" t="s">
        <v>12</v>
      </c>
      <c r="F220" s="3" t="s">
        <v>12</v>
      </c>
      <c r="G220" s="3">
        <v>3.3279999999999998</v>
      </c>
      <c r="H220" s="3" t="s">
        <v>12</v>
      </c>
      <c r="I220" s="3" t="s">
        <v>12</v>
      </c>
      <c r="J220" s="3" t="s">
        <v>12</v>
      </c>
      <c r="K220" s="3">
        <v>0</v>
      </c>
      <c r="L220" s="3" t="s">
        <v>511</v>
      </c>
    </row>
    <row r="221" spans="2:12">
      <c r="B221" s="3" t="s">
        <v>533</v>
      </c>
      <c r="C221" s="7"/>
      <c r="D221" s="5"/>
      <c r="E221" s="3"/>
      <c r="F221" s="3"/>
      <c r="G221" s="3"/>
      <c r="H221" s="3"/>
      <c r="I221" s="3"/>
      <c r="J221" s="3"/>
      <c r="K221" s="3"/>
      <c r="L221" s="4">
        <v>46002</v>
      </c>
    </row>
    <row r="222" spans="2:12">
      <c r="B222" s="2">
        <v>49249</v>
      </c>
      <c r="C222" s="7" t="s">
        <v>361</v>
      </c>
      <c r="D222" s="5"/>
      <c r="E222" s="3" t="s">
        <v>12</v>
      </c>
      <c r="F222" s="3" t="s">
        <v>12</v>
      </c>
      <c r="G222" s="3">
        <v>3.5680000000000001</v>
      </c>
      <c r="H222" s="3" t="s">
        <v>12</v>
      </c>
      <c r="I222" s="3" t="s">
        <v>12</v>
      </c>
      <c r="J222" s="3" t="s">
        <v>12</v>
      </c>
      <c r="K222" s="3">
        <v>0</v>
      </c>
      <c r="L222" s="3" t="s">
        <v>511</v>
      </c>
    </row>
    <row r="223" spans="2:12">
      <c r="B223" s="3" t="s">
        <v>534</v>
      </c>
      <c r="C223" s="7"/>
      <c r="D223" s="5"/>
      <c r="E223" s="3"/>
      <c r="F223" s="3"/>
      <c r="G223" s="3"/>
      <c r="H223" s="3"/>
      <c r="I223" s="3"/>
      <c r="J223" s="3"/>
      <c r="K223" s="3"/>
      <c r="L223" s="4">
        <v>46002</v>
      </c>
    </row>
    <row r="224" spans="2:12">
      <c r="B224" s="2">
        <v>49279</v>
      </c>
      <c r="C224" s="7" t="s">
        <v>361</v>
      </c>
      <c r="D224" s="5"/>
      <c r="E224" s="3" t="s">
        <v>12</v>
      </c>
      <c r="F224" s="3" t="s">
        <v>12</v>
      </c>
      <c r="G224" s="3">
        <v>3.968</v>
      </c>
      <c r="H224" s="3" t="s">
        <v>12</v>
      </c>
      <c r="I224" s="3" t="s">
        <v>12</v>
      </c>
      <c r="J224" s="3" t="s">
        <v>12</v>
      </c>
      <c r="K224" s="3">
        <v>0</v>
      </c>
      <c r="L224" s="3" t="s">
        <v>511</v>
      </c>
    </row>
    <row r="225" spans="2:12">
      <c r="B225" s="3" t="s">
        <v>535</v>
      </c>
      <c r="C225" s="7"/>
      <c r="D225" s="5"/>
      <c r="E225" s="3"/>
      <c r="F225" s="3"/>
      <c r="G225" s="3"/>
      <c r="H225" s="3"/>
      <c r="I225" s="3"/>
      <c r="J225" s="3"/>
      <c r="K225" s="3"/>
      <c r="L225" s="4">
        <v>46002</v>
      </c>
    </row>
    <row r="226" spans="2:12">
      <c r="B226" s="2">
        <v>49310</v>
      </c>
      <c r="C226" s="7" t="s">
        <v>361</v>
      </c>
      <c r="D226" s="5"/>
      <c r="E226" s="3" t="s">
        <v>12</v>
      </c>
      <c r="F226" s="3" t="s">
        <v>12</v>
      </c>
      <c r="G226" s="3">
        <v>4.1879999999999997</v>
      </c>
      <c r="H226" s="3" t="s">
        <v>12</v>
      </c>
      <c r="I226" s="3" t="s">
        <v>12</v>
      </c>
      <c r="J226" s="3" t="s">
        <v>12</v>
      </c>
      <c r="K226" s="3">
        <v>0</v>
      </c>
      <c r="L226" s="3" t="s">
        <v>511</v>
      </c>
    </row>
    <row r="227" spans="2:12">
      <c r="B227" s="3" t="s">
        <v>536</v>
      </c>
      <c r="C227" s="7"/>
      <c r="D227" s="5"/>
      <c r="E227" s="3"/>
      <c r="F227" s="3"/>
      <c r="G227" s="3"/>
      <c r="H227" s="3"/>
      <c r="I227" s="3"/>
      <c r="J227" s="3"/>
      <c r="K227" s="3"/>
      <c r="L227" s="4">
        <v>46002</v>
      </c>
    </row>
    <row r="228" spans="2:12">
      <c r="B228" s="2">
        <v>49341</v>
      </c>
      <c r="C228" s="7" t="s">
        <v>361</v>
      </c>
      <c r="D228" s="5"/>
      <c r="E228" s="3" t="s">
        <v>12</v>
      </c>
      <c r="F228" s="3" t="s">
        <v>12</v>
      </c>
      <c r="G228" s="3">
        <v>3.948</v>
      </c>
      <c r="H228" s="3" t="s">
        <v>12</v>
      </c>
      <c r="I228" s="3" t="s">
        <v>12</v>
      </c>
      <c r="J228" s="3" t="s">
        <v>12</v>
      </c>
      <c r="K228" s="3">
        <v>0</v>
      </c>
      <c r="L228" s="3" t="s">
        <v>511</v>
      </c>
    </row>
    <row r="229" spans="2:12">
      <c r="B229" s="3" t="s">
        <v>537</v>
      </c>
      <c r="C229" s="7"/>
      <c r="D229" s="5"/>
      <c r="E229" s="3"/>
      <c r="F229" s="3"/>
      <c r="G229" s="3"/>
      <c r="H229" s="3"/>
      <c r="I229" s="3"/>
      <c r="J229" s="3"/>
      <c r="K229" s="3"/>
      <c r="L229" s="4">
        <v>46002</v>
      </c>
    </row>
    <row r="230" spans="2:12">
      <c r="B230" s="2">
        <v>49369</v>
      </c>
      <c r="C230" s="7" t="s">
        <v>361</v>
      </c>
      <c r="D230" s="5"/>
      <c r="E230" s="3" t="s">
        <v>12</v>
      </c>
      <c r="F230" s="3" t="s">
        <v>12</v>
      </c>
      <c r="G230" s="3">
        <v>3.5179999999999998</v>
      </c>
      <c r="H230" s="3" t="s">
        <v>12</v>
      </c>
      <c r="I230" s="3" t="s">
        <v>12</v>
      </c>
      <c r="J230" s="3" t="s">
        <v>12</v>
      </c>
      <c r="K230" s="3">
        <v>0</v>
      </c>
      <c r="L230" s="3" t="s">
        <v>511</v>
      </c>
    </row>
    <row r="231" spans="2:12">
      <c r="B231" s="3" t="s">
        <v>538</v>
      </c>
      <c r="C231" s="7"/>
      <c r="D231" s="5"/>
      <c r="E231" s="3"/>
      <c r="F231" s="3"/>
      <c r="G231" s="3"/>
      <c r="H231" s="3"/>
      <c r="I231" s="3"/>
      <c r="J231" s="3"/>
      <c r="K231" s="3"/>
      <c r="L231" s="4">
        <v>46002</v>
      </c>
    </row>
    <row r="232" spans="2:12">
      <c r="B232" s="2">
        <v>49400</v>
      </c>
      <c r="C232" s="7" t="s">
        <v>361</v>
      </c>
      <c r="D232" s="5"/>
      <c r="E232" s="3" t="s">
        <v>12</v>
      </c>
      <c r="F232" s="3" t="s">
        <v>12</v>
      </c>
      <c r="G232" s="3">
        <v>3.1880000000000002</v>
      </c>
      <c r="H232" s="3" t="s">
        <v>12</v>
      </c>
      <c r="I232" s="3" t="s">
        <v>12</v>
      </c>
      <c r="J232" s="3" t="s">
        <v>12</v>
      </c>
      <c r="K232" s="3">
        <v>0</v>
      </c>
      <c r="L232" s="3" t="s">
        <v>511</v>
      </c>
    </row>
    <row r="233" spans="2:12">
      <c r="B233" s="3" t="s">
        <v>539</v>
      </c>
      <c r="C233" s="7"/>
      <c r="D233" s="5"/>
      <c r="E233" s="3"/>
      <c r="F233" s="3"/>
      <c r="G233" s="3"/>
      <c r="H233" s="3"/>
      <c r="I233" s="3"/>
      <c r="J233" s="3"/>
      <c r="K233" s="3"/>
      <c r="L233" s="4">
        <v>46002</v>
      </c>
    </row>
    <row r="234" spans="2:12">
      <c r="B234" s="2">
        <v>49430</v>
      </c>
      <c r="C234" s="7" t="s">
        <v>361</v>
      </c>
      <c r="D234" s="5"/>
      <c r="E234" s="3" t="s">
        <v>12</v>
      </c>
      <c r="F234" s="3" t="s">
        <v>12</v>
      </c>
      <c r="G234" s="3">
        <v>3.1659999999999999</v>
      </c>
      <c r="H234" s="3" t="s">
        <v>12</v>
      </c>
      <c r="I234" s="3" t="s">
        <v>12</v>
      </c>
      <c r="J234" s="3" t="s">
        <v>12</v>
      </c>
      <c r="K234" s="3">
        <v>0</v>
      </c>
      <c r="L234" s="3" t="s">
        <v>511</v>
      </c>
    </row>
    <row r="235" spans="2:12">
      <c r="B235" s="3" t="s">
        <v>540</v>
      </c>
      <c r="C235" s="7"/>
      <c r="D235" s="5"/>
      <c r="E235" s="3"/>
      <c r="F235" s="3"/>
      <c r="G235" s="3"/>
      <c r="H235" s="3"/>
      <c r="I235" s="3"/>
      <c r="J235" s="3"/>
      <c r="K235" s="3"/>
      <c r="L235" s="4">
        <v>46002</v>
      </c>
    </row>
    <row r="236" spans="2:12">
      <c r="B236" s="2">
        <v>49461</v>
      </c>
      <c r="C236" s="7" t="s">
        <v>361</v>
      </c>
      <c r="D236" s="5"/>
      <c r="E236" s="3" t="s">
        <v>12</v>
      </c>
      <c r="F236" s="3" t="s">
        <v>12</v>
      </c>
      <c r="G236" s="3">
        <v>3.2010000000000001</v>
      </c>
      <c r="H236" s="3" t="s">
        <v>12</v>
      </c>
      <c r="I236" s="3" t="s">
        <v>12</v>
      </c>
      <c r="J236" s="3" t="s">
        <v>12</v>
      </c>
      <c r="K236" s="3">
        <v>0</v>
      </c>
      <c r="L236" s="3" t="s">
        <v>511</v>
      </c>
    </row>
    <row r="237" spans="2:12">
      <c r="B237" s="3" t="s">
        <v>541</v>
      </c>
      <c r="C237" s="7"/>
      <c r="D237" s="5"/>
      <c r="E237" s="3"/>
      <c r="F237" s="3"/>
      <c r="G237" s="3"/>
      <c r="H237" s="3"/>
      <c r="I237" s="3"/>
      <c r="J237" s="3"/>
      <c r="K237" s="3"/>
      <c r="L237" s="4">
        <v>46002</v>
      </c>
    </row>
    <row r="238" spans="2:12">
      <c r="B238" s="2">
        <v>49491</v>
      </c>
      <c r="C238" s="7" t="s">
        <v>361</v>
      </c>
      <c r="D238" s="5"/>
      <c r="E238" s="3" t="s">
        <v>12</v>
      </c>
      <c r="F238" s="3" t="s">
        <v>12</v>
      </c>
      <c r="G238" s="3">
        <v>3.2410000000000001</v>
      </c>
      <c r="H238" s="3" t="s">
        <v>12</v>
      </c>
      <c r="I238" s="3" t="s">
        <v>12</v>
      </c>
      <c r="J238" s="3" t="s">
        <v>12</v>
      </c>
      <c r="K238" s="3">
        <v>0</v>
      </c>
      <c r="L238" s="3" t="s">
        <v>511</v>
      </c>
    </row>
    <row r="239" spans="2:12">
      <c r="B239" s="3" t="s">
        <v>542</v>
      </c>
      <c r="C239" s="7"/>
      <c r="D239" s="5"/>
      <c r="E239" s="3"/>
      <c r="F239" s="3"/>
      <c r="G239" s="3"/>
      <c r="H239" s="3"/>
      <c r="I239" s="3"/>
      <c r="J239" s="3"/>
      <c r="K239" s="3"/>
      <c r="L239" s="4">
        <v>46002</v>
      </c>
    </row>
    <row r="240" spans="2:12">
      <c r="B240" s="2">
        <v>49522</v>
      </c>
      <c r="C240" s="7" t="s">
        <v>361</v>
      </c>
      <c r="D240" s="5"/>
      <c r="E240" s="3" t="s">
        <v>12</v>
      </c>
      <c r="F240" s="3" t="s">
        <v>12</v>
      </c>
      <c r="G240" s="3">
        <v>3.2810000000000001</v>
      </c>
      <c r="H240" s="3" t="s">
        <v>12</v>
      </c>
      <c r="I240" s="3" t="s">
        <v>12</v>
      </c>
      <c r="J240" s="3" t="s">
        <v>12</v>
      </c>
      <c r="K240" s="3">
        <v>0</v>
      </c>
      <c r="L240" s="3" t="s">
        <v>511</v>
      </c>
    </row>
    <row r="241" spans="2:12">
      <c r="B241" s="3" t="s">
        <v>543</v>
      </c>
      <c r="C241" s="7"/>
      <c r="D241" s="5"/>
      <c r="E241" s="3"/>
      <c r="F241" s="3"/>
      <c r="G241" s="3"/>
      <c r="H241" s="3"/>
      <c r="I241" s="3"/>
      <c r="J241" s="3"/>
      <c r="K241" s="3"/>
      <c r="L241" s="4">
        <v>46002</v>
      </c>
    </row>
    <row r="242" spans="2:12">
      <c r="B242" s="2">
        <v>49553</v>
      </c>
      <c r="C242" s="7" t="s">
        <v>361</v>
      </c>
      <c r="D242" s="5"/>
      <c r="E242" s="3" t="s">
        <v>12</v>
      </c>
      <c r="F242" s="3" t="s">
        <v>12</v>
      </c>
      <c r="G242" s="3">
        <v>3.2959999999999998</v>
      </c>
      <c r="H242" s="3" t="s">
        <v>12</v>
      </c>
      <c r="I242" s="3" t="s">
        <v>12</v>
      </c>
      <c r="J242" s="3" t="s">
        <v>12</v>
      </c>
      <c r="K242" s="3">
        <v>0</v>
      </c>
      <c r="L242" s="3" t="s">
        <v>511</v>
      </c>
    </row>
    <row r="243" spans="2:12">
      <c r="B243" s="3" t="s">
        <v>544</v>
      </c>
      <c r="C243" s="7"/>
      <c r="D243" s="5"/>
      <c r="E243" s="3"/>
      <c r="F243" s="3"/>
      <c r="G243" s="3"/>
      <c r="H243" s="3"/>
      <c r="I243" s="3"/>
      <c r="J243" s="3"/>
      <c r="K243" s="3"/>
      <c r="L243" s="4">
        <v>46002</v>
      </c>
    </row>
    <row r="244" spans="2:12">
      <c r="B244" s="2">
        <v>49583</v>
      </c>
      <c r="C244" s="7" t="s">
        <v>361</v>
      </c>
      <c r="D244" s="5"/>
      <c r="E244" s="3" t="s">
        <v>12</v>
      </c>
      <c r="F244" s="3" t="s">
        <v>12</v>
      </c>
      <c r="G244" s="3">
        <v>3.3420000000000001</v>
      </c>
      <c r="H244" s="3" t="s">
        <v>12</v>
      </c>
      <c r="I244" s="3" t="s">
        <v>12</v>
      </c>
      <c r="J244" s="3" t="s">
        <v>12</v>
      </c>
      <c r="K244" s="3">
        <v>0</v>
      </c>
      <c r="L244" s="3" t="s">
        <v>511</v>
      </c>
    </row>
    <row r="245" spans="2:12">
      <c r="B245" s="3" t="s">
        <v>545</v>
      </c>
      <c r="C245" s="7"/>
      <c r="D245" s="5"/>
      <c r="E245" s="3"/>
      <c r="F245" s="3"/>
      <c r="G245" s="3"/>
      <c r="H245" s="3"/>
      <c r="I245" s="3"/>
      <c r="J245" s="3"/>
      <c r="K245" s="3"/>
      <c r="L245" s="4">
        <v>46002</v>
      </c>
    </row>
    <row r="246" spans="2:12">
      <c r="B246" s="2">
        <v>49614</v>
      </c>
      <c r="C246" s="7" t="s">
        <v>361</v>
      </c>
      <c r="D246" s="5"/>
      <c r="E246" s="3" t="s">
        <v>12</v>
      </c>
      <c r="F246" s="3" t="s">
        <v>12</v>
      </c>
      <c r="G246" s="3">
        <v>3.5419999999999998</v>
      </c>
      <c r="H246" s="3" t="s">
        <v>12</v>
      </c>
      <c r="I246" s="3" t="s">
        <v>12</v>
      </c>
      <c r="J246" s="3" t="s">
        <v>12</v>
      </c>
      <c r="K246" s="3">
        <v>0</v>
      </c>
      <c r="L246" s="3" t="s">
        <v>511</v>
      </c>
    </row>
    <row r="247" spans="2:12">
      <c r="B247" s="3" t="s">
        <v>546</v>
      </c>
      <c r="C247" s="7"/>
      <c r="D247" s="5"/>
      <c r="E247" s="3"/>
      <c r="F247" s="3"/>
      <c r="G247" s="3"/>
      <c r="H247" s="3"/>
      <c r="I247" s="3"/>
      <c r="J247" s="3"/>
      <c r="K247" s="3"/>
      <c r="L247" s="4">
        <v>46002</v>
      </c>
    </row>
    <row r="248" spans="2:12">
      <c r="B248" s="2">
        <v>49644</v>
      </c>
      <c r="C248" s="7" t="s">
        <v>361</v>
      </c>
      <c r="D248" s="5"/>
      <c r="E248" s="3" t="s">
        <v>12</v>
      </c>
      <c r="F248" s="3" t="s">
        <v>12</v>
      </c>
      <c r="G248" s="3">
        <v>3.8420000000000001</v>
      </c>
      <c r="H248" s="3" t="s">
        <v>12</v>
      </c>
      <c r="I248" s="3" t="s">
        <v>12</v>
      </c>
      <c r="J248" s="3" t="s">
        <v>12</v>
      </c>
      <c r="K248" s="3">
        <v>0</v>
      </c>
      <c r="L248" s="3" t="s">
        <v>511</v>
      </c>
    </row>
    <row r="249" spans="2:12">
      <c r="B249" s="3" t="s">
        <v>547</v>
      </c>
      <c r="C249" s="7"/>
      <c r="D249" s="5"/>
      <c r="E249" s="3"/>
      <c r="F249" s="3"/>
      <c r="G249" s="3"/>
      <c r="H249" s="3"/>
      <c r="I249" s="3"/>
      <c r="J249" s="3"/>
      <c r="K249" s="3"/>
      <c r="L249" s="4">
        <v>46002</v>
      </c>
    </row>
    <row r="250" spans="2:12">
      <c r="B250" s="2">
        <v>49675</v>
      </c>
      <c r="C250" s="7" t="s">
        <v>361</v>
      </c>
      <c r="D250" s="5"/>
      <c r="E250" s="3" t="s">
        <v>12</v>
      </c>
      <c r="F250" s="3" t="s">
        <v>12</v>
      </c>
      <c r="G250" s="3">
        <v>4.1120000000000001</v>
      </c>
      <c r="H250" s="3" t="s">
        <v>12</v>
      </c>
      <c r="I250" s="3" t="s">
        <v>12</v>
      </c>
      <c r="J250" s="3" t="s">
        <v>12</v>
      </c>
      <c r="K250" s="3">
        <v>0</v>
      </c>
      <c r="L250" s="3" t="s">
        <v>511</v>
      </c>
    </row>
    <row r="251" spans="2:12">
      <c r="B251" s="3" t="s">
        <v>548</v>
      </c>
      <c r="C251" s="7"/>
      <c r="D251" s="5"/>
      <c r="E251" s="3"/>
      <c r="F251" s="3"/>
      <c r="G251" s="3"/>
      <c r="H251" s="3"/>
      <c r="I251" s="3"/>
      <c r="J251" s="3"/>
      <c r="K251" s="3"/>
      <c r="L251" s="4">
        <v>46002</v>
      </c>
    </row>
    <row r="252" spans="2:12">
      <c r="B252" s="2">
        <v>49706</v>
      </c>
      <c r="C252" s="7" t="s">
        <v>361</v>
      </c>
      <c r="D252" s="5"/>
      <c r="E252" s="3" t="s">
        <v>12</v>
      </c>
      <c r="F252" s="3" t="s">
        <v>12</v>
      </c>
      <c r="G252" s="3">
        <v>3.9420000000000002</v>
      </c>
      <c r="H252" s="3" t="s">
        <v>12</v>
      </c>
      <c r="I252" s="3" t="s">
        <v>12</v>
      </c>
      <c r="J252" s="3" t="s">
        <v>12</v>
      </c>
      <c r="K252" s="3">
        <v>0</v>
      </c>
      <c r="L252" s="3" t="s">
        <v>511</v>
      </c>
    </row>
    <row r="253" spans="2:12">
      <c r="B253" s="3" t="s">
        <v>549</v>
      </c>
      <c r="C253" s="7"/>
      <c r="D253" s="5"/>
      <c r="E253" s="3"/>
      <c r="F253" s="3"/>
      <c r="G253" s="3"/>
      <c r="H253" s="3"/>
      <c r="I253" s="3"/>
      <c r="J253" s="3"/>
      <c r="K253" s="3"/>
      <c r="L253" s="4">
        <v>46002</v>
      </c>
    </row>
    <row r="254" spans="2:12">
      <c r="B254" s="2">
        <v>49735</v>
      </c>
      <c r="C254" s="7" t="s">
        <v>361</v>
      </c>
      <c r="D254" s="5"/>
      <c r="E254" s="3" t="s">
        <v>12</v>
      </c>
      <c r="F254" s="3" t="s">
        <v>12</v>
      </c>
      <c r="G254" s="3">
        <v>3.6720000000000002</v>
      </c>
      <c r="H254" s="3" t="s">
        <v>12</v>
      </c>
      <c r="I254" s="3" t="s">
        <v>12</v>
      </c>
      <c r="J254" s="3" t="s">
        <v>12</v>
      </c>
      <c r="K254" s="3">
        <v>0</v>
      </c>
      <c r="L254" s="3" t="s">
        <v>511</v>
      </c>
    </row>
    <row r="255" spans="2:12">
      <c r="B255" s="3" t="s">
        <v>550</v>
      </c>
      <c r="C255" s="7"/>
      <c r="D255" s="5"/>
      <c r="E255" s="3"/>
      <c r="F255" s="3"/>
      <c r="G255" s="3"/>
      <c r="H255" s="3"/>
      <c r="I255" s="3"/>
      <c r="J255" s="3"/>
      <c r="K255" s="3"/>
      <c r="L255" s="4">
        <v>46002</v>
      </c>
    </row>
    <row r="256" spans="2:12">
      <c r="B256" s="2">
        <v>49766</v>
      </c>
      <c r="C256" s="7" t="s">
        <v>361</v>
      </c>
      <c r="D256" s="5"/>
      <c r="E256" s="3" t="s">
        <v>12</v>
      </c>
      <c r="F256" s="3" t="s">
        <v>12</v>
      </c>
      <c r="G256" s="3">
        <v>3.3420000000000001</v>
      </c>
      <c r="H256" s="3" t="s">
        <v>12</v>
      </c>
      <c r="I256" s="3" t="s">
        <v>12</v>
      </c>
      <c r="J256" s="3" t="s">
        <v>12</v>
      </c>
      <c r="K256" s="3">
        <v>0</v>
      </c>
      <c r="L256" s="3" t="s">
        <v>511</v>
      </c>
    </row>
    <row r="257" spans="2:12">
      <c r="B257" s="3" t="s">
        <v>551</v>
      </c>
      <c r="C257" s="7"/>
      <c r="D257" s="5"/>
      <c r="E257" s="3"/>
      <c r="F257" s="3"/>
      <c r="G257" s="3"/>
      <c r="H257" s="3"/>
      <c r="I257" s="3"/>
      <c r="J257" s="3"/>
      <c r="K257" s="3"/>
      <c r="L257" s="4">
        <v>46002</v>
      </c>
    </row>
    <row r="258" spans="2:12">
      <c r="B258" s="2">
        <v>49796</v>
      </c>
      <c r="C258" s="7" t="s">
        <v>361</v>
      </c>
      <c r="D258" s="5"/>
      <c r="E258" s="3" t="s">
        <v>12</v>
      </c>
      <c r="F258" s="3" t="s">
        <v>12</v>
      </c>
      <c r="G258" s="3">
        <v>3.32</v>
      </c>
      <c r="H258" s="3" t="s">
        <v>12</v>
      </c>
      <c r="I258" s="3" t="s">
        <v>12</v>
      </c>
      <c r="J258" s="3" t="s">
        <v>12</v>
      </c>
      <c r="K258" s="3">
        <v>0</v>
      </c>
      <c r="L258" s="3" t="s">
        <v>511</v>
      </c>
    </row>
    <row r="259" spans="2:12">
      <c r="B259" s="3" t="s">
        <v>552</v>
      </c>
      <c r="C259" s="7"/>
      <c r="D259" s="5"/>
      <c r="E259" s="3"/>
      <c r="F259" s="3"/>
      <c r="G259" s="3"/>
      <c r="H259" s="3"/>
      <c r="I259" s="3"/>
      <c r="J259" s="3"/>
      <c r="K259" s="3"/>
      <c r="L259" s="4">
        <v>46002</v>
      </c>
    </row>
    <row r="260" spans="2:12">
      <c r="B260" s="2">
        <v>49827</v>
      </c>
      <c r="C260" s="7" t="s">
        <v>361</v>
      </c>
      <c r="D260" s="5"/>
      <c r="E260" s="3" t="s">
        <v>12</v>
      </c>
      <c r="F260" s="3" t="s">
        <v>12</v>
      </c>
      <c r="G260" s="3">
        <v>3.355</v>
      </c>
      <c r="H260" s="3" t="s">
        <v>12</v>
      </c>
      <c r="I260" s="3" t="s">
        <v>12</v>
      </c>
      <c r="J260" s="3" t="s">
        <v>12</v>
      </c>
      <c r="K260" s="3">
        <v>0</v>
      </c>
      <c r="L260" s="3" t="s">
        <v>511</v>
      </c>
    </row>
    <row r="261" spans="2:12">
      <c r="B261" s="3" t="s">
        <v>553</v>
      </c>
      <c r="C261" s="7"/>
      <c r="D261" s="5"/>
      <c r="E261" s="3"/>
      <c r="F261" s="3"/>
      <c r="G261" s="3"/>
      <c r="H261" s="3"/>
      <c r="I261" s="3"/>
      <c r="J261" s="3"/>
      <c r="K261" s="3"/>
      <c r="L261" s="4">
        <v>46002</v>
      </c>
    </row>
    <row r="262" spans="2:12">
      <c r="B262" s="2">
        <v>49857</v>
      </c>
      <c r="C262" s="7" t="s">
        <v>361</v>
      </c>
      <c r="D262" s="5"/>
      <c r="E262" s="3" t="s">
        <v>12</v>
      </c>
      <c r="F262" s="3" t="s">
        <v>12</v>
      </c>
      <c r="G262" s="3">
        <v>3.395</v>
      </c>
      <c r="H262" s="3" t="s">
        <v>12</v>
      </c>
      <c r="I262" s="3" t="s">
        <v>12</v>
      </c>
      <c r="J262" s="3" t="s">
        <v>12</v>
      </c>
      <c r="K262" s="3">
        <v>0</v>
      </c>
      <c r="L262" s="3" t="s">
        <v>511</v>
      </c>
    </row>
    <row r="263" spans="2:12">
      <c r="B263" s="3" t="s">
        <v>554</v>
      </c>
      <c r="C263" s="7"/>
      <c r="D263" s="5"/>
      <c r="E263" s="3"/>
      <c r="F263" s="3"/>
      <c r="G263" s="3"/>
      <c r="H263" s="3"/>
      <c r="I263" s="3"/>
      <c r="J263" s="3"/>
      <c r="K263" s="3"/>
      <c r="L263" s="4">
        <v>46002</v>
      </c>
    </row>
    <row r="264" spans="2:12">
      <c r="B264" s="2">
        <v>49888</v>
      </c>
      <c r="C264" s="7" t="s">
        <v>361</v>
      </c>
      <c r="D264" s="5"/>
      <c r="E264" s="3" t="s">
        <v>12</v>
      </c>
      <c r="F264" s="3" t="s">
        <v>12</v>
      </c>
      <c r="G264" s="3">
        <v>3.4350000000000001</v>
      </c>
      <c r="H264" s="3" t="s">
        <v>12</v>
      </c>
      <c r="I264" s="3" t="s">
        <v>12</v>
      </c>
      <c r="J264" s="3" t="s">
        <v>12</v>
      </c>
      <c r="K264" s="3">
        <v>0</v>
      </c>
      <c r="L264" s="3" t="s">
        <v>511</v>
      </c>
    </row>
    <row r="265" spans="2:12">
      <c r="B265" s="3" t="s">
        <v>555</v>
      </c>
      <c r="C265" s="7"/>
      <c r="D265" s="5"/>
      <c r="E265" s="3"/>
      <c r="F265" s="3"/>
      <c r="G265" s="3"/>
      <c r="H265" s="3"/>
      <c r="I265" s="3"/>
      <c r="J265" s="3"/>
      <c r="K265" s="3"/>
      <c r="L265" s="4">
        <v>46002</v>
      </c>
    </row>
    <row r="266" spans="2:12">
      <c r="B266" s="2">
        <v>49919</v>
      </c>
      <c r="C266" s="7" t="s">
        <v>361</v>
      </c>
      <c r="D266" s="5"/>
      <c r="E266" s="3" t="s">
        <v>12</v>
      </c>
      <c r="F266" s="3" t="s">
        <v>12</v>
      </c>
      <c r="G266" s="3">
        <v>3.45</v>
      </c>
      <c r="H266" s="3" t="s">
        <v>12</v>
      </c>
      <c r="I266" s="3" t="s">
        <v>12</v>
      </c>
      <c r="J266" s="3" t="s">
        <v>12</v>
      </c>
      <c r="K266" s="3">
        <v>0</v>
      </c>
      <c r="L266" s="3" t="s">
        <v>511</v>
      </c>
    </row>
    <row r="267" spans="2:12">
      <c r="B267" s="3" t="s">
        <v>556</v>
      </c>
      <c r="C267" s="7"/>
      <c r="D267" s="5"/>
      <c r="E267" s="3"/>
      <c r="F267" s="3"/>
      <c r="G267" s="3"/>
      <c r="H267" s="3"/>
      <c r="I267" s="3"/>
      <c r="J267" s="3"/>
      <c r="K267" s="3"/>
      <c r="L267" s="4">
        <v>46002</v>
      </c>
    </row>
    <row r="268" spans="2:12">
      <c r="B268" s="2">
        <v>49949</v>
      </c>
      <c r="C268" s="7" t="s">
        <v>361</v>
      </c>
      <c r="D268" s="5"/>
      <c r="E268" s="3" t="s">
        <v>12</v>
      </c>
      <c r="F268" s="3" t="s">
        <v>12</v>
      </c>
      <c r="G268" s="3">
        <v>3.496</v>
      </c>
      <c r="H268" s="3" t="s">
        <v>12</v>
      </c>
      <c r="I268" s="3" t="s">
        <v>12</v>
      </c>
      <c r="J268" s="3" t="s">
        <v>12</v>
      </c>
      <c r="K268" s="3">
        <v>0</v>
      </c>
      <c r="L268" s="3" t="s">
        <v>511</v>
      </c>
    </row>
    <row r="269" spans="2:12">
      <c r="B269" s="3" t="s">
        <v>557</v>
      </c>
      <c r="C269" s="7"/>
      <c r="D269" s="5"/>
      <c r="E269" s="3"/>
      <c r="F269" s="3"/>
      <c r="G269" s="3"/>
      <c r="H269" s="3"/>
      <c r="I269" s="3"/>
      <c r="J269" s="3"/>
      <c r="K269" s="3"/>
      <c r="L269" s="4">
        <v>46002</v>
      </c>
    </row>
    <row r="270" spans="2:12">
      <c r="B270" s="2">
        <v>49980</v>
      </c>
      <c r="C270" s="7" t="s">
        <v>361</v>
      </c>
      <c r="D270" s="5"/>
      <c r="E270" s="3" t="s">
        <v>12</v>
      </c>
      <c r="F270" s="3" t="s">
        <v>12</v>
      </c>
      <c r="G270" s="3">
        <v>3.5680000000000001</v>
      </c>
      <c r="H270" s="3" t="s">
        <v>12</v>
      </c>
      <c r="I270" s="3" t="s">
        <v>12</v>
      </c>
      <c r="J270" s="3" t="s">
        <v>12</v>
      </c>
      <c r="K270" s="3">
        <v>0</v>
      </c>
      <c r="L270" s="3" t="s">
        <v>511</v>
      </c>
    </row>
    <row r="271" spans="2:12">
      <c r="B271" s="3" t="s">
        <v>558</v>
      </c>
      <c r="C271" s="7"/>
      <c r="D271" s="5"/>
      <c r="E271" s="3"/>
      <c r="F271" s="3"/>
      <c r="G271" s="3"/>
      <c r="H271" s="3"/>
      <c r="I271" s="3"/>
      <c r="J271" s="3"/>
      <c r="K271" s="3"/>
      <c r="L271" s="4">
        <v>46002</v>
      </c>
    </row>
    <row r="272" spans="2:12">
      <c r="B272" s="2">
        <v>50010</v>
      </c>
      <c r="C272" s="7" t="s">
        <v>361</v>
      </c>
      <c r="D272" s="5"/>
      <c r="E272" s="3" t="s">
        <v>12</v>
      </c>
      <c r="F272" s="3" t="s">
        <v>12</v>
      </c>
      <c r="G272" s="3">
        <v>3.7229999999999999</v>
      </c>
      <c r="H272" s="3" t="s">
        <v>12</v>
      </c>
      <c r="I272" s="3" t="s">
        <v>12</v>
      </c>
      <c r="J272" s="3" t="s">
        <v>12</v>
      </c>
      <c r="K272" s="3">
        <v>0</v>
      </c>
      <c r="L272" s="3" t="s">
        <v>511</v>
      </c>
    </row>
    <row r="273" spans="2:12">
      <c r="B273" s="3" t="s">
        <v>559</v>
      </c>
      <c r="C273" s="7"/>
      <c r="D273" s="5"/>
      <c r="E273" s="3"/>
      <c r="F273" s="3"/>
      <c r="G273" s="3"/>
      <c r="H273" s="3"/>
      <c r="I273" s="3"/>
      <c r="J273" s="3"/>
      <c r="K273" s="3"/>
      <c r="L273" s="4">
        <v>46002</v>
      </c>
    </row>
    <row r="274" spans="2:12">
      <c r="B274" s="2">
        <v>50041</v>
      </c>
      <c r="C274" s="7" t="s">
        <v>361</v>
      </c>
      <c r="D274" s="5"/>
      <c r="E274" s="3" t="s">
        <v>12</v>
      </c>
      <c r="F274" s="3" t="s">
        <v>12</v>
      </c>
      <c r="G274" s="3">
        <v>3.948</v>
      </c>
      <c r="H274" s="3" t="s">
        <v>12</v>
      </c>
      <c r="I274" s="3" t="s">
        <v>12</v>
      </c>
      <c r="J274" s="3" t="s">
        <v>12</v>
      </c>
      <c r="K274" s="3">
        <v>0</v>
      </c>
      <c r="L274" s="3" t="s">
        <v>511</v>
      </c>
    </row>
    <row r="275" spans="2:12">
      <c r="B275" s="3" t="s">
        <v>560</v>
      </c>
      <c r="C275" s="7"/>
      <c r="D275" s="5"/>
      <c r="E275" s="3"/>
      <c r="F275" s="3"/>
      <c r="G275" s="3"/>
      <c r="H275" s="3"/>
      <c r="I275" s="3"/>
      <c r="J275" s="3"/>
      <c r="K275" s="3"/>
      <c r="L275" s="4">
        <v>46002</v>
      </c>
    </row>
    <row r="276" spans="2:12">
      <c r="B276" s="2">
        <v>50072</v>
      </c>
      <c r="C276" s="7" t="s">
        <v>361</v>
      </c>
      <c r="D276" s="5"/>
      <c r="E276" s="3" t="s">
        <v>12</v>
      </c>
      <c r="F276" s="3" t="s">
        <v>12</v>
      </c>
      <c r="G276" s="3">
        <v>3.798</v>
      </c>
      <c r="H276" s="3" t="s">
        <v>12</v>
      </c>
      <c r="I276" s="3" t="s">
        <v>12</v>
      </c>
      <c r="J276" s="3" t="s">
        <v>12</v>
      </c>
      <c r="K276" s="3">
        <v>0</v>
      </c>
      <c r="L276" s="3" t="s">
        <v>511</v>
      </c>
    </row>
    <row r="277" spans="2:12">
      <c r="B277" s="3" t="s">
        <v>561</v>
      </c>
      <c r="C277" s="7"/>
      <c r="D277" s="5"/>
      <c r="E277" s="3"/>
      <c r="F277" s="3"/>
      <c r="G277" s="3"/>
      <c r="H277" s="3"/>
      <c r="I277" s="3"/>
      <c r="J277" s="3"/>
      <c r="K277" s="3"/>
      <c r="L277" s="4">
        <v>46002</v>
      </c>
    </row>
    <row r="278" spans="2:12">
      <c r="B278" s="2">
        <v>50100</v>
      </c>
      <c r="C278" s="7" t="s">
        <v>361</v>
      </c>
      <c r="D278" s="5"/>
      <c r="E278" s="3" t="s">
        <v>12</v>
      </c>
      <c r="F278" s="3" t="s">
        <v>12</v>
      </c>
      <c r="G278" s="3">
        <v>3.5979999999999999</v>
      </c>
      <c r="H278" s="3" t="s">
        <v>12</v>
      </c>
      <c r="I278" s="3" t="s">
        <v>12</v>
      </c>
      <c r="J278" s="3" t="s">
        <v>12</v>
      </c>
      <c r="K278" s="3">
        <v>0</v>
      </c>
      <c r="L278" s="3" t="s">
        <v>511</v>
      </c>
    </row>
    <row r="279" spans="2:12">
      <c r="B279" s="3" t="s">
        <v>562</v>
      </c>
      <c r="C279" s="7"/>
      <c r="D279" s="5"/>
      <c r="E279" s="3"/>
      <c r="F279" s="3"/>
      <c r="G279" s="3"/>
      <c r="H279" s="3"/>
      <c r="I279" s="3"/>
      <c r="J279" s="3"/>
      <c r="K279" s="3"/>
      <c r="L279" s="4">
        <v>46002</v>
      </c>
    </row>
    <row r="280" spans="2:12">
      <c r="B280" s="2">
        <v>50131</v>
      </c>
      <c r="C280" s="7" t="s">
        <v>361</v>
      </c>
      <c r="D280" s="5"/>
      <c r="E280" s="3" t="s">
        <v>12</v>
      </c>
      <c r="F280" s="3" t="s">
        <v>12</v>
      </c>
      <c r="G280" s="3">
        <v>3.2679999999999998</v>
      </c>
      <c r="H280" s="3" t="s">
        <v>12</v>
      </c>
      <c r="I280" s="3" t="s">
        <v>12</v>
      </c>
      <c r="J280" s="3" t="s">
        <v>12</v>
      </c>
      <c r="K280" s="3">
        <v>0</v>
      </c>
      <c r="L280" s="3" t="s">
        <v>511</v>
      </c>
    </row>
    <row r="281" spans="2:12">
      <c r="B281" s="3" t="s">
        <v>563</v>
      </c>
      <c r="C281" s="7"/>
      <c r="D281" s="5"/>
      <c r="E281" s="3"/>
      <c r="F281" s="3"/>
      <c r="G281" s="3"/>
      <c r="H281" s="3"/>
      <c r="I281" s="3"/>
      <c r="J281" s="3"/>
      <c r="K281" s="3"/>
      <c r="L281" s="4">
        <v>46002</v>
      </c>
    </row>
    <row r="282" spans="2:12">
      <c r="B282" s="2">
        <v>50161</v>
      </c>
      <c r="C282" s="7" t="s">
        <v>361</v>
      </c>
      <c r="D282" s="5"/>
      <c r="E282" s="3" t="s">
        <v>12</v>
      </c>
      <c r="F282" s="3" t="s">
        <v>12</v>
      </c>
      <c r="G282" s="3">
        <v>3.246</v>
      </c>
      <c r="H282" s="3" t="s">
        <v>12</v>
      </c>
      <c r="I282" s="3" t="s">
        <v>12</v>
      </c>
      <c r="J282" s="3" t="s">
        <v>12</v>
      </c>
      <c r="K282" s="3">
        <v>0</v>
      </c>
      <c r="L282" s="3" t="s">
        <v>511</v>
      </c>
    </row>
    <row r="283" spans="2:12">
      <c r="B283" s="3" t="s">
        <v>564</v>
      </c>
      <c r="C283" s="7"/>
      <c r="D283" s="5"/>
      <c r="E283" s="3"/>
      <c r="F283" s="3"/>
      <c r="G283" s="3"/>
      <c r="H283" s="3"/>
      <c r="I283" s="3"/>
      <c r="J283" s="3"/>
      <c r="K283" s="3"/>
      <c r="L283" s="4">
        <v>46002</v>
      </c>
    </row>
    <row r="284" spans="2:12">
      <c r="B284" s="2">
        <v>50192</v>
      </c>
      <c r="C284" s="7" t="s">
        <v>361</v>
      </c>
      <c r="D284" s="5"/>
      <c r="E284" s="3" t="s">
        <v>12</v>
      </c>
      <c r="F284" s="3" t="s">
        <v>12</v>
      </c>
      <c r="G284" s="3">
        <v>3.2810000000000001</v>
      </c>
      <c r="H284" s="3" t="s">
        <v>12</v>
      </c>
      <c r="I284" s="3" t="s">
        <v>12</v>
      </c>
      <c r="J284" s="3" t="s">
        <v>12</v>
      </c>
      <c r="K284" s="3">
        <v>0</v>
      </c>
      <c r="L284" s="3" t="s">
        <v>511</v>
      </c>
    </row>
    <row r="285" spans="2:12">
      <c r="B285" s="3" t="s">
        <v>565</v>
      </c>
      <c r="C285" s="7"/>
      <c r="D285" s="5"/>
      <c r="E285" s="3"/>
      <c r="F285" s="3"/>
      <c r="G285" s="3"/>
      <c r="H285" s="3"/>
      <c r="I285" s="3"/>
      <c r="J285" s="3"/>
      <c r="K285" s="3"/>
      <c r="L285" s="4">
        <v>46002</v>
      </c>
    </row>
    <row r="286" spans="2:12">
      <c r="B286" s="2">
        <v>50222</v>
      </c>
      <c r="C286" s="7" t="s">
        <v>361</v>
      </c>
      <c r="D286" s="5"/>
      <c r="E286" s="3" t="s">
        <v>12</v>
      </c>
      <c r="F286" s="3" t="s">
        <v>12</v>
      </c>
      <c r="G286" s="3">
        <v>3.3210000000000002</v>
      </c>
      <c r="H286" s="3" t="s">
        <v>12</v>
      </c>
      <c r="I286" s="3" t="s">
        <v>12</v>
      </c>
      <c r="J286" s="3" t="s">
        <v>12</v>
      </c>
      <c r="K286" s="3">
        <v>0</v>
      </c>
      <c r="L286" s="3" t="s">
        <v>511</v>
      </c>
    </row>
    <row r="287" spans="2:12">
      <c r="B287" s="3" t="s">
        <v>566</v>
      </c>
      <c r="C287" s="7"/>
      <c r="D287" s="5"/>
      <c r="E287" s="3"/>
      <c r="F287" s="3"/>
      <c r="G287" s="3"/>
      <c r="H287" s="3"/>
      <c r="I287" s="3"/>
      <c r="J287" s="3"/>
      <c r="K287" s="3"/>
      <c r="L287" s="4">
        <v>46002</v>
      </c>
    </row>
    <row r="288" spans="2:12">
      <c r="B288" s="2">
        <v>50253</v>
      </c>
      <c r="C288" s="7" t="s">
        <v>361</v>
      </c>
      <c r="D288" s="5"/>
      <c r="E288" s="3" t="s">
        <v>12</v>
      </c>
      <c r="F288" s="3" t="s">
        <v>12</v>
      </c>
      <c r="G288" s="3">
        <v>3.3610000000000002</v>
      </c>
      <c r="H288" s="3" t="s">
        <v>12</v>
      </c>
      <c r="I288" s="3" t="s">
        <v>12</v>
      </c>
      <c r="J288" s="3" t="s">
        <v>12</v>
      </c>
      <c r="K288" s="3">
        <v>0</v>
      </c>
      <c r="L288" s="3" t="s">
        <v>511</v>
      </c>
    </row>
    <row r="289" spans="2:12">
      <c r="B289" s="3" t="s">
        <v>567</v>
      </c>
      <c r="C289" s="7"/>
      <c r="D289" s="5"/>
      <c r="E289" s="3"/>
      <c r="F289" s="3"/>
      <c r="G289" s="3"/>
      <c r="H289" s="3"/>
      <c r="I289" s="3"/>
      <c r="J289" s="3"/>
      <c r="K289" s="3"/>
      <c r="L289" s="4">
        <v>46002</v>
      </c>
    </row>
    <row r="290" spans="2:12">
      <c r="B290" s="2">
        <v>50284</v>
      </c>
      <c r="C290" s="7" t="s">
        <v>361</v>
      </c>
      <c r="D290" s="5"/>
      <c r="E290" s="3" t="s">
        <v>12</v>
      </c>
      <c r="F290" s="3" t="s">
        <v>12</v>
      </c>
      <c r="G290" s="3">
        <v>3.3759999999999999</v>
      </c>
      <c r="H290" s="3" t="s">
        <v>12</v>
      </c>
      <c r="I290" s="3" t="s">
        <v>12</v>
      </c>
      <c r="J290" s="3" t="s">
        <v>12</v>
      </c>
      <c r="K290" s="3">
        <v>0</v>
      </c>
      <c r="L290" s="3" t="s">
        <v>511</v>
      </c>
    </row>
    <row r="291" spans="2:12">
      <c r="B291" s="3" t="s">
        <v>568</v>
      </c>
      <c r="C291" s="7"/>
      <c r="D291" s="5"/>
      <c r="E291" s="3"/>
      <c r="F291" s="3"/>
      <c r="G291" s="3"/>
      <c r="H291" s="3"/>
      <c r="I291" s="3"/>
      <c r="J291" s="3"/>
      <c r="K291" s="3"/>
      <c r="L291" s="4">
        <v>46002</v>
      </c>
    </row>
    <row r="292" spans="2:12">
      <c r="B292" s="2">
        <v>50314</v>
      </c>
      <c r="C292" s="7" t="s">
        <v>361</v>
      </c>
      <c r="D292" s="5"/>
      <c r="E292" s="3" t="s">
        <v>12</v>
      </c>
      <c r="F292" s="3" t="s">
        <v>12</v>
      </c>
      <c r="G292" s="3">
        <v>3.4220000000000002</v>
      </c>
      <c r="H292" s="3" t="s">
        <v>12</v>
      </c>
      <c r="I292" s="3" t="s">
        <v>12</v>
      </c>
      <c r="J292" s="3" t="s">
        <v>12</v>
      </c>
      <c r="K292" s="3">
        <v>0</v>
      </c>
      <c r="L292" s="3" t="s">
        <v>511</v>
      </c>
    </row>
    <row r="293" spans="2:12">
      <c r="B293" s="3" t="s">
        <v>569</v>
      </c>
      <c r="C293" s="7"/>
      <c r="D293" s="5"/>
      <c r="E293" s="3"/>
      <c r="F293" s="3"/>
      <c r="G293" s="3"/>
      <c r="H293" s="3"/>
      <c r="I293" s="3"/>
      <c r="J293" s="3"/>
      <c r="K293" s="3"/>
      <c r="L293" s="4">
        <v>46002</v>
      </c>
    </row>
    <row r="294" spans="2:12">
      <c r="B294" s="2">
        <v>50345</v>
      </c>
      <c r="C294" s="7" t="s">
        <v>361</v>
      </c>
      <c r="D294" s="5"/>
      <c r="E294" s="3" t="s">
        <v>12</v>
      </c>
      <c r="F294" s="3" t="s">
        <v>12</v>
      </c>
      <c r="G294" s="3">
        <v>3.4940000000000002</v>
      </c>
      <c r="H294" s="3" t="s">
        <v>12</v>
      </c>
      <c r="I294" s="3" t="s">
        <v>12</v>
      </c>
      <c r="J294" s="3" t="s">
        <v>12</v>
      </c>
      <c r="K294" s="3">
        <v>0</v>
      </c>
      <c r="L294" s="3" t="s">
        <v>511</v>
      </c>
    </row>
    <row r="295" spans="2:12">
      <c r="B295" s="3" t="s">
        <v>570</v>
      </c>
      <c r="C295" s="7"/>
      <c r="D295" s="5"/>
      <c r="E295" s="3"/>
      <c r="F295" s="3"/>
      <c r="G295" s="3"/>
      <c r="H295" s="3"/>
      <c r="I295" s="3"/>
      <c r="J295" s="3"/>
      <c r="K295" s="3"/>
      <c r="L295" s="4">
        <v>46002</v>
      </c>
    </row>
    <row r="296" spans="2:12">
      <c r="B296" s="2">
        <v>50375</v>
      </c>
      <c r="C296" s="7" t="s">
        <v>361</v>
      </c>
      <c r="D296" s="5"/>
      <c r="E296" s="3" t="s">
        <v>12</v>
      </c>
      <c r="F296" s="3" t="s">
        <v>12</v>
      </c>
      <c r="G296" s="3">
        <v>3.649</v>
      </c>
      <c r="H296" s="3" t="s">
        <v>12</v>
      </c>
      <c r="I296" s="3" t="s">
        <v>12</v>
      </c>
      <c r="J296" s="3" t="s">
        <v>12</v>
      </c>
      <c r="K296" s="3">
        <v>0</v>
      </c>
      <c r="L296" s="3" t="s">
        <v>511</v>
      </c>
    </row>
    <row r="297" spans="2:12">
      <c r="B297" s="3" t="s">
        <v>571</v>
      </c>
      <c r="C297" s="7"/>
      <c r="D297" s="5"/>
      <c r="E297" s="3"/>
      <c r="F297" s="3"/>
      <c r="G297" s="3"/>
      <c r="H297" s="3"/>
      <c r="I297" s="3"/>
      <c r="J297" s="3"/>
      <c r="K297" s="3"/>
      <c r="L297" s="4">
        <v>46002</v>
      </c>
    </row>
    <row r="298" spans="2:12">
      <c r="B298" s="2">
        <v>50406</v>
      </c>
      <c r="C298" s="7" t="s">
        <v>361</v>
      </c>
      <c r="D298" s="5"/>
      <c r="E298" s="3" t="s">
        <v>12</v>
      </c>
      <c r="F298" s="3" t="s">
        <v>12</v>
      </c>
      <c r="G298" s="3">
        <v>3.8809999999999998</v>
      </c>
      <c r="H298" s="3" t="s">
        <v>12</v>
      </c>
      <c r="I298" s="3" t="s">
        <v>12</v>
      </c>
      <c r="J298" s="3" t="s">
        <v>12</v>
      </c>
      <c r="K298" s="3">
        <v>0</v>
      </c>
      <c r="L298" s="3" t="s">
        <v>511</v>
      </c>
    </row>
    <row r="299" spans="2:12">
      <c r="B299" s="3" t="s">
        <v>572</v>
      </c>
      <c r="C299" s="7"/>
      <c r="D299" s="5"/>
      <c r="E299" s="3"/>
      <c r="F299" s="3"/>
      <c r="G299" s="3"/>
      <c r="H299" s="3"/>
      <c r="I299" s="3"/>
      <c r="J299" s="3"/>
      <c r="K299" s="3"/>
      <c r="L299" s="4">
        <v>46002</v>
      </c>
    </row>
    <row r="300" spans="2:12">
      <c r="B300" s="2">
        <v>50437</v>
      </c>
      <c r="C300" s="7" t="s">
        <v>361</v>
      </c>
      <c r="D300" s="5"/>
      <c r="E300" s="3" t="s">
        <v>12</v>
      </c>
      <c r="F300" s="3" t="s">
        <v>12</v>
      </c>
      <c r="G300" s="3">
        <v>3.7309999999999999</v>
      </c>
      <c r="H300" s="3" t="s">
        <v>12</v>
      </c>
      <c r="I300" s="3" t="s">
        <v>12</v>
      </c>
      <c r="J300" s="3" t="s">
        <v>12</v>
      </c>
      <c r="K300" s="3">
        <v>0</v>
      </c>
      <c r="L300" s="3" t="s">
        <v>511</v>
      </c>
    </row>
    <row r="301" spans="2:12">
      <c r="B301" s="3" t="s">
        <v>573</v>
      </c>
      <c r="C301" s="7"/>
      <c r="D301" s="5"/>
      <c r="E301" s="3"/>
      <c r="F301" s="3"/>
      <c r="G301" s="3"/>
      <c r="H301" s="3"/>
      <c r="I301" s="3"/>
      <c r="J301" s="3"/>
      <c r="K301" s="3"/>
      <c r="L301" s="4">
        <v>46002</v>
      </c>
    </row>
    <row r="302" spans="2:12">
      <c r="B302" s="2">
        <v>50465</v>
      </c>
      <c r="C302" s="7" t="s">
        <v>361</v>
      </c>
      <c r="D302" s="5"/>
      <c r="E302" s="3" t="s">
        <v>12</v>
      </c>
      <c r="F302" s="3" t="s">
        <v>12</v>
      </c>
      <c r="G302" s="3">
        <v>3.5310000000000001</v>
      </c>
      <c r="H302" s="3" t="s">
        <v>12</v>
      </c>
      <c r="I302" s="3" t="s">
        <v>12</v>
      </c>
      <c r="J302" s="3" t="s">
        <v>12</v>
      </c>
      <c r="K302" s="3">
        <v>0</v>
      </c>
      <c r="L302" s="3" t="s">
        <v>511</v>
      </c>
    </row>
    <row r="303" spans="2:12">
      <c r="B303" s="3" t="s">
        <v>574</v>
      </c>
      <c r="C303" s="7"/>
      <c r="D303" s="5"/>
      <c r="E303" s="3"/>
      <c r="F303" s="3"/>
      <c r="G303" s="3"/>
      <c r="H303" s="3"/>
      <c r="I303" s="3"/>
      <c r="J303" s="3"/>
      <c r="K303" s="3"/>
      <c r="L303" s="4">
        <v>46002</v>
      </c>
    </row>
    <row r="304" spans="2:12">
      <c r="B304" s="2">
        <v>50496</v>
      </c>
      <c r="C304" s="7" t="s">
        <v>361</v>
      </c>
      <c r="D304" s="5"/>
      <c r="E304" s="3" t="s">
        <v>12</v>
      </c>
      <c r="F304" s="3" t="s">
        <v>12</v>
      </c>
      <c r="G304" s="3">
        <v>3.2010000000000001</v>
      </c>
      <c r="H304" s="3" t="s">
        <v>12</v>
      </c>
      <c r="I304" s="3" t="s">
        <v>12</v>
      </c>
      <c r="J304" s="3" t="s">
        <v>12</v>
      </c>
      <c r="K304" s="3">
        <v>0</v>
      </c>
      <c r="L304" s="3" t="s">
        <v>511</v>
      </c>
    </row>
    <row r="305" spans="2:12">
      <c r="B305" s="3" t="s">
        <v>575</v>
      </c>
      <c r="C305" s="7"/>
      <c r="D305" s="5"/>
      <c r="E305" s="3"/>
      <c r="F305" s="3"/>
      <c r="G305" s="3"/>
      <c r="H305" s="3"/>
      <c r="I305" s="3"/>
      <c r="J305" s="3"/>
      <c r="K305" s="3"/>
      <c r="L305" s="4">
        <v>46002</v>
      </c>
    </row>
    <row r="306" spans="2:12">
      <c r="B306" s="2">
        <v>50526</v>
      </c>
      <c r="C306" s="7" t="s">
        <v>361</v>
      </c>
      <c r="D306" s="5"/>
      <c r="E306" s="3" t="s">
        <v>12</v>
      </c>
      <c r="F306" s="3" t="s">
        <v>12</v>
      </c>
      <c r="G306" s="3">
        <v>3.1789999999999998</v>
      </c>
      <c r="H306" s="3" t="s">
        <v>12</v>
      </c>
      <c r="I306" s="3" t="s">
        <v>12</v>
      </c>
      <c r="J306" s="3" t="s">
        <v>12</v>
      </c>
      <c r="K306" s="3">
        <v>0</v>
      </c>
      <c r="L306" s="3" t="s">
        <v>511</v>
      </c>
    </row>
    <row r="307" spans="2:12">
      <c r="B307" s="3" t="s">
        <v>576</v>
      </c>
      <c r="C307" s="7"/>
      <c r="D307" s="5"/>
      <c r="E307" s="3"/>
      <c r="F307" s="3"/>
      <c r="G307" s="3"/>
      <c r="H307" s="3"/>
      <c r="I307" s="3"/>
      <c r="J307" s="3"/>
      <c r="K307" s="3"/>
      <c r="L307" s="4">
        <v>46002</v>
      </c>
    </row>
    <row r="308" spans="2:12">
      <c r="B308" s="2">
        <v>50557</v>
      </c>
      <c r="C308" s="7" t="s">
        <v>361</v>
      </c>
      <c r="D308" s="5"/>
      <c r="E308" s="3" t="s">
        <v>12</v>
      </c>
      <c r="F308" s="3" t="s">
        <v>12</v>
      </c>
      <c r="G308" s="3">
        <v>3.214</v>
      </c>
      <c r="H308" s="3" t="s">
        <v>12</v>
      </c>
      <c r="I308" s="3" t="s">
        <v>12</v>
      </c>
      <c r="J308" s="3" t="s">
        <v>12</v>
      </c>
      <c r="K308" s="3">
        <v>0</v>
      </c>
      <c r="L308" s="3" t="s">
        <v>511</v>
      </c>
    </row>
    <row r="309" spans="2:12">
      <c r="B309" s="3" t="s">
        <v>577</v>
      </c>
      <c r="C309" s="7"/>
      <c r="D309" s="5"/>
      <c r="E309" s="3"/>
      <c r="F309" s="3"/>
      <c r="G309" s="3"/>
      <c r="H309" s="3"/>
      <c r="I309" s="3"/>
      <c r="J309" s="3"/>
      <c r="K309" s="3"/>
      <c r="L309" s="4">
        <v>46002</v>
      </c>
    </row>
    <row r="310" spans="2:12">
      <c r="B310" s="2">
        <v>50587</v>
      </c>
      <c r="C310" s="7" t="s">
        <v>361</v>
      </c>
      <c r="D310" s="5"/>
      <c r="E310" s="3" t="s">
        <v>12</v>
      </c>
      <c r="F310" s="3" t="s">
        <v>12</v>
      </c>
      <c r="G310" s="3">
        <v>3.254</v>
      </c>
      <c r="H310" s="3" t="s">
        <v>12</v>
      </c>
      <c r="I310" s="3" t="s">
        <v>12</v>
      </c>
      <c r="J310" s="3" t="s">
        <v>12</v>
      </c>
      <c r="K310" s="3">
        <v>0</v>
      </c>
      <c r="L310" s="3" t="s">
        <v>511</v>
      </c>
    </row>
    <row r="311" spans="2:12">
      <c r="B311" s="3" t="s">
        <v>578</v>
      </c>
      <c r="C311" s="7"/>
      <c r="D311" s="5"/>
      <c r="E311" s="3"/>
      <c r="F311" s="3"/>
      <c r="G311" s="3"/>
      <c r="H311" s="3"/>
      <c r="I311" s="3"/>
      <c r="J311" s="3"/>
      <c r="K311" s="3"/>
      <c r="L311" s="4">
        <v>46002</v>
      </c>
    </row>
    <row r="312" spans="2:12">
      <c r="B312" s="2">
        <v>50618</v>
      </c>
      <c r="C312" s="7" t="s">
        <v>361</v>
      </c>
      <c r="D312" s="5"/>
      <c r="E312" s="3" t="s">
        <v>12</v>
      </c>
      <c r="F312" s="3" t="s">
        <v>12</v>
      </c>
      <c r="G312" s="3">
        <v>3.294</v>
      </c>
      <c r="H312" s="3" t="s">
        <v>12</v>
      </c>
      <c r="I312" s="3" t="s">
        <v>12</v>
      </c>
      <c r="J312" s="3" t="s">
        <v>12</v>
      </c>
      <c r="K312" s="3">
        <v>0</v>
      </c>
      <c r="L312" s="3" t="s">
        <v>511</v>
      </c>
    </row>
    <row r="313" spans="2:12">
      <c r="B313" s="3" t="s">
        <v>579</v>
      </c>
      <c r="C313" s="7"/>
      <c r="D313" s="5"/>
      <c r="E313" s="3"/>
      <c r="F313" s="3"/>
      <c r="G313" s="3"/>
      <c r="H313" s="3"/>
      <c r="I313" s="3"/>
      <c r="J313" s="3"/>
      <c r="K313" s="3"/>
      <c r="L313" s="4">
        <v>46002</v>
      </c>
    </row>
    <row r="314" spans="2:12">
      <c r="B314" s="2">
        <v>50649</v>
      </c>
      <c r="C314" s="7" t="s">
        <v>361</v>
      </c>
      <c r="D314" s="5"/>
      <c r="E314" s="3" t="s">
        <v>12</v>
      </c>
      <c r="F314" s="3" t="s">
        <v>12</v>
      </c>
      <c r="G314" s="3">
        <v>3.3090000000000002</v>
      </c>
      <c r="H314" s="3" t="s">
        <v>12</v>
      </c>
      <c r="I314" s="3" t="s">
        <v>12</v>
      </c>
      <c r="J314" s="3" t="s">
        <v>12</v>
      </c>
      <c r="K314" s="3">
        <v>0</v>
      </c>
      <c r="L314" s="3" t="s">
        <v>511</v>
      </c>
    </row>
    <row r="315" spans="2:12">
      <c r="B315" s="3" t="s">
        <v>580</v>
      </c>
      <c r="C315" s="7"/>
      <c r="D315" s="5"/>
      <c r="E315" s="3"/>
      <c r="F315" s="3"/>
      <c r="G315" s="3"/>
      <c r="H315" s="3"/>
      <c r="I315" s="3"/>
      <c r="J315" s="3"/>
      <c r="K315" s="3"/>
      <c r="L315" s="4">
        <v>46002</v>
      </c>
    </row>
    <row r="316" spans="2:12">
      <c r="B316" s="2">
        <v>50679</v>
      </c>
      <c r="C316" s="7" t="s">
        <v>361</v>
      </c>
      <c r="D316" s="5"/>
      <c r="E316" s="3" t="s">
        <v>12</v>
      </c>
      <c r="F316" s="3" t="s">
        <v>12</v>
      </c>
      <c r="G316" s="3">
        <v>3.355</v>
      </c>
      <c r="H316" s="3" t="s">
        <v>12</v>
      </c>
      <c r="I316" s="3" t="s">
        <v>12</v>
      </c>
      <c r="J316" s="3" t="s">
        <v>12</v>
      </c>
      <c r="K316" s="3">
        <v>0</v>
      </c>
      <c r="L316" s="3" t="s">
        <v>511</v>
      </c>
    </row>
    <row r="317" spans="2:12">
      <c r="B317" s="3" t="s">
        <v>581</v>
      </c>
      <c r="C317" s="7"/>
      <c r="D317" s="5"/>
      <c r="E317" s="3"/>
      <c r="F317" s="3"/>
      <c r="G317" s="3"/>
      <c r="H317" s="3"/>
      <c r="I317" s="3"/>
      <c r="J317" s="3"/>
      <c r="K317" s="3"/>
      <c r="L317" s="4">
        <v>46002</v>
      </c>
    </row>
    <row r="318" spans="2:12">
      <c r="B318" s="2">
        <v>50710</v>
      </c>
      <c r="C318" s="7" t="s">
        <v>361</v>
      </c>
      <c r="D318" s="5"/>
      <c r="E318" s="3" t="s">
        <v>12</v>
      </c>
      <c r="F318" s="3" t="s">
        <v>12</v>
      </c>
      <c r="G318" s="3">
        <v>3.427</v>
      </c>
      <c r="H318" s="3" t="s">
        <v>12</v>
      </c>
      <c r="I318" s="3" t="s">
        <v>12</v>
      </c>
      <c r="J318" s="3" t="s">
        <v>12</v>
      </c>
      <c r="K318" s="3">
        <v>0</v>
      </c>
      <c r="L318" s="3" t="s">
        <v>511</v>
      </c>
    </row>
    <row r="319" spans="2:12">
      <c r="B319" s="3" t="s">
        <v>582</v>
      </c>
      <c r="C319" s="7"/>
      <c r="D319" s="5"/>
      <c r="E319" s="3"/>
      <c r="F319" s="3"/>
      <c r="G319" s="3"/>
      <c r="H319" s="3"/>
      <c r="I319" s="3"/>
      <c r="J319" s="3"/>
      <c r="K319" s="3"/>
      <c r="L319" s="4">
        <v>46002</v>
      </c>
    </row>
    <row r="320" spans="2:12">
      <c r="B320" s="2">
        <v>50740</v>
      </c>
      <c r="C320" s="7" t="s">
        <v>361</v>
      </c>
      <c r="D320" s="5"/>
      <c r="E320" s="3" t="s">
        <v>12</v>
      </c>
      <c r="F320" s="3" t="s">
        <v>12</v>
      </c>
      <c r="G320" s="3">
        <v>3.5819999999999999</v>
      </c>
      <c r="H320" s="3" t="s">
        <v>12</v>
      </c>
      <c r="I320" s="3" t="s">
        <v>12</v>
      </c>
      <c r="J320" s="3" t="s">
        <v>12</v>
      </c>
      <c r="K320" s="3">
        <v>0</v>
      </c>
      <c r="L320" s="3" t="s">
        <v>511</v>
      </c>
    </row>
    <row r="321" spans="2:12">
      <c r="B321" s="3" t="s">
        <v>583</v>
      </c>
      <c r="C321" s="7"/>
      <c r="D321" s="5"/>
      <c r="E321" s="3"/>
      <c r="F321" s="3"/>
      <c r="G321" s="3"/>
      <c r="H321" s="3"/>
      <c r="I321" s="3"/>
      <c r="J321" s="3"/>
      <c r="K321" s="3"/>
      <c r="L321" s="4">
        <v>46002</v>
      </c>
    </row>
    <row r="322" spans="2:12" ht="21">
      <c r="B322" s="31" t="s">
        <v>584</v>
      </c>
    </row>
  </sheetData>
  <hyperlinks>
    <hyperlink ref="C10" r:id="rId1" location="optionProductId=191&amp;expiration=2025-12-NGF26-122026" display="https://www.cmegroup.com/markets/energy/natural-gas/natural-gas.quotes.options.html - optionProductId=191&amp;expiration=2025-12-NGF26-122026" xr:uid="{0DE69528-1F0E-1347-A813-FA63D583B044}"/>
    <hyperlink ref="C12" r:id="rId2" location="optionProductId=191&amp;expiration=2026-1-NGG26-12026" display="https://www.cmegroup.com/markets/energy/natural-gas/natural-gas.quotes.options.html - optionProductId=191&amp;expiration=2026-1-NGG26-12026" xr:uid="{97F5238F-DA99-2446-8378-306DBE09BEE3}"/>
    <hyperlink ref="C14" r:id="rId3" location="optionProductId=191&amp;expiration=2026-2-NGH26-22026" display="https://www.cmegroup.com/markets/energy/natural-gas/natural-gas.quotes.options.html - optionProductId=191&amp;expiration=2026-2-NGH26-22026" xr:uid="{F9ADBCB6-BB82-C34A-A40D-D629CC0B9E82}"/>
    <hyperlink ref="C16" r:id="rId4" location="optionProductId=191&amp;expiration=2026-3-NGJ26-32026" display="https://www.cmegroup.com/markets/energy/natural-gas/natural-gas.quotes.options.html - optionProductId=191&amp;expiration=2026-3-NGJ26-32026" xr:uid="{8899473F-F75C-CF40-B169-2370AF342883}"/>
    <hyperlink ref="C18" r:id="rId5" location="optionProductId=191&amp;expiration=2026-4-NGK26-42026" display="https://www.cmegroup.com/markets/energy/natural-gas/natural-gas.quotes.options.html - optionProductId=191&amp;expiration=2026-4-NGK26-42026" xr:uid="{AC6D883A-0784-154C-9ED5-0A73A1BB9FFE}"/>
    <hyperlink ref="C20" r:id="rId6" location="optionProductId=191&amp;expiration=2026-5-NGM26-52026" display="https://www.cmegroup.com/markets/energy/natural-gas/natural-gas.quotes.options.html - optionProductId=191&amp;expiration=2026-5-NGM26-52026" xr:uid="{A35C5F5F-33A9-1642-AD3A-39BC24855DD3}"/>
    <hyperlink ref="C22" r:id="rId7" location="optionProductId=191&amp;expiration=2026-6-NGN26-62026" display="https://www.cmegroup.com/markets/energy/natural-gas/natural-gas.quotes.options.html - optionProductId=191&amp;expiration=2026-6-NGN26-62026" xr:uid="{C6F0B44E-40DD-6848-A08F-E5EF28C4F5DD}"/>
    <hyperlink ref="C24" r:id="rId8" location="optionProductId=191&amp;expiration=2026-7-NGQ26-72026" display="https://www.cmegroup.com/markets/energy/natural-gas/natural-gas.quotes.options.html - optionProductId=191&amp;expiration=2026-7-NGQ26-72026" xr:uid="{A7294339-22AE-2048-AD84-BB96827332CA}"/>
    <hyperlink ref="C26" r:id="rId9" location="optionProductId=191&amp;expiration=2026-8-NGU26-82026" display="https://www.cmegroup.com/markets/energy/natural-gas/natural-gas.quotes.options.html - optionProductId=191&amp;expiration=2026-8-NGU26-82026" xr:uid="{03C080B7-D4EF-4648-B9A5-CA3A96202F36}"/>
    <hyperlink ref="C28" r:id="rId10" location="optionProductId=191&amp;expiration=2026-9-NGV26-92026" display="https://www.cmegroup.com/markets/energy/natural-gas/natural-gas.quotes.options.html - optionProductId=191&amp;expiration=2026-9-NGV26-92026" xr:uid="{B10C43BE-0910-1541-90C7-561E8157530C}"/>
    <hyperlink ref="C30" r:id="rId11" location="optionProductId=191&amp;expiration=2026-10-NGX26-102026" display="https://www.cmegroup.com/markets/energy/natural-gas/natural-gas.quotes.options.html - optionProductId=191&amp;expiration=2026-10-NGX26-102026" xr:uid="{46844999-548A-0749-8E9F-47B8980EDF73}"/>
    <hyperlink ref="C32" r:id="rId12" location="optionProductId=191&amp;expiration=2026-11-NGZ26-112026" display="https://www.cmegroup.com/markets/energy/natural-gas/natural-gas.quotes.options.html - optionProductId=191&amp;expiration=2026-11-NGZ26-112026" xr:uid="{3AEFEA37-F031-674E-B3F1-B8B15900A956}"/>
    <hyperlink ref="C34" r:id="rId13" location="optionProductId=191&amp;expiration=2026-12-NGF27-122027" display="https://www.cmegroup.com/markets/energy/natural-gas/natural-gas.quotes.options.html - optionProductId=191&amp;expiration=2026-12-NGF27-122027" xr:uid="{B289EF29-3B4B-C54F-B28D-8D45F8812BB4}"/>
    <hyperlink ref="C36" r:id="rId14" location="optionProductId=191&amp;expiration=2027-1-NGG27-12027" display="https://www.cmegroup.com/markets/energy/natural-gas/natural-gas.quotes.options.html - optionProductId=191&amp;expiration=2027-1-NGG27-12027" xr:uid="{C8561348-CDFF-F14D-A981-72ED9E703E33}"/>
    <hyperlink ref="C38" r:id="rId15" location="optionProductId=191&amp;expiration=2027-2-NGH27-22027" display="https://www.cmegroup.com/markets/energy/natural-gas/natural-gas.quotes.options.html - optionProductId=191&amp;expiration=2027-2-NGH27-22027" xr:uid="{5F0F26DF-9239-B943-BE8E-4BC992B1D330}"/>
    <hyperlink ref="C40" r:id="rId16" location="optionProductId=191&amp;expiration=2027-3-NGJ27-32027" display="https://www.cmegroup.com/markets/energy/natural-gas/natural-gas.quotes.options.html - optionProductId=191&amp;expiration=2027-3-NGJ27-32027" xr:uid="{94818382-D7E2-884D-95D5-69DF1B6570AA}"/>
    <hyperlink ref="C42" r:id="rId17" location="optionProductId=191&amp;expiration=2027-4-NGK27-42027" display="https://www.cmegroup.com/markets/energy/natural-gas/natural-gas.quotes.options.html - optionProductId=191&amp;expiration=2027-4-NGK27-42027" xr:uid="{4EC5112D-A78A-BE4A-8499-C629B76D0B8F}"/>
    <hyperlink ref="C44" r:id="rId18" location="optionProductId=191&amp;expiration=2027-5-NGM27-52027" display="https://www.cmegroup.com/markets/energy/natural-gas/natural-gas.quotes.options.html - optionProductId=191&amp;expiration=2027-5-NGM27-52027" xr:uid="{2084643C-FDB8-1046-8332-7D8A7D9E5A72}"/>
    <hyperlink ref="C46" r:id="rId19" location="optionProductId=191&amp;expiration=2027-6-NGN27-62027" display="https://www.cmegroup.com/markets/energy/natural-gas/natural-gas.quotes.options.html - optionProductId=191&amp;expiration=2027-6-NGN27-62027" xr:uid="{475CE2D8-BAFD-924A-AFC9-ED603046E365}"/>
    <hyperlink ref="C48" r:id="rId20" location="optionProductId=191&amp;expiration=2027-7-NGQ27-72027" display="https://www.cmegroup.com/markets/energy/natural-gas/natural-gas.quotes.options.html - optionProductId=191&amp;expiration=2027-7-NGQ27-72027" xr:uid="{B42A71DD-490C-3544-ACE4-6E5BA03E48BC}"/>
    <hyperlink ref="C50" r:id="rId21" location="optionProductId=191&amp;expiration=2027-8-NGU27-82027" display="https://www.cmegroup.com/markets/energy/natural-gas/natural-gas.quotes.options.html - optionProductId=191&amp;expiration=2027-8-NGU27-82027" xr:uid="{E0DB3D7D-BCBF-8144-84B6-6068F1015560}"/>
    <hyperlink ref="C52" r:id="rId22" location="optionProductId=191&amp;expiration=2027-9-NGV27-92027" display="https://www.cmegroup.com/markets/energy/natural-gas/natural-gas.quotes.options.html - optionProductId=191&amp;expiration=2027-9-NGV27-92027" xr:uid="{9A5A51ED-53FA-AC4A-9CBB-B317850242D4}"/>
    <hyperlink ref="C54" r:id="rId23" location="optionProductId=191&amp;expiration=2027-10-NGX27-102027" display="https://www.cmegroup.com/markets/energy/natural-gas/natural-gas.quotes.options.html - optionProductId=191&amp;expiration=2027-10-NGX27-102027" xr:uid="{8FE2DFF7-9C3C-E44C-9197-C4C984BD3DC3}"/>
    <hyperlink ref="C56" r:id="rId24" location="optionProductId=191&amp;expiration=2027-11-NGZ27-112027" display="https://www.cmegroup.com/markets/energy/natural-gas/natural-gas.quotes.options.html - optionProductId=191&amp;expiration=2027-11-NGZ27-112027" xr:uid="{38FB56DF-B045-AB46-9033-A6A541D9C98E}"/>
    <hyperlink ref="C58" r:id="rId25" location="optionProductId=191&amp;expiration=2027-12-NGF28-122028" display="https://www.cmegroup.com/markets/energy/natural-gas/natural-gas.quotes.options.html - optionProductId=191&amp;expiration=2027-12-NGF28-122028" xr:uid="{DD2D567F-2CA6-144D-B0C0-53B099A634C4}"/>
    <hyperlink ref="C60" r:id="rId26" location="optionProductId=191&amp;expiration=2028-1-NGG28-12028" display="https://www.cmegroup.com/markets/energy/natural-gas/natural-gas.quotes.options.html - optionProductId=191&amp;expiration=2028-1-NGG28-12028" xr:uid="{ABA5D863-3ABC-DA42-B946-59D6532EAED1}"/>
    <hyperlink ref="C62" r:id="rId27" location="optionProductId=191&amp;expiration=2028-2-NGH28-22028" display="https://www.cmegroup.com/markets/energy/natural-gas/natural-gas.quotes.options.html - optionProductId=191&amp;expiration=2028-2-NGH28-22028" xr:uid="{9E144C4E-FA26-9B4B-AF74-73873433D672}"/>
    <hyperlink ref="C64" r:id="rId28" location="optionProductId=191&amp;expiration=2028-3-NGJ28-32028" display="https://www.cmegroup.com/markets/energy/natural-gas/natural-gas.quotes.options.html - optionProductId=191&amp;expiration=2028-3-NGJ28-32028" xr:uid="{1CC7F226-492D-8642-9533-704FA88961DE}"/>
    <hyperlink ref="C66" r:id="rId29" location="optionProductId=191&amp;expiration=2028-4-NGK28-42028" display="https://www.cmegroup.com/markets/energy/natural-gas/natural-gas.quotes.options.html - optionProductId=191&amp;expiration=2028-4-NGK28-42028" xr:uid="{993A3D58-FB4A-7846-AAE4-1376A7DD7126}"/>
    <hyperlink ref="C68" r:id="rId30" location="optionProductId=191&amp;expiration=2028-5-NGM28-52028" display="https://www.cmegroup.com/markets/energy/natural-gas/natural-gas.quotes.options.html - optionProductId=191&amp;expiration=2028-5-NGM28-52028" xr:uid="{2140A1F0-97FB-5B4F-A630-4EA990C91E13}"/>
    <hyperlink ref="C70" r:id="rId31" location="optionProductId=191&amp;expiration=2028-6-NGN28-62028" display="https://www.cmegroup.com/markets/energy/natural-gas/natural-gas.quotes.options.html - optionProductId=191&amp;expiration=2028-6-NGN28-62028" xr:uid="{AE5C1135-1E83-B748-B65D-79B41F3450B4}"/>
    <hyperlink ref="C72" r:id="rId32" location="optionProductId=191&amp;expiration=2028-7-NGQ28-72028" display="https://www.cmegroup.com/markets/energy/natural-gas/natural-gas.quotes.options.html - optionProductId=191&amp;expiration=2028-7-NGQ28-72028" xr:uid="{BED91F64-A0E7-4541-8EEE-152B3ADC18EA}"/>
    <hyperlink ref="C74" r:id="rId33" location="optionProductId=191&amp;expiration=2028-8-NGU28-82028" display="https://www.cmegroup.com/markets/energy/natural-gas/natural-gas.quotes.options.html - optionProductId=191&amp;expiration=2028-8-NGU28-82028" xr:uid="{E56CFFC9-C205-524F-A22A-CEA4FA5696D3}"/>
    <hyperlink ref="C76" r:id="rId34" location="optionProductId=191&amp;expiration=2028-9-NGV28-92028" display="https://www.cmegroup.com/markets/energy/natural-gas/natural-gas.quotes.options.html - optionProductId=191&amp;expiration=2028-9-NGV28-92028" xr:uid="{CE322931-F428-6B45-92F2-2BAD483D353E}"/>
    <hyperlink ref="C78" r:id="rId35" location="optionProductId=191&amp;expiration=2028-10-NGX28-102028" display="https://www.cmegroup.com/markets/energy/natural-gas/natural-gas.quotes.options.html - optionProductId=191&amp;expiration=2028-10-NGX28-102028" xr:uid="{E8971E20-0099-C848-A897-6AA7B192F30C}"/>
    <hyperlink ref="C80" r:id="rId36" location="optionProductId=191&amp;expiration=2028-11-NGZ28-112028" display="https://www.cmegroup.com/markets/energy/natural-gas/natural-gas.quotes.options.html - optionProductId=191&amp;expiration=2028-11-NGZ28-112028" xr:uid="{E1584931-7131-0D41-8DFD-8A33B697E927}"/>
    <hyperlink ref="C82" r:id="rId37" location="optionProductId=191&amp;expiration=2028-12-NGF29-122029" display="https://www.cmegroup.com/markets/energy/natural-gas/natural-gas.quotes.options.html - optionProductId=191&amp;expiration=2028-12-NGF29-122029" xr:uid="{A33CBD5D-8BF3-D447-8A9D-D1194A3CFA96}"/>
    <hyperlink ref="C84" r:id="rId38" location="optionProductId=191&amp;expiration=2029-1-NGG29-12029" display="https://www.cmegroup.com/markets/energy/natural-gas/natural-gas.quotes.options.html - optionProductId=191&amp;expiration=2029-1-NGG29-12029" xr:uid="{FF5AA3DA-4912-1845-91AB-10EB3F2C6559}"/>
    <hyperlink ref="C86" r:id="rId39" location="optionProductId=191&amp;expiration=2029-2-NGH29-22029" display="https://www.cmegroup.com/markets/energy/natural-gas/natural-gas.quotes.options.html - optionProductId=191&amp;expiration=2029-2-NGH29-22029" xr:uid="{153CA9D4-79CF-204C-BEDB-775A3E5D6D3A}"/>
    <hyperlink ref="C88" r:id="rId40" location="optionProductId=191&amp;expiration=2029-3-NGJ29-32029" display="https://www.cmegroup.com/markets/energy/natural-gas/natural-gas.quotes.options.html - optionProductId=191&amp;expiration=2029-3-NGJ29-32029" xr:uid="{93FBE50E-F2E1-E048-9BF8-F26D15D8928D}"/>
    <hyperlink ref="C90" r:id="rId41" location="optionProductId=191&amp;expiration=2029-4-NGK29-42029" display="https://www.cmegroup.com/markets/energy/natural-gas/natural-gas.quotes.options.html - optionProductId=191&amp;expiration=2029-4-NGK29-42029" xr:uid="{63BFF9D1-F3A3-934D-AC98-FA169F2BC11B}"/>
    <hyperlink ref="C92" r:id="rId42" location="optionProductId=191&amp;expiration=2029-5-NGM29-52029" display="https://www.cmegroup.com/markets/energy/natural-gas/natural-gas.quotes.options.html - optionProductId=191&amp;expiration=2029-5-NGM29-52029" xr:uid="{E8B055A7-B816-4445-B146-1097C5C01E11}"/>
    <hyperlink ref="C94" r:id="rId43" location="optionProductId=191&amp;expiration=2029-6-NGN29-62029" display="https://www.cmegroup.com/markets/energy/natural-gas/natural-gas.quotes.options.html - optionProductId=191&amp;expiration=2029-6-NGN29-62029" xr:uid="{3EF84DF3-8CD5-3349-ABD9-F8D82118FFE2}"/>
    <hyperlink ref="C96" r:id="rId44" location="optionProductId=191&amp;expiration=2029-7-NGQ29-72029" display="https://www.cmegroup.com/markets/energy/natural-gas/natural-gas.quotes.options.html - optionProductId=191&amp;expiration=2029-7-NGQ29-72029" xr:uid="{00119EE4-9A12-E348-8C60-2E99CEE8CECF}"/>
    <hyperlink ref="C98" r:id="rId45" location="optionProductId=191&amp;expiration=2029-8-NGU29-82029" display="https://www.cmegroup.com/markets/energy/natural-gas/natural-gas.quotes.options.html - optionProductId=191&amp;expiration=2029-8-NGU29-82029" xr:uid="{2FB36273-7CA4-FE44-882B-5E49D7E54759}"/>
    <hyperlink ref="C100" r:id="rId46" location="optionProductId=191&amp;expiration=2029-9-NGV29-92029" display="https://www.cmegroup.com/markets/energy/natural-gas/natural-gas.quotes.options.html - optionProductId=191&amp;expiration=2029-9-NGV29-92029" xr:uid="{D7254732-2ADA-8541-B033-BBC62B8FA3B6}"/>
    <hyperlink ref="C102" r:id="rId47" location="optionProductId=191&amp;expiration=2029-10-NGX29-102029" display="https://www.cmegroup.com/markets/energy/natural-gas/natural-gas.quotes.options.html - optionProductId=191&amp;expiration=2029-10-NGX29-102029" xr:uid="{AB651D6C-CD4D-9F4F-9ED4-3483CC6E3E1E}"/>
    <hyperlink ref="C104" r:id="rId48" location="optionProductId=191&amp;expiration=2029-11-NGZ29-112029" display="https://www.cmegroup.com/markets/energy/natural-gas/natural-gas.quotes.options.html - optionProductId=191&amp;expiration=2029-11-NGZ29-112029" xr:uid="{29436BCA-D02C-D242-BA9A-C319B2B32D36}"/>
    <hyperlink ref="C106" r:id="rId49" location="optionProductId=191&amp;expiration=2029-12-NGF30-122030" display="https://www.cmegroup.com/markets/energy/natural-gas/natural-gas.quotes.options.html - optionProductId=191&amp;expiration=2029-12-NGF30-122030" xr:uid="{1C3401F7-7C40-E242-8DF9-342A02D601AB}"/>
    <hyperlink ref="C108" r:id="rId50" location="optionProductId=191&amp;expiration=2030-1-NGG30-12030" display="https://www.cmegroup.com/markets/energy/natural-gas/natural-gas.quotes.options.html - optionProductId=191&amp;expiration=2030-1-NGG30-12030" xr:uid="{A4CB8019-21D8-2043-9259-740CEE1201BA}"/>
    <hyperlink ref="C110" r:id="rId51" location="optionProductId=191&amp;expiration=2030-2-NGH30-22030" display="https://www.cmegroup.com/markets/energy/natural-gas/natural-gas.quotes.options.html - optionProductId=191&amp;expiration=2030-2-NGH30-22030" xr:uid="{1332E901-3935-DE46-AC7B-AECC72EEC64C}"/>
    <hyperlink ref="C112" r:id="rId52" location="optionProductId=191&amp;expiration=2030-3-NGJ30-32030" display="https://www.cmegroup.com/markets/energy/natural-gas/natural-gas.quotes.options.html - optionProductId=191&amp;expiration=2030-3-NGJ30-32030" xr:uid="{07F3A56F-8B1A-F34C-8F27-1DB16A745FD5}"/>
    <hyperlink ref="C114" r:id="rId53" location="optionProductId=191&amp;expiration=2030-4-NGK30-42030" display="https://www.cmegroup.com/markets/energy/natural-gas/natural-gas.quotes.options.html - optionProductId=191&amp;expiration=2030-4-NGK30-42030" xr:uid="{C1A81B6A-D59F-2043-B85D-064DBC4D6919}"/>
    <hyperlink ref="C116" r:id="rId54" location="optionProductId=191&amp;expiration=2030-5-NGM30-52030" display="https://www.cmegroup.com/markets/energy/natural-gas/natural-gas.quotes.options.html - optionProductId=191&amp;expiration=2030-5-NGM30-52030" xr:uid="{54410C90-42BE-324D-A320-00803A25E482}"/>
    <hyperlink ref="C118" r:id="rId55" location="optionProductId=191&amp;expiration=2030-6-NGN30-62030" display="https://www.cmegroup.com/markets/energy/natural-gas/natural-gas.quotes.options.html - optionProductId=191&amp;expiration=2030-6-NGN30-62030" xr:uid="{3F1E5BEF-06EC-1843-B3CA-68714E5E66DA}"/>
    <hyperlink ref="C120" r:id="rId56" location="optionProductId=191&amp;expiration=2030-7-NGQ30-72030" display="https://www.cmegroup.com/markets/energy/natural-gas/natural-gas.quotes.options.html - optionProductId=191&amp;expiration=2030-7-NGQ30-72030" xr:uid="{4BC52641-AC53-1242-B5BA-CA44D9584C9A}"/>
    <hyperlink ref="C122" r:id="rId57" location="optionProductId=191&amp;expiration=2030-8-NGU30-82030" display="https://www.cmegroup.com/markets/energy/natural-gas/natural-gas.quotes.options.html - optionProductId=191&amp;expiration=2030-8-NGU30-82030" xr:uid="{BBE46E39-4BB4-C941-894E-607EAE139A7E}"/>
    <hyperlink ref="C124" r:id="rId58" location="optionProductId=191&amp;expiration=2030-9-NGV30-92030" display="https://www.cmegroup.com/markets/energy/natural-gas/natural-gas.quotes.options.html - optionProductId=191&amp;expiration=2030-9-NGV30-92030" xr:uid="{9F0BA79C-6598-CC44-930B-052882CB1525}"/>
    <hyperlink ref="C126" r:id="rId59" location="optionProductId=191&amp;expiration=2030-10-NGX30-102030" display="https://www.cmegroup.com/markets/energy/natural-gas/natural-gas.quotes.options.html - optionProductId=191&amp;expiration=2030-10-NGX30-102030" xr:uid="{56395C35-A808-414F-A85D-EDA9F6E01216}"/>
    <hyperlink ref="C128" r:id="rId60" location="optionProductId=191&amp;expiration=2030-11-NGZ30-112030" display="https://www.cmegroup.com/markets/energy/natural-gas/natural-gas.quotes.options.html - optionProductId=191&amp;expiration=2030-11-NGZ30-112030" xr:uid="{9D638B9A-1803-E946-8EDC-B98C68AC767B}"/>
    <hyperlink ref="C130" r:id="rId61" location="optionProductId=191&amp;expiration=2030-12-NGF31-122031" display="https://www.cmegroup.com/markets/energy/natural-gas/natural-gas.quotes.options.html - optionProductId=191&amp;expiration=2030-12-NGF31-122031" xr:uid="{92FEF821-90BB-854E-9F29-D994E6EFD6AE}"/>
    <hyperlink ref="C132" r:id="rId62" location="optionProductId=191&amp;expiration=2031-1-NGG31-12031" display="https://www.cmegroup.com/markets/energy/natural-gas/natural-gas.quotes.options.html - optionProductId=191&amp;expiration=2031-1-NGG31-12031" xr:uid="{AE7CF207-4CDA-3441-8C97-433CEC54031B}"/>
    <hyperlink ref="C134" r:id="rId63" location="optionProductId=191&amp;expiration=2031-2-NGH31-22031" display="https://www.cmegroup.com/markets/energy/natural-gas/natural-gas.quotes.options.html - optionProductId=191&amp;expiration=2031-2-NGH31-22031" xr:uid="{B4B7D961-AACC-954E-BD18-995071EA8537}"/>
    <hyperlink ref="C136" r:id="rId64" location="optionProductId=191&amp;expiration=2031-3-NGJ31-32031" display="https://www.cmegroup.com/markets/energy/natural-gas/natural-gas.quotes.options.html - optionProductId=191&amp;expiration=2031-3-NGJ31-32031" xr:uid="{B51D010A-E106-8C44-91DD-AF6DB57BD7D6}"/>
    <hyperlink ref="C138" r:id="rId65" location="optionProductId=191&amp;expiration=2031-4-NGK31-42031" display="https://www.cmegroup.com/markets/energy/natural-gas/natural-gas.quotes.options.html - optionProductId=191&amp;expiration=2031-4-NGK31-42031" xr:uid="{A2CEF379-7D4D-6447-B128-FD6859E9B6F8}"/>
    <hyperlink ref="C140" r:id="rId66" location="optionProductId=191&amp;expiration=2031-5-NGM31-52031" display="https://www.cmegroup.com/markets/energy/natural-gas/natural-gas.quotes.options.html - optionProductId=191&amp;expiration=2031-5-NGM31-52031" xr:uid="{9BC0FC25-1F89-114B-BDF2-2274CF895D1B}"/>
    <hyperlink ref="C142" r:id="rId67" location="optionProductId=191&amp;expiration=2031-6-NGN31-62031" display="https://www.cmegroup.com/markets/energy/natural-gas/natural-gas.quotes.options.html - optionProductId=191&amp;expiration=2031-6-NGN31-62031" xr:uid="{5944F3EF-7D19-1047-9DA4-83CF4D0DD1EB}"/>
    <hyperlink ref="C144" r:id="rId68" location="optionProductId=191&amp;expiration=2031-7-NGQ31-72031" display="https://www.cmegroup.com/markets/energy/natural-gas/natural-gas.quotes.options.html - optionProductId=191&amp;expiration=2031-7-NGQ31-72031" xr:uid="{76F43BB5-72D5-194C-A937-95DA8AC628B1}"/>
    <hyperlink ref="C146" r:id="rId69" location="optionProductId=191&amp;expiration=2031-8-NGU31-82031" display="https://www.cmegroup.com/markets/energy/natural-gas/natural-gas.quotes.options.html - optionProductId=191&amp;expiration=2031-8-NGU31-82031" xr:uid="{A50637D7-9FD7-CC4E-8085-AC79109DF831}"/>
    <hyperlink ref="C148" r:id="rId70" location="optionProductId=191&amp;expiration=2031-9-NGV31-92031" display="https://www.cmegroup.com/markets/energy/natural-gas/natural-gas.quotes.options.html - optionProductId=191&amp;expiration=2031-9-NGV31-92031" xr:uid="{08FD9120-7FF7-6146-906B-41AE4195C62E}"/>
    <hyperlink ref="C150" r:id="rId71" location="optionProductId=191&amp;expiration=2031-10-NGX31-102031" display="https://www.cmegroup.com/markets/energy/natural-gas/natural-gas.quotes.options.html - optionProductId=191&amp;expiration=2031-10-NGX31-102031" xr:uid="{94FF5074-3DDD-AB4F-96A5-695221C256AB}"/>
    <hyperlink ref="C152" r:id="rId72" location="optionProductId=191&amp;expiration=2031-11-NGZ31-112031" display="https://www.cmegroup.com/markets/energy/natural-gas/natural-gas.quotes.options.html - optionProductId=191&amp;expiration=2031-11-NGZ31-112031" xr:uid="{BE8B2985-C011-6A46-8867-88BD87DF4A11}"/>
    <hyperlink ref="C154" r:id="rId73" location="optionProductId=191&amp;expiration=2031-12-NGF32-122032" display="https://www.cmegroup.com/markets/energy/natural-gas/natural-gas.quotes.options.html - optionProductId=191&amp;expiration=2031-12-NGF32-122032" xr:uid="{9A74A99E-129C-EB4B-B839-265276C87982}"/>
    <hyperlink ref="C156" r:id="rId74" location="optionProductId=191&amp;expiration=2032-1-NGG32-12032" display="https://www.cmegroup.com/markets/energy/natural-gas/natural-gas.quotes.options.html - optionProductId=191&amp;expiration=2032-1-NGG32-12032" xr:uid="{C1A0ACAB-1F84-D545-BB58-CB5A5FA84F42}"/>
    <hyperlink ref="C158" r:id="rId75" location="optionProductId=191&amp;expiration=2032-2-NGH32-22032" display="https://www.cmegroup.com/markets/energy/natural-gas/natural-gas.quotes.options.html - optionProductId=191&amp;expiration=2032-2-NGH32-22032" xr:uid="{945AD3C9-7BC5-124B-98E5-4DAEEA2B6A86}"/>
    <hyperlink ref="C160" r:id="rId76" location="optionProductId=191&amp;expiration=2032-3-NGJ32-32032" display="https://www.cmegroup.com/markets/energy/natural-gas/natural-gas.quotes.options.html - optionProductId=191&amp;expiration=2032-3-NGJ32-32032" xr:uid="{DACABF6B-D832-D642-9360-227369F46747}"/>
    <hyperlink ref="C162" r:id="rId77" location="optionProductId=191&amp;expiration=2032-4-NGK32-42032" display="https://www.cmegroup.com/markets/energy/natural-gas/natural-gas.quotes.options.html - optionProductId=191&amp;expiration=2032-4-NGK32-42032" xr:uid="{DFAF696B-CCC0-F54F-A311-7085D279B956}"/>
    <hyperlink ref="C164" r:id="rId78" location="optionProductId=191&amp;expiration=2032-5-NGM32-52032" display="https://www.cmegroup.com/markets/energy/natural-gas/natural-gas.quotes.options.html - optionProductId=191&amp;expiration=2032-5-NGM32-52032" xr:uid="{8BD68BC1-9DD3-ED44-8CCA-342D21C761D4}"/>
    <hyperlink ref="C166" r:id="rId79" location="optionProductId=191&amp;expiration=2032-6-NGN32-62032" display="https://www.cmegroup.com/markets/energy/natural-gas/natural-gas.quotes.options.html - optionProductId=191&amp;expiration=2032-6-NGN32-62032" xr:uid="{78FCD5CE-1B43-2F46-9064-4B47E044AD09}"/>
    <hyperlink ref="C168" r:id="rId80" location="optionProductId=191&amp;expiration=2032-7-NGQ32-72032" display="https://www.cmegroup.com/markets/energy/natural-gas/natural-gas.quotes.options.html - optionProductId=191&amp;expiration=2032-7-NGQ32-72032" xr:uid="{DA2E3CFF-818E-8F47-9CBB-6635DCA369D6}"/>
    <hyperlink ref="C170" r:id="rId81" location="optionProductId=191&amp;expiration=2032-8-NGU32-82032" display="https://www.cmegroup.com/markets/energy/natural-gas/natural-gas.quotes.options.html - optionProductId=191&amp;expiration=2032-8-NGU32-82032" xr:uid="{5198D1FD-0298-A546-BEBF-AB32A1DDAE24}"/>
    <hyperlink ref="C172" r:id="rId82" location="optionProductId=191&amp;expiration=2032-9-NGV32-92032" display="https://www.cmegroup.com/markets/energy/natural-gas/natural-gas.quotes.options.html - optionProductId=191&amp;expiration=2032-9-NGV32-92032" xr:uid="{16FD6C0B-D0C2-F248-AFF6-5A0824B2CBFD}"/>
    <hyperlink ref="C174" r:id="rId83" location="optionProductId=191&amp;expiration=2032-10-NGX32-102032" display="https://www.cmegroup.com/markets/energy/natural-gas/natural-gas.quotes.options.html - optionProductId=191&amp;expiration=2032-10-NGX32-102032" xr:uid="{CB5708B1-08BA-8B4F-BB3E-4E62F1D9BB11}"/>
    <hyperlink ref="C176" r:id="rId84" location="optionProductId=191&amp;expiration=2032-11-NGZ32-112032" display="https://www.cmegroup.com/markets/energy/natural-gas/natural-gas.quotes.options.html - optionProductId=191&amp;expiration=2032-11-NGZ32-112032" xr:uid="{B1CD99BD-46C3-0C4E-8614-BD37462DF9C6}"/>
    <hyperlink ref="C178" r:id="rId85" location="optionProductId=191&amp;expiration=2032-12-NGF33-122033" display="https://www.cmegroup.com/markets/energy/natural-gas/natural-gas.quotes.options.html - optionProductId=191&amp;expiration=2032-12-NGF33-122033" xr:uid="{35948B4C-EFB5-3D4A-ACE1-68D17FB0A354}"/>
    <hyperlink ref="C180" r:id="rId86" location="optionProductId=191&amp;expiration=2033-1-NGG33-12033" display="https://www.cmegroup.com/markets/energy/natural-gas/natural-gas.quotes.options.html - optionProductId=191&amp;expiration=2033-1-NGG33-12033" xr:uid="{7A363EA8-FE16-8942-8A1A-6F67AA9D64AD}"/>
    <hyperlink ref="C182" r:id="rId87" location="optionProductId=191&amp;expiration=2033-2-NGH33-22033" display="https://www.cmegroup.com/markets/energy/natural-gas/natural-gas.quotes.options.html - optionProductId=191&amp;expiration=2033-2-NGH33-22033" xr:uid="{B51B46A0-A31A-E247-A2BD-BA5595F83DEA}"/>
    <hyperlink ref="C184" r:id="rId88" location="optionProductId=191&amp;expiration=2033-3-NGJ33-32033" display="https://www.cmegroup.com/markets/energy/natural-gas/natural-gas.quotes.options.html - optionProductId=191&amp;expiration=2033-3-NGJ33-32033" xr:uid="{1BD1DDAE-20D6-0746-8033-A2877F0B245C}"/>
    <hyperlink ref="C186" r:id="rId89" location="optionProductId=191&amp;expiration=2033-4-NGK33-42033" display="https://www.cmegroup.com/markets/energy/natural-gas/natural-gas.quotes.options.html - optionProductId=191&amp;expiration=2033-4-NGK33-42033" xr:uid="{6FEC63BF-B660-0B49-9613-7702B792771A}"/>
    <hyperlink ref="C188" r:id="rId90" location="optionProductId=191&amp;expiration=2033-5-NGM33-52033" display="https://www.cmegroup.com/markets/energy/natural-gas/natural-gas.quotes.options.html - optionProductId=191&amp;expiration=2033-5-NGM33-52033" xr:uid="{72DD9067-664F-5842-BF7F-744BAC78A8BF}"/>
    <hyperlink ref="C190" r:id="rId91" location="optionProductId=191&amp;expiration=2033-6-NGN33-62033" display="https://www.cmegroup.com/markets/energy/natural-gas/natural-gas.quotes.options.html - optionProductId=191&amp;expiration=2033-6-NGN33-62033" xr:uid="{EB01241B-760B-8248-9CF7-80BBC984A553}"/>
    <hyperlink ref="C192" r:id="rId92" location="optionProductId=191&amp;expiration=2033-7-NGQ33-72033" display="https://www.cmegroup.com/markets/energy/natural-gas/natural-gas.quotes.options.html - optionProductId=191&amp;expiration=2033-7-NGQ33-72033" xr:uid="{542D6924-A711-FE4D-8577-97EA898224F5}"/>
    <hyperlink ref="C194" r:id="rId93" location="optionProductId=191&amp;expiration=2033-8-NGU33-82033" display="https://www.cmegroup.com/markets/energy/natural-gas/natural-gas.quotes.options.html - optionProductId=191&amp;expiration=2033-8-NGU33-82033" xr:uid="{6E4DA412-1FC0-7849-8A49-4D1B2B11A897}"/>
    <hyperlink ref="C196" r:id="rId94" location="optionProductId=191&amp;expiration=2033-9-NGV33-92033" display="https://www.cmegroup.com/markets/energy/natural-gas/natural-gas.quotes.options.html - optionProductId=191&amp;expiration=2033-9-NGV33-92033" xr:uid="{94E3B886-65EE-234E-A1F9-6C0046F4C4F8}"/>
    <hyperlink ref="C198" r:id="rId95" location="optionProductId=191&amp;expiration=2033-10-NGX33-102033" display="https://www.cmegroup.com/markets/energy/natural-gas/natural-gas.quotes.options.html - optionProductId=191&amp;expiration=2033-10-NGX33-102033" xr:uid="{5A99B053-52C8-A042-9EBF-13F33C8317A3}"/>
    <hyperlink ref="C200" r:id="rId96" location="optionProductId=191&amp;expiration=2033-11-NGZ33-112033" display="https://www.cmegroup.com/markets/energy/natural-gas/natural-gas.quotes.options.html - optionProductId=191&amp;expiration=2033-11-NGZ33-112033" xr:uid="{EA8FB71A-9251-5B4A-AC30-CBC142E23934}"/>
    <hyperlink ref="C202" r:id="rId97" location="optionProductId=191&amp;expiration=2033-12-NGF34-122034" display="https://www.cmegroup.com/markets/energy/natural-gas/natural-gas.quotes.options.html - optionProductId=191&amp;expiration=2033-12-NGF34-122034" xr:uid="{E88A6E33-B5B4-B740-85B4-47CA827F044F}"/>
    <hyperlink ref="C204" r:id="rId98" location="optionProductId=191&amp;expiration=2034-1-NGG34-12034" display="https://www.cmegroup.com/markets/energy/natural-gas/natural-gas.quotes.options.html - optionProductId=191&amp;expiration=2034-1-NGG34-12034" xr:uid="{32EC15F2-104D-E24A-9FD0-D6EF0E955A36}"/>
    <hyperlink ref="C206" r:id="rId99" location="optionProductId=191&amp;expiration=2034-2-NGH34-22034" display="https://www.cmegroup.com/markets/energy/natural-gas/natural-gas.quotes.options.html - optionProductId=191&amp;expiration=2034-2-NGH34-22034" xr:uid="{05AD8C16-1DB7-B445-88F4-954459CBFC85}"/>
    <hyperlink ref="C208" r:id="rId100" location="optionProductId=191&amp;expiration=2034-3-NGJ34-32034" display="https://www.cmegroup.com/markets/energy/natural-gas/natural-gas.quotes.options.html - optionProductId=191&amp;expiration=2034-3-NGJ34-32034" xr:uid="{5986A3BD-FB10-504A-B7AA-B5896DD82962}"/>
    <hyperlink ref="C210" r:id="rId101" location="optionProductId=191&amp;expiration=2034-4-NGK34-42034" display="https://www.cmegroup.com/markets/energy/natural-gas/natural-gas.quotes.options.html - optionProductId=191&amp;expiration=2034-4-NGK34-42034" xr:uid="{6D217053-539D-434F-9823-FF6B7F4344D6}"/>
    <hyperlink ref="C212" r:id="rId102" location="optionProductId=191&amp;expiration=2034-5-NGM34-52034" display="https://www.cmegroup.com/markets/energy/natural-gas/natural-gas.quotes.options.html - optionProductId=191&amp;expiration=2034-5-NGM34-52034" xr:uid="{BDB6F999-A312-9B4E-8B13-845A73B85CE3}"/>
    <hyperlink ref="C214" r:id="rId103" location="optionProductId=191&amp;expiration=2034-6-NGN34-62034" display="https://www.cmegroup.com/markets/energy/natural-gas/natural-gas.quotes.options.html - optionProductId=191&amp;expiration=2034-6-NGN34-62034" xr:uid="{9C47FD4F-FD84-DA4E-B8FD-D02BC5C14324}"/>
    <hyperlink ref="C216" r:id="rId104" location="optionProductId=191&amp;expiration=2034-7-NGQ34-72034" display="https://www.cmegroup.com/markets/energy/natural-gas/natural-gas.quotes.options.html - optionProductId=191&amp;expiration=2034-7-NGQ34-72034" xr:uid="{B8C3DE36-8DF9-C141-90A8-7048F9D7E195}"/>
    <hyperlink ref="C218" r:id="rId105" location="optionProductId=191&amp;expiration=2034-8-NGU34-82034" display="https://www.cmegroup.com/markets/energy/natural-gas/natural-gas.quotes.options.html - optionProductId=191&amp;expiration=2034-8-NGU34-82034" xr:uid="{99E7F065-DF0F-D546-BE3D-E536DDCA7826}"/>
    <hyperlink ref="C220" r:id="rId106" location="optionProductId=191&amp;expiration=2034-9-NGV34-92034" display="https://www.cmegroup.com/markets/energy/natural-gas/natural-gas.quotes.options.html - optionProductId=191&amp;expiration=2034-9-NGV34-92034" xr:uid="{89F90E67-C69E-F14A-981B-5F64C4172D9B}"/>
    <hyperlink ref="C222" r:id="rId107" location="optionProductId=191&amp;expiration=2034-10-NGX34-102034" display="https://www.cmegroup.com/markets/energy/natural-gas/natural-gas.quotes.options.html - optionProductId=191&amp;expiration=2034-10-NGX34-102034" xr:uid="{6DBAC8D0-DEF0-9D4C-8EF9-8560FCCC9A19}"/>
    <hyperlink ref="C224" r:id="rId108" location="optionProductId=191&amp;expiration=2034-11-NGZ34-112034" display="https://www.cmegroup.com/markets/energy/natural-gas/natural-gas.quotes.options.html - optionProductId=191&amp;expiration=2034-11-NGZ34-112034" xr:uid="{5C59451A-761A-5945-B6DC-8D7DAE445E8C}"/>
    <hyperlink ref="C226" r:id="rId109" location="optionProductId=191&amp;expiration=2034-12-NGF35-122035" display="https://www.cmegroup.com/markets/energy/natural-gas/natural-gas.quotes.options.html - optionProductId=191&amp;expiration=2034-12-NGF35-122035" xr:uid="{0A0A01B1-D1B2-6B4A-8AB5-F975BB8A0BEF}"/>
    <hyperlink ref="C228" r:id="rId110" location="optionProductId=191&amp;expiration=2035-1-NGG35-12035" display="https://www.cmegroup.com/markets/energy/natural-gas/natural-gas.quotes.options.html - optionProductId=191&amp;expiration=2035-1-NGG35-12035" xr:uid="{5F281443-11F7-6740-BC2B-E1277A9FA0C9}"/>
    <hyperlink ref="C230" r:id="rId111" location="optionProductId=191&amp;expiration=2035-2-NGH35-22035" display="https://www.cmegroup.com/markets/energy/natural-gas/natural-gas.quotes.options.html - optionProductId=191&amp;expiration=2035-2-NGH35-22035" xr:uid="{777F5315-D7E6-2A49-AB1A-9CA8456E952B}"/>
    <hyperlink ref="C232" r:id="rId112" location="optionProductId=191&amp;expiration=2035-3-NGJ35-32035" display="https://www.cmegroup.com/markets/energy/natural-gas/natural-gas.quotes.options.html - optionProductId=191&amp;expiration=2035-3-NGJ35-32035" xr:uid="{3D1F81AF-1898-DF4C-9D9E-BB1708BEFC53}"/>
    <hyperlink ref="C234" r:id="rId113" location="optionProductId=191&amp;expiration=2035-4-NGK35-42035" display="https://www.cmegroup.com/markets/energy/natural-gas/natural-gas.quotes.options.html - optionProductId=191&amp;expiration=2035-4-NGK35-42035" xr:uid="{EE90055B-654E-714E-859D-6F322CD8AB52}"/>
    <hyperlink ref="C236" r:id="rId114" location="optionProductId=191&amp;expiration=2035-5-NGM35-52035" display="https://www.cmegroup.com/markets/energy/natural-gas/natural-gas.quotes.options.html - optionProductId=191&amp;expiration=2035-5-NGM35-52035" xr:uid="{0D4DB6F8-E5E5-8249-8063-0294959C8F8C}"/>
    <hyperlink ref="C238" r:id="rId115" location="optionProductId=191&amp;expiration=2035-6-NGN35-62035" display="https://www.cmegroup.com/markets/energy/natural-gas/natural-gas.quotes.options.html - optionProductId=191&amp;expiration=2035-6-NGN35-62035" xr:uid="{0AC01619-0420-7442-98BD-9361C37F00E7}"/>
    <hyperlink ref="C240" r:id="rId116" location="optionProductId=191&amp;expiration=2035-7-NGQ35-72035" display="https://www.cmegroup.com/markets/energy/natural-gas/natural-gas.quotes.options.html - optionProductId=191&amp;expiration=2035-7-NGQ35-72035" xr:uid="{32B9B439-1E2F-6B41-AB74-B8AFE261F206}"/>
    <hyperlink ref="C242" r:id="rId117" location="optionProductId=191&amp;expiration=2035-8-NGU35-82035" display="https://www.cmegroup.com/markets/energy/natural-gas/natural-gas.quotes.options.html - optionProductId=191&amp;expiration=2035-8-NGU35-82035" xr:uid="{48E48E84-C0E0-8A43-83CB-500BBE89B079}"/>
    <hyperlink ref="C244" r:id="rId118" location="optionProductId=191&amp;expiration=2035-9-NGV35-92035" display="https://www.cmegroup.com/markets/energy/natural-gas/natural-gas.quotes.options.html - optionProductId=191&amp;expiration=2035-9-NGV35-92035" xr:uid="{B1206EA5-443A-9A49-92B7-1904E7BA332C}"/>
    <hyperlink ref="C246" r:id="rId119" location="optionProductId=191&amp;expiration=2035-10-NGX35-102035" display="https://www.cmegroup.com/markets/energy/natural-gas/natural-gas.quotes.options.html - optionProductId=191&amp;expiration=2035-10-NGX35-102035" xr:uid="{2CDB8863-0F70-D646-ADEF-21C2479F4AAE}"/>
    <hyperlink ref="C248" r:id="rId120" location="optionProductId=191&amp;expiration=2035-11-NGZ35-112035" display="https://www.cmegroup.com/markets/energy/natural-gas/natural-gas.quotes.options.html - optionProductId=191&amp;expiration=2035-11-NGZ35-112035" xr:uid="{5CD26077-ACBC-2D4A-938D-EF1B8D33D963}"/>
    <hyperlink ref="C250" r:id="rId121" location="optionProductId=191&amp;expiration=2035-12-NGF36-122036" display="https://www.cmegroup.com/markets/energy/natural-gas/natural-gas.quotes.options.html - optionProductId=191&amp;expiration=2035-12-NGF36-122036" xr:uid="{4088230F-7F37-164D-96C4-9FEF035ADB33}"/>
    <hyperlink ref="C252" r:id="rId122" location="optionProductId=191&amp;expiration=2036-1-NGG36-12036" display="https://www.cmegroup.com/markets/energy/natural-gas/natural-gas.quotes.options.html - optionProductId=191&amp;expiration=2036-1-NGG36-12036" xr:uid="{3004A8E6-E892-E44B-905C-27E878956A90}"/>
    <hyperlink ref="C254" r:id="rId123" location="optionProductId=191&amp;expiration=2036-2-NGH36-22036" display="https://www.cmegroup.com/markets/energy/natural-gas/natural-gas.quotes.options.html - optionProductId=191&amp;expiration=2036-2-NGH36-22036" xr:uid="{5B1CFEF3-23F7-6B42-824D-C56306B3EE58}"/>
    <hyperlink ref="C256" r:id="rId124" location="optionProductId=191&amp;expiration=2036-3-NGJ36-32036" display="https://www.cmegroup.com/markets/energy/natural-gas/natural-gas.quotes.options.html - optionProductId=191&amp;expiration=2036-3-NGJ36-32036" xr:uid="{C764FD46-F9C7-784F-8AD4-1E7A351A3AF6}"/>
    <hyperlink ref="C258" r:id="rId125" location="optionProductId=191&amp;expiration=2036-4-NGK36-42036" display="https://www.cmegroup.com/markets/energy/natural-gas/natural-gas.quotes.options.html - optionProductId=191&amp;expiration=2036-4-NGK36-42036" xr:uid="{D477EC82-7E0F-6B44-9237-7379E03AA7CE}"/>
    <hyperlink ref="C260" r:id="rId126" location="optionProductId=191&amp;expiration=2036-5-NGM36-52036" display="https://www.cmegroup.com/markets/energy/natural-gas/natural-gas.quotes.options.html - optionProductId=191&amp;expiration=2036-5-NGM36-52036" xr:uid="{D31C7866-BE04-B043-954A-C980DE171C2F}"/>
    <hyperlink ref="C262" r:id="rId127" location="optionProductId=191&amp;expiration=2036-6-NGN36-62036" display="https://www.cmegroup.com/markets/energy/natural-gas/natural-gas.quotes.options.html - optionProductId=191&amp;expiration=2036-6-NGN36-62036" xr:uid="{78D2D23A-1009-4543-BFCD-2231009A0806}"/>
    <hyperlink ref="C264" r:id="rId128" location="optionProductId=191&amp;expiration=2036-7-NGQ36-72036" display="https://www.cmegroup.com/markets/energy/natural-gas/natural-gas.quotes.options.html - optionProductId=191&amp;expiration=2036-7-NGQ36-72036" xr:uid="{472AAA7C-8752-B146-8DEE-BF2862BB0E0E}"/>
    <hyperlink ref="C266" r:id="rId129" location="optionProductId=191&amp;expiration=2036-8-NGU36-82036" display="https://www.cmegroup.com/markets/energy/natural-gas/natural-gas.quotes.options.html - optionProductId=191&amp;expiration=2036-8-NGU36-82036" xr:uid="{6C479CE8-A223-184A-A241-4D466DE089E7}"/>
    <hyperlink ref="C268" r:id="rId130" location="optionProductId=191&amp;expiration=2036-9-NGV36-92036" display="https://www.cmegroup.com/markets/energy/natural-gas/natural-gas.quotes.options.html - optionProductId=191&amp;expiration=2036-9-NGV36-92036" xr:uid="{C3752C81-01F7-564C-8A6B-4F776CC9FC53}"/>
    <hyperlink ref="C270" r:id="rId131" location="optionProductId=191&amp;expiration=2036-10-NGX36-102036" display="https://www.cmegroup.com/markets/energy/natural-gas/natural-gas.quotes.options.html - optionProductId=191&amp;expiration=2036-10-NGX36-102036" xr:uid="{CDC913D4-622B-BE4F-B7BA-16081D7BD0E7}"/>
    <hyperlink ref="C272" r:id="rId132" location="optionProductId=191&amp;expiration=2036-11-NGZ36-112036" display="https://www.cmegroup.com/markets/energy/natural-gas/natural-gas.quotes.options.html - optionProductId=191&amp;expiration=2036-11-NGZ36-112036" xr:uid="{51168614-D304-5B43-9420-947477DF3929}"/>
    <hyperlink ref="C274" r:id="rId133" location="optionProductId=191&amp;expiration=2036-12-NGF37-122037" display="https://www.cmegroup.com/markets/energy/natural-gas/natural-gas.quotes.options.html - optionProductId=191&amp;expiration=2036-12-NGF37-122037" xr:uid="{94432F8D-393A-4F4A-88E4-544EAC4DEAF8}"/>
    <hyperlink ref="C276" r:id="rId134" location="optionProductId=191&amp;expiration=2037-1-NGG37-12037" display="https://www.cmegroup.com/markets/energy/natural-gas/natural-gas.quotes.options.html - optionProductId=191&amp;expiration=2037-1-NGG37-12037" xr:uid="{BE5146C0-D60F-004E-A318-DE1CDE828AF8}"/>
    <hyperlink ref="C278" r:id="rId135" location="optionProductId=191&amp;expiration=2037-2-NGH37-22037" display="https://www.cmegroup.com/markets/energy/natural-gas/natural-gas.quotes.options.html - optionProductId=191&amp;expiration=2037-2-NGH37-22037" xr:uid="{E93EAD55-EB65-4A4B-8B92-675666BE4B1E}"/>
    <hyperlink ref="C280" r:id="rId136" location="optionProductId=191&amp;expiration=2037-3-NGJ37-32037" display="https://www.cmegroup.com/markets/energy/natural-gas/natural-gas.quotes.options.html - optionProductId=191&amp;expiration=2037-3-NGJ37-32037" xr:uid="{8A6966B0-D735-2C41-90A7-8561CA16A333}"/>
    <hyperlink ref="C282" r:id="rId137" location="optionProductId=191&amp;expiration=2037-4-NGK37-42037" display="https://www.cmegroup.com/markets/energy/natural-gas/natural-gas.quotes.options.html - optionProductId=191&amp;expiration=2037-4-NGK37-42037" xr:uid="{7782C36E-85F1-AD4E-B6F6-EA8AF585ACC2}"/>
    <hyperlink ref="C284" r:id="rId138" location="optionProductId=191&amp;expiration=2037-5-NGM37-52037" display="https://www.cmegroup.com/markets/energy/natural-gas/natural-gas.quotes.options.html - optionProductId=191&amp;expiration=2037-5-NGM37-52037" xr:uid="{9B059F18-1C0D-0140-8822-D6F9A399B48E}"/>
    <hyperlink ref="C286" r:id="rId139" location="optionProductId=191&amp;expiration=2037-6-NGN37-62037" display="https://www.cmegroup.com/markets/energy/natural-gas/natural-gas.quotes.options.html - optionProductId=191&amp;expiration=2037-6-NGN37-62037" xr:uid="{0619C6ED-021C-5341-8EA9-8DD2D83D43FA}"/>
    <hyperlink ref="C288" r:id="rId140" location="optionProductId=191&amp;expiration=2037-7-NGQ37-72037" display="https://www.cmegroup.com/markets/energy/natural-gas/natural-gas.quotes.options.html - optionProductId=191&amp;expiration=2037-7-NGQ37-72037" xr:uid="{26DD2FDC-592A-0940-939F-304D18CF8248}"/>
    <hyperlink ref="C290" r:id="rId141" location="optionProductId=191&amp;expiration=2037-8-NGU37-82037" display="https://www.cmegroup.com/markets/energy/natural-gas/natural-gas.quotes.options.html - optionProductId=191&amp;expiration=2037-8-NGU37-82037" xr:uid="{84DDA32E-B074-4B42-AAFE-3D598F9F8AAE}"/>
    <hyperlink ref="C292" r:id="rId142" location="optionProductId=191&amp;expiration=2037-9-NGV37-92037" display="https://www.cmegroup.com/markets/energy/natural-gas/natural-gas.quotes.options.html - optionProductId=191&amp;expiration=2037-9-NGV37-92037" xr:uid="{89DD37CD-7DC6-074D-909A-5513D79A80CF}"/>
    <hyperlink ref="C294" r:id="rId143" location="optionProductId=191&amp;expiration=2037-10-NGX37-102037" display="https://www.cmegroup.com/markets/energy/natural-gas/natural-gas.quotes.options.html - optionProductId=191&amp;expiration=2037-10-NGX37-102037" xr:uid="{95A312E7-430D-584F-BF7A-9274B4851C25}"/>
    <hyperlink ref="C296" r:id="rId144" location="optionProductId=191&amp;expiration=2037-11-NGZ37-112037" display="https://www.cmegroup.com/markets/energy/natural-gas/natural-gas.quotes.options.html - optionProductId=191&amp;expiration=2037-11-NGZ37-112037" xr:uid="{C9817736-0916-4D4A-8340-A31AF4113D4C}"/>
    <hyperlink ref="C298" r:id="rId145" location="optionProductId=191&amp;expiration=2037-12-NGF38-122038" display="https://www.cmegroup.com/markets/energy/natural-gas/natural-gas.quotes.options.html - optionProductId=191&amp;expiration=2037-12-NGF38-122038" xr:uid="{4AACDF56-D1B5-5244-BD2B-D47F432B7BC7}"/>
    <hyperlink ref="C300" r:id="rId146" location="optionProductId=191&amp;expiration=2038-1-NGG38-12038" display="https://www.cmegroup.com/markets/energy/natural-gas/natural-gas.quotes.options.html - optionProductId=191&amp;expiration=2038-1-NGG38-12038" xr:uid="{CC1AC6E7-46A7-8D49-89D1-1BF2D6467E68}"/>
    <hyperlink ref="C302" r:id="rId147" location="optionProductId=191&amp;expiration=2038-2-NGH38-22038" display="https://www.cmegroup.com/markets/energy/natural-gas/natural-gas.quotes.options.html - optionProductId=191&amp;expiration=2038-2-NGH38-22038" xr:uid="{4B6EA1DA-86B6-E447-86D1-E36323CEC9A7}"/>
    <hyperlink ref="C304" r:id="rId148" location="optionProductId=191&amp;expiration=2038-3-NGJ38-32038" display="https://www.cmegroup.com/markets/energy/natural-gas/natural-gas.quotes.options.html - optionProductId=191&amp;expiration=2038-3-NGJ38-32038" xr:uid="{C7A555EF-1594-BD46-9856-741DB258D60C}"/>
    <hyperlink ref="C306" r:id="rId149" location="optionProductId=191&amp;expiration=2038-4-NGK38-42038" display="https://www.cmegroup.com/markets/energy/natural-gas/natural-gas.quotes.options.html - optionProductId=191&amp;expiration=2038-4-NGK38-42038" xr:uid="{92EF170B-C05E-C146-A1E6-023963009D1F}"/>
    <hyperlink ref="C308" r:id="rId150" location="optionProductId=191&amp;expiration=2038-5-NGM38-52038" display="https://www.cmegroup.com/markets/energy/natural-gas/natural-gas.quotes.options.html - optionProductId=191&amp;expiration=2038-5-NGM38-52038" xr:uid="{16F2E4E6-34C7-6144-B030-61617FBDB043}"/>
    <hyperlink ref="C310" r:id="rId151" location="optionProductId=191&amp;expiration=2038-6-NGN38-62038" display="https://www.cmegroup.com/markets/energy/natural-gas/natural-gas.quotes.options.html - optionProductId=191&amp;expiration=2038-6-NGN38-62038" xr:uid="{E0FE79FF-F147-3E4B-92DB-FF304BC28A2D}"/>
    <hyperlink ref="C312" r:id="rId152" location="optionProductId=191&amp;expiration=2038-7-NGQ38-72038" display="https://www.cmegroup.com/markets/energy/natural-gas/natural-gas.quotes.options.html - optionProductId=191&amp;expiration=2038-7-NGQ38-72038" xr:uid="{0C5B5B72-815E-1A44-824E-325BC6AA7BEA}"/>
    <hyperlink ref="C314" r:id="rId153" location="optionProductId=191&amp;expiration=2038-8-NGU38-82038" display="https://www.cmegroup.com/markets/energy/natural-gas/natural-gas.quotes.options.html - optionProductId=191&amp;expiration=2038-8-NGU38-82038" xr:uid="{955AF696-6D39-BD47-9537-9F46770C4146}"/>
    <hyperlink ref="C316" r:id="rId154" location="optionProductId=191&amp;expiration=2038-9-NGV38-92038" display="https://www.cmegroup.com/markets/energy/natural-gas/natural-gas.quotes.options.html - optionProductId=191&amp;expiration=2038-9-NGV38-92038" xr:uid="{4D608284-4517-1844-B215-1CC55BB0C2B4}"/>
    <hyperlink ref="C318" r:id="rId155" location="optionProductId=191&amp;expiration=2038-10-NGX38-102038" display="https://www.cmegroup.com/markets/energy/natural-gas/natural-gas.quotes.options.html - optionProductId=191&amp;expiration=2038-10-NGX38-102038" xr:uid="{6DEB3BF6-4810-844A-84DA-25FD53E0EE61}"/>
    <hyperlink ref="C320" r:id="rId156" location="optionProductId=191&amp;expiration=2038-11-NGZ38-112038" display="https://www.cmegroup.com/markets/energy/natural-gas/natural-gas.quotes.options.html - optionProductId=191&amp;expiration=2038-11-NGZ38-112038" xr:uid="{8095FB65-806E-7F48-9462-5697665879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TAN</vt:lpstr>
      <vt:lpstr>Sheet1</vt:lpstr>
      <vt:lpstr>ercot</vt:lpstr>
      <vt:lpstr>pjm</vt:lpstr>
      <vt:lpstr>toplu</vt:lpstr>
      <vt:lpstr>emisyon</vt:lpstr>
      <vt:lpstr>henryhub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Sanli</dc:creator>
  <cp:lastModifiedBy>B Sanli</cp:lastModifiedBy>
  <dcterms:created xsi:type="dcterms:W3CDTF">2025-12-10T19:52:08Z</dcterms:created>
  <dcterms:modified xsi:type="dcterms:W3CDTF">2025-12-11T19:30:14Z</dcterms:modified>
</cp:coreProperties>
</file>