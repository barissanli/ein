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13_ncr:1_{1FE0C56E-8D64-2242-923B-797DB187BF12}" xr6:coauthVersionLast="47" xr6:coauthVersionMax="47" xr10:uidLastSave="{00000000-0000-0000-0000-000000000000}"/>
  <bookViews>
    <workbookView xWindow="-21460" yWindow="-34420" windowWidth="45820" windowHeight="31360" activeTab="3" xr2:uid="{121AA506-05AC-2942-95D7-E29E2BAAC795}"/>
  </bookViews>
  <sheets>
    <sheet name="Sheet1" sheetId="1" r:id="rId1"/>
    <sheet name="ürünler" sheetId="2" r:id="rId2"/>
    <sheet name="petrol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" i="3" l="1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10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9" i="3"/>
  <c r="AC83" i="3"/>
  <c r="AB83" i="3"/>
  <c r="AF79" i="3"/>
  <c r="AE79" i="3"/>
  <c r="AD79" i="3"/>
  <c r="AA79" i="3"/>
  <c r="V79" i="3"/>
  <c r="U79" i="3"/>
  <c r="AB79" i="3" s="1"/>
  <c r="AB81" i="3" s="1"/>
  <c r="N79" i="3"/>
  <c r="AF78" i="3"/>
  <c r="AE78" i="3"/>
  <c r="AD78" i="3"/>
  <c r="AA78" i="3"/>
  <c r="V78" i="3"/>
  <c r="AC78" i="3" s="1"/>
  <c r="U78" i="3"/>
  <c r="AB78" i="3" s="1"/>
  <c r="N78" i="3"/>
  <c r="AF77" i="3"/>
  <c r="AE77" i="3"/>
  <c r="AD77" i="3"/>
  <c r="AA77" i="3"/>
  <c r="V77" i="3"/>
  <c r="AC77" i="3" s="1"/>
  <c r="U77" i="3"/>
  <c r="AB77" i="3" s="1"/>
  <c r="N77" i="3"/>
  <c r="AF76" i="3"/>
  <c r="AE76" i="3"/>
  <c r="AD76" i="3"/>
  <c r="AA76" i="3"/>
  <c r="V76" i="3"/>
  <c r="AC76" i="3" s="1"/>
  <c r="U76" i="3"/>
  <c r="AB76" i="3" s="1"/>
  <c r="N76" i="3"/>
  <c r="AF75" i="3"/>
  <c r="AE75" i="3"/>
  <c r="AD75" i="3"/>
  <c r="AB75" i="3"/>
  <c r="AA75" i="3"/>
  <c r="V75" i="3"/>
  <c r="AC75" i="3" s="1"/>
  <c r="U75" i="3"/>
  <c r="N75" i="3"/>
  <c r="AF74" i="3"/>
  <c r="AE74" i="3"/>
  <c r="AD74" i="3"/>
  <c r="AC74" i="3"/>
  <c r="AB74" i="3"/>
  <c r="AA74" i="3"/>
  <c r="V74" i="3"/>
  <c r="U74" i="3"/>
  <c r="N74" i="3"/>
  <c r="AF73" i="3"/>
  <c r="AE73" i="3"/>
  <c r="AD73" i="3"/>
  <c r="AC73" i="3"/>
  <c r="AB73" i="3"/>
  <c r="AA73" i="3"/>
  <c r="V73" i="3"/>
  <c r="U73" i="3"/>
  <c r="N73" i="3"/>
  <c r="AF72" i="3"/>
  <c r="AE72" i="3"/>
  <c r="AD72" i="3"/>
  <c r="AC72" i="3"/>
  <c r="AA72" i="3"/>
  <c r="V72" i="3"/>
  <c r="U72" i="3"/>
  <c r="N72" i="3"/>
  <c r="AF71" i="3"/>
  <c r="AE71" i="3"/>
  <c r="AD71" i="3"/>
  <c r="AA71" i="3"/>
  <c r="V71" i="3"/>
  <c r="U71" i="3"/>
  <c r="AB71" i="3" s="1"/>
  <c r="N71" i="3"/>
  <c r="AF70" i="3"/>
  <c r="AE70" i="3"/>
  <c r="AD70" i="3"/>
  <c r="AA70" i="3"/>
  <c r="V70" i="3"/>
  <c r="AC70" i="3" s="1"/>
  <c r="U70" i="3"/>
  <c r="AB70" i="3" s="1"/>
  <c r="N70" i="3"/>
  <c r="AF69" i="3"/>
  <c r="AE69" i="3"/>
  <c r="AD69" i="3"/>
  <c r="AA69" i="3"/>
  <c r="V69" i="3"/>
  <c r="AC69" i="3" s="1"/>
  <c r="U69" i="3"/>
  <c r="AB69" i="3" s="1"/>
  <c r="N69" i="3"/>
  <c r="AF68" i="3"/>
  <c r="AE68" i="3"/>
  <c r="AD68" i="3"/>
  <c r="AA68" i="3"/>
  <c r="V68" i="3"/>
  <c r="AC68" i="3" s="1"/>
  <c r="U68" i="3"/>
  <c r="AB68" i="3" s="1"/>
  <c r="N68" i="3"/>
  <c r="AF67" i="3"/>
  <c r="AE67" i="3"/>
  <c r="AD67" i="3"/>
  <c r="AB67" i="3"/>
  <c r="AA67" i="3"/>
  <c r="V67" i="3"/>
  <c r="AC67" i="3" s="1"/>
  <c r="U67" i="3"/>
  <c r="N67" i="3"/>
  <c r="AF66" i="3"/>
  <c r="AE66" i="3"/>
  <c r="AD66" i="3"/>
  <c r="AC66" i="3"/>
  <c r="AB66" i="3"/>
  <c r="AA66" i="3"/>
  <c r="V66" i="3"/>
  <c r="U66" i="3"/>
  <c r="N66" i="3"/>
  <c r="AF65" i="3"/>
  <c r="AE65" i="3"/>
  <c r="AD65" i="3"/>
  <c r="AC65" i="3"/>
  <c r="AB65" i="3"/>
  <c r="AA65" i="3"/>
  <c r="V65" i="3"/>
  <c r="U65" i="3"/>
  <c r="N65" i="3"/>
  <c r="AF64" i="3"/>
  <c r="AE64" i="3"/>
  <c r="AD64" i="3"/>
  <c r="AC64" i="3"/>
  <c r="AA64" i="3"/>
  <c r="V64" i="3"/>
  <c r="U64" i="3"/>
  <c r="N64" i="3"/>
  <c r="AF63" i="3"/>
  <c r="AE63" i="3"/>
  <c r="AD63" i="3"/>
  <c r="AA63" i="3"/>
  <c r="V63" i="3"/>
  <c r="U63" i="3"/>
  <c r="AB63" i="3" s="1"/>
  <c r="N63" i="3"/>
  <c r="AF62" i="3"/>
  <c r="AE62" i="3"/>
  <c r="AD62" i="3"/>
  <c r="AA62" i="3"/>
  <c r="V62" i="3"/>
  <c r="AC62" i="3" s="1"/>
  <c r="U62" i="3"/>
  <c r="AB62" i="3" s="1"/>
  <c r="N62" i="3"/>
  <c r="AF61" i="3"/>
  <c r="AE61" i="3"/>
  <c r="AD61" i="3"/>
  <c r="AA61" i="3"/>
  <c r="V61" i="3"/>
  <c r="AC61" i="3" s="1"/>
  <c r="U61" i="3"/>
  <c r="AB61" i="3" s="1"/>
  <c r="N61" i="3"/>
  <c r="AF60" i="3"/>
  <c r="AE60" i="3"/>
  <c r="AD60" i="3"/>
  <c r="AA60" i="3"/>
  <c r="V60" i="3"/>
  <c r="AC60" i="3" s="1"/>
  <c r="U60" i="3"/>
  <c r="AB60" i="3" s="1"/>
  <c r="N60" i="3"/>
  <c r="AF59" i="3"/>
  <c r="AE59" i="3"/>
  <c r="AD59" i="3"/>
  <c r="AB59" i="3"/>
  <c r="AA59" i="3"/>
  <c r="V59" i="3"/>
  <c r="AC59" i="3" s="1"/>
  <c r="U59" i="3"/>
  <c r="N59" i="3"/>
  <c r="AF58" i="3"/>
  <c r="AE58" i="3"/>
  <c r="AD58" i="3"/>
  <c r="AC58" i="3"/>
  <c r="AB58" i="3"/>
  <c r="AA58" i="3"/>
  <c r="V58" i="3"/>
  <c r="U58" i="3"/>
  <c r="N58" i="3"/>
  <c r="AF57" i="3"/>
  <c r="AE57" i="3"/>
  <c r="AD57" i="3"/>
  <c r="AC57" i="3"/>
  <c r="AB57" i="3"/>
  <c r="AA57" i="3"/>
  <c r="V57" i="3"/>
  <c r="U57" i="3"/>
  <c r="N57" i="3"/>
  <c r="AF56" i="3"/>
  <c r="AE56" i="3"/>
  <c r="AD56" i="3"/>
  <c r="AC56" i="3"/>
  <c r="AA56" i="3"/>
  <c r="V56" i="3"/>
  <c r="U56" i="3"/>
  <c r="N56" i="3"/>
  <c r="AF55" i="3"/>
  <c r="AE55" i="3"/>
  <c r="AD55" i="3"/>
  <c r="AA55" i="3"/>
  <c r="V55" i="3"/>
  <c r="U55" i="3"/>
  <c r="AB55" i="3" s="1"/>
  <c r="N55" i="3"/>
  <c r="AF54" i="3"/>
  <c r="AE54" i="3"/>
  <c r="AD54" i="3"/>
  <c r="AA54" i="3"/>
  <c r="V54" i="3"/>
  <c r="AC54" i="3" s="1"/>
  <c r="U54" i="3"/>
  <c r="AB54" i="3" s="1"/>
  <c r="N54" i="3"/>
  <c r="AF53" i="3"/>
  <c r="AE53" i="3"/>
  <c r="AD53" i="3"/>
  <c r="AA53" i="3"/>
  <c r="V53" i="3"/>
  <c r="AC53" i="3" s="1"/>
  <c r="U53" i="3"/>
  <c r="AB53" i="3" s="1"/>
  <c r="N53" i="3"/>
  <c r="AF52" i="3"/>
  <c r="AE52" i="3"/>
  <c r="AD52" i="3"/>
  <c r="AA52" i="3"/>
  <c r="V52" i="3"/>
  <c r="AC52" i="3" s="1"/>
  <c r="U52" i="3"/>
  <c r="AB52" i="3" s="1"/>
  <c r="N52" i="3"/>
  <c r="AF51" i="3"/>
  <c r="AE51" i="3"/>
  <c r="AD51" i="3"/>
  <c r="AB51" i="3"/>
  <c r="AA51" i="3"/>
  <c r="V51" i="3"/>
  <c r="AC51" i="3" s="1"/>
  <c r="U51" i="3"/>
  <c r="N51" i="3"/>
  <c r="AF50" i="3"/>
  <c r="AE50" i="3"/>
  <c r="AD50" i="3"/>
  <c r="AC50" i="3"/>
  <c r="AB50" i="3"/>
  <c r="AA50" i="3"/>
  <c r="V50" i="3"/>
  <c r="U50" i="3"/>
  <c r="N50" i="3"/>
  <c r="AF49" i="3"/>
  <c r="AE49" i="3"/>
  <c r="AD49" i="3"/>
  <c r="AC49" i="3"/>
  <c r="AB49" i="3"/>
  <c r="AA49" i="3"/>
  <c r="V49" i="3"/>
  <c r="U49" i="3"/>
  <c r="N49" i="3"/>
  <c r="AF48" i="3"/>
  <c r="AE48" i="3"/>
  <c r="AD48" i="3"/>
  <c r="AC48" i="3"/>
  <c r="AA48" i="3"/>
  <c r="V48" i="3"/>
  <c r="U48" i="3"/>
  <c r="N48" i="3"/>
  <c r="AF47" i="3"/>
  <c r="AE47" i="3"/>
  <c r="AD47" i="3"/>
  <c r="AA47" i="3"/>
  <c r="V47" i="3"/>
  <c r="U47" i="3"/>
  <c r="AB47" i="3" s="1"/>
  <c r="N47" i="3"/>
  <c r="AF46" i="3"/>
  <c r="AE46" i="3"/>
  <c r="AD46" i="3"/>
  <c r="AA46" i="3"/>
  <c r="V46" i="3"/>
  <c r="AC46" i="3" s="1"/>
  <c r="U46" i="3"/>
  <c r="AB46" i="3" s="1"/>
  <c r="N46" i="3"/>
  <c r="AF45" i="3"/>
  <c r="AE45" i="3"/>
  <c r="AD45" i="3"/>
  <c r="AA45" i="3"/>
  <c r="V45" i="3"/>
  <c r="AC45" i="3" s="1"/>
  <c r="U45" i="3"/>
  <c r="AB45" i="3" s="1"/>
  <c r="N45" i="3"/>
  <c r="AF44" i="3"/>
  <c r="AE44" i="3"/>
  <c r="AD44" i="3"/>
  <c r="AA44" i="3"/>
  <c r="V44" i="3"/>
  <c r="AC44" i="3" s="1"/>
  <c r="U44" i="3"/>
  <c r="AB44" i="3" s="1"/>
  <c r="N44" i="3"/>
  <c r="AF43" i="3"/>
  <c r="AE43" i="3"/>
  <c r="AD43" i="3"/>
  <c r="AB43" i="3"/>
  <c r="AA43" i="3"/>
  <c r="V43" i="3"/>
  <c r="AC43" i="3" s="1"/>
  <c r="U43" i="3"/>
  <c r="N43" i="3"/>
  <c r="AF42" i="3"/>
  <c r="AE42" i="3"/>
  <c r="AD42" i="3"/>
  <c r="AC42" i="3"/>
  <c r="AB42" i="3"/>
  <c r="AA42" i="3"/>
  <c r="V42" i="3"/>
  <c r="U42" i="3"/>
  <c r="N42" i="3"/>
  <c r="AF41" i="3"/>
  <c r="AE41" i="3"/>
  <c r="AD41" i="3"/>
  <c r="AC41" i="3"/>
  <c r="AB41" i="3"/>
  <c r="AA41" i="3"/>
  <c r="V41" i="3"/>
  <c r="U41" i="3"/>
  <c r="N41" i="3"/>
  <c r="AF40" i="3"/>
  <c r="AE40" i="3"/>
  <c r="AD40" i="3"/>
  <c r="AC40" i="3"/>
  <c r="AA40" i="3"/>
  <c r="V40" i="3"/>
  <c r="U40" i="3"/>
  <c r="N40" i="3"/>
  <c r="AF39" i="3"/>
  <c r="AE39" i="3"/>
  <c r="AD39" i="3"/>
  <c r="AA39" i="3"/>
  <c r="V39" i="3"/>
  <c r="U39" i="3"/>
  <c r="AB39" i="3" s="1"/>
  <c r="N39" i="3"/>
  <c r="AF38" i="3"/>
  <c r="AE38" i="3"/>
  <c r="AD38" i="3"/>
  <c r="AA38" i="3"/>
  <c r="V38" i="3"/>
  <c r="AC38" i="3" s="1"/>
  <c r="U38" i="3"/>
  <c r="AB38" i="3" s="1"/>
  <c r="N38" i="3"/>
  <c r="AF37" i="3"/>
  <c r="AE37" i="3"/>
  <c r="AD37" i="3"/>
  <c r="AA37" i="3"/>
  <c r="V37" i="3"/>
  <c r="AC37" i="3" s="1"/>
  <c r="U37" i="3"/>
  <c r="AB37" i="3" s="1"/>
  <c r="N37" i="3"/>
  <c r="AF36" i="3"/>
  <c r="AE36" i="3"/>
  <c r="AD36" i="3"/>
  <c r="AA36" i="3"/>
  <c r="V36" i="3"/>
  <c r="AC36" i="3" s="1"/>
  <c r="U36" i="3"/>
  <c r="AB36" i="3" s="1"/>
  <c r="N36" i="3"/>
  <c r="AF35" i="3"/>
  <c r="AE35" i="3"/>
  <c r="AD35" i="3"/>
  <c r="AB35" i="3"/>
  <c r="AA35" i="3"/>
  <c r="V35" i="3"/>
  <c r="AC35" i="3" s="1"/>
  <c r="U35" i="3"/>
  <c r="N35" i="3"/>
  <c r="AF34" i="3"/>
  <c r="AE34" i="3"/>
  <c r="AD34" i="3"/>
  <c r="AC34" i="3"/>
  <c r="AB34" i="3"/>
  <c r="AA34" i="3"/>
  <c r="V34" i="3"/>
  <c r="U34" i="3"/>
  <c r="N34" i="3"/>
  <c r="AF33" i="3"/>
  <c r="AE33" i="3"/>
  <c r="AD33" i="3"/>
  <c r="AC33" i="3"/>
  <c r="AB33" i="3"/>
  <c r="AA33" i="3"/>
  <c r="V33" i="3"/>
  <c r="U33" i="3"/>
  <c r="N33" i="3"/>
  <c r="AF32" i="3"/>
  <c r="AE32" i="3"/>
  <c r="AD32" i="3"/>
  <c r="AC32" i="3"/>
  <c r="AA32" i="3"/>
  <c r="V32" i="3"/>
  <c r="U32" i="3"/>
  <c r="N32" i="3"/>
  <c r="AF31" i="3"/>
  <c r="AE31" i="3"/>
  <c r="AD31" i="3"/>
  <c r="AC31" i="3"/>
  <c r="AA31" i="3"/>
  <c r="V31" i="3"/>
  <c r="U31" i="3"/>
  <c r="AB31" i="3" s="1"/>
  <c r="N31" i="3"/>
  <c r="AF30" i="3"/>
  <c r="AE30" i="3"/>
  <c r="AD30" i="3"/>
  <c r="AA30" i="3"/>
  <c r="V30" i="3"/>
  <c r="AC30" i="3" s="1"/>
  <c r="U30" i="3"/>
  <c r="AB30" i="3" s="1"/>
  <c r="N30" i="3"/>
  <c r="AF29" i="3"/>
  <c r="AE29" i="3"/>
  <c r="AD29" i="3"/>
  <c r="AA29" i="3"/>
  <c r="V29" i="3"/>
  <c r="AC29" i="3" s="1"/>
  <c r="U29" i="3"/>
  <c r="AB29" i="3" s="1"/>
  <c r="N29" i="3"/>
  <c r="AF28" i="3"/>
  <c r="AE28" i="3"/>
  <c r="AD28" i="3"/>
  <c r="AA28" i="3"/>
  <c r="V28" i="3"/>
  <c r="AC28" i="3" s="1"/>
  <c r="U28" i="3"/>
  <c r="AB28" i="3" s="1"/>
  <c r="N28" i="3"/>
  <c r="AF27" i="3"/>
  <c r="AE27" i="3"/>
  <c r="AD27" i="3"/>
  <c r="AB27" i="3"/>
  <c r="AA27" i="3"/>
  <c r="V27" i="3"/>
  <c r="AC27" i="3" s="1"/>
  <c r="U27" i="3"/>
  <c r="N27" i="3"/>
  <c r="AF26" i="3"/>
  <c r="AE26" i="3"/>
  <c r="AD26" i="3"/>
  <c r="AC26" i="3"/>
  <c r="AB26" i="3"/>
  <c r="AA26" i="3"/>
  <c r="V26" i="3"/>
  <c r="U26" i="3"/>
  <c r="N26" i="3"/>
  <c r="AF25" i="3"/>
  <c r="AE25" i="3"/>
  <c r="AD25" i="3"/>
  <c r="AC25" i="3"/>
  <c r="AB25" i="3"/>
  <c r="AA25" i="3"/>
  <c r="V25" i="3"/>
  <c r="U25" i="3"/>
  <c r="N25" i="3"/>
  <c r="AF24" i="3"/>
  <c r="AE24" i="3"/>
  <c r="AD24" i="3"/>
  <c r="AC24" i="3"/>
  <c r="AA24" i="3"/>
  <c r="V24" i="3"/>
  <c r="U24" i="3"/>
  <c r="N24" i="3"/>
  <c r="AF23" i="3"/>
  <c r="AE23" i="3"/>
  <c r="AD23" i="3"/>
  <c r="AC23" i="3"/>
  <c r="AA23" i="3"/>
  <c r="V23" i="3"/>
  <c r="U23" i="3"/>
  <c r="AB23" i="3" s="1"/>
  <c r="N23" i="3"/>
  <c r="AF22" i="3"/>
  <c r="AE22" i="3"/>
  <c r="AD22" i="3"/>
  <c r="AA22" i="3"/>
  <c r="V22" i="3"/>
  <c r="AC22" i="3" s="1"/>
  <c r="U22" i="3"/>
  <c r="AB22" i="3" s="1"/>
  <c r="N22" i="3"/>
  <c r="AF21" i="3"/>
  <c r="AE21" i="3"/>
  <c r="AD21" i="3"/>
  <c r="AA21" i="3"/>
  <c r="V21" i="3"/>
  <c r="AC21" i="3" s="1"/>
  <c r="U21" i="3"/>
  <c r="AB21" i="3" s="1"/>
  <c r="N21" i="3"/>
  <c r="AF20" i="3"/>
  <c r="AE20" i="3"/>
  <c r="AD20" i="3"/>
  <c r="AA20" i="3"/>
  <c r="V20" i="3"/>
  <c r="AC20" i="3" s="1"/>
  <c r="U20" i="3"/>
  <c r="AB20" i="3" s="1"/>
  <c r="N20" i="3"/>
  <c r="AF19" i="3"/>
  <c r="AE19" i="3"/>
  <c r="AD19" i="3"/>
  <c r="AB19" i="3"/>
  <c r="AA19" i="3"/>
  <c r="V19" i="3"/>
  <c r="AC19" i="3" s="1"/>
  <c r="U19" i="3"/>
  <c r="N19" i="3"/>
  <c r="AF18" i="3"/>
  <c r="AE18" i="3"/>
  <c r="AD18" i="3"/>
  <c r="AC18" i="3"/>
  <c r="AB18" i="3"/>
  <c r="AA18" i="3"/>
  <c r="V18" i="3"/>
  <c r="U18" i="3"/>
  <c r="N18" i="3"/>
  <c r="AF17" i="3"/>
  <c r="AE17" i="3"/>
  <c r="AD17" i="3"/>
  <c r="AC17" i="3"/>
  <c r="AB17" i="3"/>
  <c r="AA17" i="3"/>
  <c r="V17" i="3"/>
  <c r="U17" i="3"/>
  <c r="N17" i="3"/>
  <c r="AF16" i="3"/>
  <c r="AE16" i="3"/>
  <c r="AD16" i="3"/>
  <c r="AC16" i="3"/>
  <c r="AA16" i="3"/>
  <c r="V16" i="3"/>
  <c r="U16" i="3"/>
  <c r="N16" i="3"/>
  <c r="AF15" i="3"/>
  <c r="AE15" i="3"/>
  <c r="AD15" i="3"/>
  <c r="AC15" i="3"/>
  <c r="AA15" i="3"/>
  <c r="V15" i="3"/>
  <c r="U15" i="3"/>
  <c r="AB15" i="3" s="1"/>
  <c r="N15" i="3"/>
  <c r="AF14" i="3"/>
  <c r="AE14" i="3"/>
  <c r="AD14" i="3"/>
  <c r="AA14" i="3"/>
  <c r="V14" i="3"/>
  <c r="AC14" i="3" s="1"/>
  <c r="U14" i="3"/>
  <c r="AB14" i="3" s="1"/>
  <c r="N14" i="3"/>
  <c r="AF13" i="3"/>
  <c r="AE13" i="3"/>
  <c r="AD13" i="3"/>
  <c r="AA13" i="3"/>
  <c r="V13" i="3"/>
  <c r="AC13" i="3" s="1"/>
  <c r="U13" i="3"/>
  <c r="AB13" i="3" s="1"/>
  <c r="N13" i="3"/>
  <c r="AF12" i="3"/>
  <c r="AE12" i="3"/>
  <c r="AD12" i="3"/>
  <c r="AA12" i="3"/>
  <c r="V12" i="3"/>
  <c r="AC12" i="3" s="1"/>
  <c r="U12" i="3"/>
  <c r="AB12" i="3" s="1"/>
  <c r="N12" i="3"/>
  <c r="AF11" i="3"/>
  <c r="AE11" i="3"/>
  <c r="AD11" i="3"/>
  <c r="AB11" i="3"/>
  <c r="AA11" i="3"/>
  <c r="V11" i="3"/>
  <c r="AC11" i="3" s="1"/>
  <c r="U11" i="3"/>
  <c r="N11" i="3"/>
  <c r="AF10" i="3"/>
  <c r="AE10" i="3"/>
  <c r="AD10" i="3"/>
  <c r="AC10" i="3"/>
  <c r="AB10" i="3"/>
  <c r="AA10" i="3"/>
  <c r="V10" i="3"/>
  <c r="U10" i="3"/>
  <c r="N10" i="3"/>
  <c r="V9" i="3"/>
  <c r="AC79" i="3" s="1"/>
  <c r="AC81" i="3" s="1"/>
  <c r="U9" i="3"/>
  <c r="AB72" i="3" s="1"/>
  <c r="N9" i="3"/>
  <c r="AB83" i="2"/>
  <c r="AC83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10" i="2"/>
  <c r="AC12" i="2"/>
  <c r="AC28" i="2"/>
  <c r="AC44" i="2"/>
  <c r="AC60" i="2"/>
  <c r="AC76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10" i="2"/>
  <c r="U10" i="2"/>
  <c r="AB10" i="2" s="1"/>
  <c r="V10" i="2"/>
  <c r="U11" i="2"/>
  <c r="V11" i="2"/>
  <c r="U12" i="2"/>
  <c r="V12" i="2"/>
  <c r="U13" i="2"/>
  <c r="V13" i="2"/>
  <c r="AC13" i="2" s="1"/>
  <c r="U14" i="2"/>
  <c r="AB14" i="2" s="1"/>
  <c r="V14" i="2"/>
  <c r="U15" i="2"/>
  <c r="V15" i="2"/>
  <c r="U16" i="2"/>
  <c r="V16" i="2"/>
  <c r="AC16" i="2" s="1"/>
  <c r="U17" i="2"/>
  <c r="AB17" i="2" s="1"/>
  <c r="V17" i="2"/>
  <c r="AC17" i="2" s="1"/>
  <c r="U18" i="2"/>
  <c r="AB18" i="2" s="1"/>
  <c r="V18" i="2"/>
  <c r="U19" i="2"/>
  <c r="V19" i="2"/>
  <c r="U20" i="2"/>
  <c r="V20" i="2"/>
  <c r="AC20" i="2" s="1"/>
  <c r="U21" i="2"/>
  <c r="V21" i="2"/>
  <c r="AC21" i="2" s="1"/>
  <c r="U22" i="2"/>
  <c r="AB22" i="2" s="1"/>
  <c r="V22" i="2"/>
  <c r="U23" i="2"/>
  <c r="V23" i="2"/>
  <c r="U24" i="2"/>
  <c r="V24" i="2"/>
  <c r="AC24" i="2" s="1"/>
  <c r="U25" i="2"/>
  <c r="V25" i="2"/>
  <c r="AC25" i="2" s="1"/>
  <c r="U26" i="2"/>
  <c r="AB26" i="2" s="1"/>
  <c r="V26" i="2"/>
  <c r="U27" i="2"/>
  <c r="V27" i="2"/>
  <c r="U28" i="2"/>
  <c r="V28" i="2"/>
  <c r="U29" i="2"/>
  <c r="V29" i="2"/>
  <c r="AC29" i="2" s="1"/>
  <c r="U30" i="2"/>
  <c r="AB30" i="2" s="1"/>
  <c r="V30" i="2"/>
  <c r="U31" i="2"/>
  <c r="V31" i="2"/>
  <c r="U32" i="2"/>
  <c r="V32" i="2"/>
  <c r="AC32" i="2" s="1"/>
  <c r="U33" i="2"/>
  <c r="AB33" i="2" s="1"/>
  <c r="V33" i="2"/>
  <c r="AC33" i="2" s="1"/>
  <c r="U34" i="2"/>
  <c r="AB34" i="2" s="1"/>
  <c r="V34" i="2"/>
  <c r="U35" i="2"/>
  <c r="V35" i="2"/>
  <c r="U36" i="2"/>
  <c r="V36" i="2"/>
  <c r="AC36" i="2" s="1"/>
  <c r="U37" i="2"/>
  <c r="V37" i="2"/>
  <c r="AC37" i="2" s="1"/>
  <c r="U38" i="2"/>
  <c r="AB38" i="2" s="1"/>
  <c r="V38" i="2"/>
  <c r="U39" i="2"/>
  <c r="V39" i="2"/>
  <c r="U40" i="2"/>
  <c r="V40" i="2"/>
  <c r="AC40" i="2" s="1"/>
  <c r="U41" i="2"/>
  <c r="V41" i="2"/>
  <c r="AC41" i="2" s="1"/>
  <c r="U42" i="2"/>
  <c r="AB42" i="2" s="1"/>
  <c r="V42" i="2"/>
  <c r="U43" i="2"/>
  <c r="AB43" i="2" s="1"/>
  <c r="V43" i="2"/>
  <c r="U44" i="2"/>
  <c r="V44" i="2"/>
  <c r="U45" i="2"/>
  <c r="V45" i="2"/>
  <c r="AC45" i="2" s="1"/>
  <c r="U46" i="2"/>
  <c r="AB46" i="2" s="1"/>
  <c r="V46" i="2"/>
  <c r="U47" i="2"/>
  <c r="V47" i="2"/>
  <c r="U48" i="2"/>
  <c r="V48" i="2"/>
  <c r="AC48" i="2" s="1"/>
  <c r="U49" i="2"/>
  <c r="AB49" i="2" s="1"/>
  <c r="V49" i="2"/>
  <c r="AC49" i="2" s="1"/>
  <c r="U50" i="2"/>
  <c r="AB50" i="2" s="1"/>
  <c r="V50" i="2"/>
  <c r="U51" i="2"/>
  <c r="AB51" i="2" s="1"/>
  <c r="V51" i="2"/>
  <c r="U52" i="2"/>
  <c r="V52" i="2"/>
  <c r="AC52" i="2" s="1"/>
  <c r="U53" i="2"/>
  <c r="V53" i="2"/>
  <c r="AC53" i="2" s="1"/>
  <c r="U54" i="2"/>
  <c r="AB54" i="2" s="1"/>
  <c r="V54" i="2"/>
  <c r="U55" i="2"/>
  <c r="AB55" i="2" s="1"/>
  <c r="V55" i="2"/>
  <c r="U56" i="2"/>
  <c r="V56" i="2"/>
  <c r="AC56" i="2" s="1"/>
  <c r="U57" i="2"/>
  <c r="V57" i="2"/>
  <c r="AC57" i="2" s="1"/>
  <c r="U58" i="2"/>
  <c r="AB58" i="2" s="1"/>
  <c r="V58" i="2"/>
  <c r="U59" i="2"/>
  <c r="AB59" i="2" s="1"/>
  <c r="V59" i="2"/>
  <c r="U60" i="2"/>
  <c r="V60" i="2"/>
  <c r="U61" i="2"/>
  <c r="V61" i="2"/>
  <c r="AC61" i="2" s="1"/>
  <c r="U62" i="2"/>
  <c r="AB62" i="2" s="1"/>
  <c r="V62" i="2"/>
  <c r="U63" i="2"/>
  <c r="AB63" i="2" s="1"/>
  <c r="V63" i="2"/>
  <c r="U64" i="2"/>
  <c r="V64" i="2"/>
  <c r="AC64" i="2" s="1"/>
  <c r="U65" i="2"/>
  <c r="AB65" i="2" s="1"/>
  <c r="V65" i="2"/>
  <c r="AC65" i="2" s="1"/>
  <c r="U66" i="2"/>
  <c r="AB66" i="2" s="1"/>
  <c r="V66" i="2"/>
  <c r="U67" i="2"/>
  <c r="AB67" i="2" s="1"/>
  <c r="V67" i="2"/>
  <c r="U68" i="2"/>
  <c r="V68" i="2"/>
  <c r="AC68" i="2" s="1"/>
  <c r="U69" i="2"/>
  <c r="V69" i="2"/>
  <c r="AC69" i="2" s="1"/>
  <c r="U70" i="2"/>
  <c r="AB70" i="2" s="1"/>
  <c r="V70" i="2"/>
  <c r="U71" i="2"/>
  <c r="AB71" i="2" s="1"/>
  <c r="V71" i="2"/>
  <c r="U72" i="2"/>
  <c r="V72" i="2"/>
  <c r="AC72" i="2" s="1"/>
  <c r="U73" i="2"/>
  <c r="V73" i="2"/>
  <c r="AC73" i="2" s="1"/>
  <c r="U74" i="2"/>
  <c r="AB74" i="2" s="1"/>
  <c r="V74" i="2"/>
  <c r="U75" i="2"/>
  <c r="AB75" i="2" s="1"/>
  <c r="V75" i="2"/>
  <c r="U76" i="2"/>
  <c r="V76" i="2"/>
  <c r="U77" i="2"/>
  <c r="V77" i="2"/>
  <c r="AC77" i="2" s="1"/>
  <c r="U78" i="2"/>
  <c r="AB78" i="2" s="1"/>
  <c r="V78" i="2"/>
  <c r="U79" i="2"/>
  <c r="AB79" i="2" s="1"/>
  <c r="AB81" i="2" s="1"/>
  <c r="V79" i="2"/>
  <c r="V9" i="2"/>
  <c r="U9" i="2"/>
  <c r="AB21" i="2" s="1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AB16" i="3" l="1"/>
  <c r="AB24" i="3"/>
  <c r="AB32" i="3"/>
  <c r="AC39" i="3"/>
  <c r="AB40" i="3"/>
  <c r="AC47" i="3"/>
  <c r="AB48" i="3"/>
  <c r="AC55" i="3"/>
  <c r="AB56" i="3"/>
  <c r="AC63" i="3"/>
  <c r="AB64" i="3"/>
  <c r="AC71" i="3"/>
  <c r="AB47" i="2"/>
  <c r="AB39" i="2"/>
  <c r="AB35" i="2"/>
  <c r="AB31" i="2"/>
  <c r="AB27" i="2"/>
  <c r="AB23" i="2"/>
  <c r="AB19" i="2"/>
  <c r="AB11" i="2"/>
  <c r="AC78" i="2"/>
  <c r="AC74" i="2"/>
  <c r="AC70" i="2"/>
  <c r="AC66" i="2"/>
  <c r="AC62" i="2"/>
  <c r="AC58" i="2"/>
  <c r="AC54" i="2"/>
  <c r="AC50" i="2"/>
  <c r="AC46" i="2"/>
  <c r="AC42" i="2"/>
  <c r="AC38" i="2"/>
  <c r="AC34" i="2"/>
  <c r="AC30" i="2"/>
  <c r="AC26" i="2"/>
  <c r="AC22" i="2"/>
  <c r="AC18" i="2"/>
  <c r="AC14" i="2"/>
  <c r="AC10" i="2"/>
  <c r="AB77" i="2"/>
  <c r="AB61" i="2"/>
  <c r="AB45" i="2"/>
  <c r="AB29" i="2"/>
  <c r="AB13" i="2"/>
  <c r="AB57" i="2"/>
  <c r="AB73" i="2"/>
  <c r="AB41" i="2"/>
  <c r="AB25" i="2"/>
  <c r="AB69" i="2"/>
  <c r="AB53" i="2"/>
  <c r="AB37" i="2"/>
  <c r="AB64" i="2"/>
  <c r="AB76" i="2"/>
  <c r="AB72" i="2"/>
  <c r="AB68" i="2"/>
  <c r="AB60" i="2"/>
  <c r="AB56" i="2"/>
  <c r="AB52" i="2"/>
  <c r="AB48" i="2"/>
  <c r="AB44" i="2"/>
  <c r="AB40" i="2"/>
  <c r="AB36" i="2"/>
  <c r="AB32" i="2"/>
  <c r="AB28" i="2"/>
  <c r="AB24" i="2"/>
  <c r="AB20" i="2"/>
  <c r="AB16" i="2"/>
  <c r="AB12" i="2"/>
  <c r="AC79" i="2"/>
  <c r="AC81" i="2" s="1"/>
  <c r="AC75" i="2"/>
  <c r="AC71" i="2"/>
  <c r="AC67" i="2"/>
  <c r="AC63" i="2"/>
  <c r="AC59" i="2"/>
  <c r="AC55" i="2"/>
  <c r="AC51" i="2"/>
  <c r="AC47" i="2"/>
  <c r="AC43" i="2"/>
  <c r="AC39" i="2"/>
  <c r="AC35" i="2"/>
  <c r="AC31" i="2"/>
  <c r="AC27" i="2"/>
  <c r="AC23" i="2"/>
  <c r="AC19" i="2"/>
  <c r="AC15" i="2"/>
  <c r="AC11" i="2"/>
  <c r="AB15" i="2"/>
</calcChain>
</file>

<file path=xl/sharedStrings.xml><?xml version="1.0" encoding="utf-8"?>
<sst xmlns="http://schemas.openxmlformats.org/spreadsheetml/2006/main" count="1629" uniqueCount="129">
  <si>
    <t>Madde adları</t>
  </si>
  <si>
    <t>Item name</t>
  </si>
  <si>
    <t>Benzin</t>
  </si>
  <si>
    <t>LPG (Araba Tüpü Dolum)  Ücreti</t>
  </si>
  <si>
    <t>Motorin</t>
  </si>
  <si>
    <t>YTL</t>
  </si>
  <si>
    <t>Ocak</t>
  </si>
  <si>
    <t>January</t>
  </si>
  <si>
    <t>Şubat</t>
  </si>
  <si>
    <t>February</t>
  </si>
  <si>
    <t>Mart</t>
  </si>
  <si>
    <t>March</t>
  </si>
  <si>
    <t>Nisan</t>
  </si>
  <si>
    <t>April</t>
  </si>
  <si>
    <t>Mayıs</t>
  </si>
  <si>
    <t>May</t>
  </si>
  <si>
    <t>Haziran</t>
  </si>
  <si>
    <t>June</t>
  </si>
  <si>
    <t>Temmuz</t>
  </si>
  <si>
    <t>July</t>
  </si>
  <si>
    <t>Ağustos</t>
  </si>
  <si>
    <t>August</t>
  </si>
  <si>
    <t>Eylül</t>
  </si>
  <si>
    <t>September</t>
  </si>
  <si>
    <t>Ekim</t>
  </si>
  <si>
    <t>October</t>
  </si>
  <si>
    <t>Kasım</t>
  </si>
  <si>
    <t>November</t>
  </si>
  <si>
    <t>Aralık</t>
  </si>
  <si>
    <t>December</t>
  </si>
  <si>
    <t>TL</t>
  </si>
  <si>
    <t>2009</t>
  </si>
  <si>
    <t>2010</t>
  </si>
  <si>
    <t>2011</t>
  </si>
  <si>
    <t>2012</t>
  </si>
  <si>
    <t>2013</t>
  </si>
  <si>
    <t>2014</t>
  </si>
  <si>
    <t>2015</t>
  </si>
  <si>
    <t>Kod</t>
  </si>
  <si>
    <t>0722001</t>
  </si>
  <si>
    <t>0722002</t>
  </si>
  <si>
    <t>0722003</t>
  </si>
  <si>
    <t>Ulaştırma</t>
  </si>
  <si>
    <t>07220</t>
  </si>
  <si>
    <t>Kişisel ulaştırma araçlarının yakıt ve yağları (benzin, motorin, motor yağı)</t>
  </si>
  <si>
    <t>Fuel and oils of personal transportation vehicles (gasoline, diesel, engine oil)</t>
  </si>
  <si>
    <t>Konut</t>
  </si>
  <si>
    <t>04410</t>
  </si>
  <si>
    <t>Su (şebeke suyu)</t>
  </si>
  <si>
    <t>Water supply</t>
  </si>
  <si>
    <t>Enflasyon</t>
  </si>
  <si>
    <t>2020 Ocak</t>
  </si>
  <si>
    <t>2020 Şubat</t>
  </si>
  <si>
    <t>2020 Mart</t>
  </si>
  <si>
    <t>2020 Nisan</t>
  </si>
  <si>
    <t>2020 Mayıs</t>
  </si>
  <si>
    <t>2020 Haziran</t>
  </si>
  <si>
    <t>2020 Temmuz</t>
  </si>
  <si>
    <t>2020 Ağustos</t>
  </si>
  <si>
    <t>2020 Eylül</t>
  </si>
  <si>
    <t>2020 Ekim</t>
  </si>
  <si>
    <t>2020 Kasım</t>
  </si>
  <si>
    <t>2020 Aralık</t>
  </si>
  <si>
    <t>2021 Ocak</t>
  </si>
  <si>
    <t>2021 Şubat</t>
  </si>
  <si>
    <t>2021 Mart</t>
  </si>
  <si>
    <t>2021 Nisan</t>
  </si>
  <si>
    <t>2021 Mayıs</t>
  </si>
  <si>
    <t>2021 Haziran</t>
  </si>
  <si>
    <t>2021 Temmuz</t>
  </si>
  <si>
    <t>2021 Ağustos</t>
  </si>
  <si>
    <t>2021 Eylül</t>
  </si>
  <si>
    <t>2021 Ekim</t>
  </si>
  <si>
    <t>2021 Kasım</t>
  </si>
  <si>
    <t>2021 Aralık</t>
  </si>
  <si>
    <t>2022 Ocak</t>
  </si>
  <si>
    <t>2022 Şubat</t>
  </si>
  <si>
    <t>2022 Mart</t>
  </si>
  <si>
    <t>2022 Nisan</t>
  </si>
  <si>
    <t>2022 Mayıs</t>
  </si>
  <si>
    <t>2022 Haziran</t>
  </si>
  <si>
    <t>2022 Temmuz</t>
  </si>
  <si>
    <t>2022 Ağustos</t>
  </si>
  <si>
    <t>2022 Eylül</t>
  </si>
  <si>
    <t>2022 Ekim</t>
  </si>
  <si>
    <t>2022 Kasım</t>
  </si>
  <si>
    <t>2022 Aralık</t>
  </si>
  <si>
    <t>2023 Ocak</t>
  </si>
  <si>
    <t>2023 Şubat</t>
  </si>
  <si>
    <t>2023 Mart</t>
  </si>
  <si>
    <t>2023 Nisan</t>
  </si>
  <si>
    <t>2023 Mayıs</t>
  </si>
  <si>
    <t>2023 Haziran</t>
  </si>
  <si>
    <t>2023 Temmuz</t>
  </si>
  <si>
    <t>2023 Ağustos</t>
  </si>
  <si>
    <t>2023 Eylül</t>
  </si>
  <si>
    <t>2023 Ekim</t>
  </si>
  <si>
    <t>2023 Kasım</t>
  </si>
  <si>
    <t>2023 Aralık</t>
  </si>
  <si>
    <t>2024 Ocak</t>
  </si>
  <si>
    <t>2024 Şubat</t>
  </si>
  <si>
    <t>2024 Mart</t>
  </si>
  <si>
    <t>2024 Nisan</t>
  </si>
  <si>
    <t>2024 Mayıs</t>
  </si>
  <si>
    <t>2024 Haziran</t>
  </si>
  <si>
    <t>2024 Temmuz</t>
  </si>
  <si>
    <t>2024 Ağustos</t>
  </si>
  <si>
    <t>2024 Eylül</t>
  </si>
  <si>
    <t>2024 Ekim</t>
  </si>
  <si>
    <t>2024 Kasım</t>
  </si>
  <si>
    <t>2024 Aralık</t>
  </si>
  <si>
    <t>2025 Ocak</t>
  </si>
  <si>
    <t>2025 Şubat</t>
  </si>
  <si>
    <t>2025 Mart</t>
  </si>
  <si>
    <t>2025 Nisan</t>
  </si>
  <si>
    <t>2025 Mayıs</t>
  </si>
  <si>
    <t>2025 Haziran</t>
  </si>
  <si>
    <t>2025 Temmuz</t>
  </si>
  <si>
    <t>2025 Ağustos</t>
  </si>
  <si>
    <t>2025 Eylül</t>
  </si>
  <si>
    <t>2025 Ekim</t>
  </si>
  <si>
    <t>2025 Kasım</t>
  </si>
  <si>
    <t>Benzin -Vergili</t>
  </si>
  <si>
    <t>Motorin-Vergili</t>
  </si>
  <si>
    <t>Dolar kuru</t>
  </si>
  <si>
    <t>Dolar Kuru</t>
  </si>
  <si>
    <t>Month</t>
  </si>
  <si>
    <t>Europe Brent Spot Price FOB Dollars per Barrel</t>
  </si>
  <si>
    <t>Brent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</si>
</sst>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11"/>
      <color rgb="FF000000"/>
      <name val="Calibri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quotePrefix="1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164" fontId="2" fillId="0" borderId="0" xfId="0" applyNumberFormat="1" applyFont="1"/>
    <xf numFmtId="9" fontId="0" fillId="0" borderId="0" xfId="0" applyNumberFormat="1"/>
    <xf numFmtId="0" fontId="3" fillId="0" borderId="0" xfId="0" quotePrefix="1" applyFont="1" applyAlignment="1">
      <alignment horizontal="left" indent="1"/>
    </xf>
    <xf numFmtId="165" fontId="0" fillId="0" borderId="0" xfId="0" applyNumberFormat="1"/>
    <xf numFmtId="4" fontId="4" fillId="0" borderId="0" xfId="0" applyNumberFormat="1" applyFont="1"/>
    <xf numFmtId="0" fontId="5" fillId="2" borderId="1" xfId="0" applyFont="1" applyFill="1" applyBorder="1" applyAlignment="1">
      <alignment horizontal="right" vertical="center"/>
    </xf>
    <xf numFmtId="166" fontId="0" fillId="0" borderId="0" xfId="1" applyNumberFormat="1" applyFont="1"/>
    <xf numFmtId="17" fontId="0" fillId="0" borderId="0" xfId="0" applyNumberFormat="1"/>
    <xf numFmtId="166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Enflasyon, Dolar Kuru, Vergili ve Vergisiz Akaryakıt</a:t>
            </a:r>
            <a:r>
              <a:rPr lang="en-GB" sz="1200" baseline="0"/>
              <a:t> Fiyatları (2020 Ocak=100)</a:t>
            </a:r>
            <a:endParaRPr lang="en-GB" sz="1200"/>
          </a:p>
        </c:rich>
      </c:tx>
      <c:layout>
        <c:manualLayout>
          <c:xMode val="edge"/>
          <c:yMode val="edge"/>
          <c:x val="0.13844278975478538"/>
          <c:y val="3.90691212739363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1987947467753916E-2"/>
          <c:y val="8.6620548696583366E-2"/>
          <c:w val="0.9040517446602987"/>
          <c:h val="0.67097893374523054"/>
        </c:manualLayout>
      </c:layout>
      <c:lineChart>
        <c:grouping val="standard"/>
        <c:varyColors val="0"/>
        <c:ser>
          <c:idx val="0"/>
          <c:order val="0"/>
          <c:tx>
            <c:strRef>
              <c:f>ürünler!$AA$8</c:f>
              <c:strCache>
                <c:ptCount val="1"/>
                <c:pt idx="0">
                  <c:v>Enflasyon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ürünler!$AA$9:$AA$79</c:f>
              <c:numCache>
                <c:formatCode>General</c:formatCode>
                <c:ptCount val="71"/>
                <c:pt idx="0">
                  <c:v>100</c:v>
                </c:pt>
                <c:pt idx="1">
                  <c:v>100.35166312017023</c:v>
                </c:pt>
                <c:pt idx="2">
                  <c:v>100.92507559637137</c:v>
                </c:pt>
                <c:pt idx="3">
                  <c:v>101.78743420315826</c:v>
                </c:pt>
                <c:pt idx="4">
                  <c:v>103.17392765147274</c:v>
                </c:pt>
                <c:pt idx="5">
                  <c:v>104.34315152872662</c:v>
                </c:pt>
                <c:pt idx="6">
                  <c:v>104.95240228469034</c:v>
                </c:pt>
                <c:pt idx="7">
                  <c:v>105.85955874118042</c:v>
                </c:pt>
                <c:pt idx="8">
                  <c:v>106.88990928435436</c:v>
                </c:pt>
                <c:pt idx="9">
                  <c:v>109.16787994176279</c:v>
                </c:pt>
                <c:pt idx="10">
                  <c:v>111.67655952514279</c:v>
                </c:pt>
                <c:pt idx="11">
                  <c:v>113.07201254339792</c:v>
                </c:pt>
                <c:pt idx="12">
                  <c:v>114.97368126329935</c:v>
                </c:pt>
                <c:pt idx="13">
                  <c:v>116.01747116138425</c:v>
                </c:pt>
                <c:pt idx="14">
                  <c:v>117.26509127561877</c:v>
                </c:pt>
                <c:pt idx="15">
                  <c:v>119.23395677007505</c:v>
                </c:pt>
                <c:pt idx="16">
                  <c:v>120.29342591555604</c:v>
                </c:pt>
                <c:pt idx="17">
                  <c:v>122.62963377757868</c:v>
                </c:pt>
                <c:pt idx="18">
                  <c:v>124.84264755291747</c:v>
                </c:pt>
                <c:pt idx="19">
                  <c:v>126.24034046365774</c:v>
                </c:pt>
                <c:pt idx="20">
                  <c:v>127.82170455818121</c:v>
                </c:pt>
                <c:pt idx="21">
                  <c:v>130.88139769291075</c:v>
                </c:pt>
                <c:pt idx="22">
                  <c:v>135.47765707246052</c:v>
                </c:pt>
                <c:pt idx="23">
                  <c:v>153.86941426811512</c:v>
                </c:pt>
                <c:pt idx="24">
                  <c:v>170.95531414492106</c:v>
                </c:pt>
                <c:pt idx="25">
                  <c:v>179.17571956546087</c:v>
                </c:pt>
                <c:pt idx="26">
                  <c:v>188.96628961809833</c:v>
                </c:pt>
                <c:pt idx="27">
                  <c:v>202.66323216485608</c:v>
                </c:pt>
                <c:pt idx="28">
                  <c:v>208.70422219733453</c:v>
                </c:pt>
                <c:pt idx="29">
                  <c:v>219.03908612386607</c:v>
                </c:pt>
                <c:pt idx="30">
                  <c:v>224.21995744204278</c:v>
                </c:pt>
                <c:pt idx="31">
                  <c:v>227.49468025534776</c:v>
                </c:pt>
                <c:pt idx="32">
                  <c:v>234.49210437898984</c:v>
                </c:pt>
                <c:pt idx="33">
                  <c:v>242.80434539142121</c:v>
                </c:pt>
                <c:pt idx="34">
                  <c:v>249.80624930003361</c:v>
                </c:pt>
                <c:pt idx="35">
                  <c:v>252.76066748796057</c:v>
                </c:pt>
                <c:pt idx="36">
                  <c:v>269.56658080412143</c:v>
                </c:pt>
                <c:pt idx="37">
                  <c:v>278.0445738604547</c:v>
                </c:pt>
                <c:pt idx="38">
                  <c:v>284.41034830328147</c:v>
                </c:pt>
                <c:pt idx="39">
                  <c:v>291.19498264083325</c:v>
                </c:pt>
                <c:pt idx="40">
                  <c:v>291.32041662000222</c:v>
                </c:pt>
                <c:pt idx="41">
                  <c:v>302.74162840183669</c:v>
                </c:pt>
                <c:pt idx="42">
                  <c:v>331.46824952402284</c:v>
                </c:pt>
                <c:pt idx="43">
                  <c:v>361.58808377197897</c:v>
                </c:pt>
                <c:pt idx="44">
                  <c:v>378.77477881061708</c:v>
                </c:pt>
                <c:pt idx="45">
                  <c:v>391.78183447194533</c:v>
                </c:pt>
                <c:pt idx="46">
                  <c:v>404.63657744428269</c:v>
                </c:pt>
                <c:pt idx="47">
                  <c:v>416.48112890581251</c:v>
                </c:pt>
                <c:pt idx="48">
                  <c:v>444.39914884085567</c:v>
                </c:pt>
                <c:pt idx="49">
                  <c:v>464.52682271250978</c:v>
                </c:pt>
                <c:pt idx="50">
                  <c:v>479.21827752267887</c:v>
                </c:pt>
                <c:pt idx="51">
                  <c:v>494.45626609922726</c:v>
                </c:pt>
                <c:pt idx="52">
                  <c:v>511.10986672639717</c:v>
                </c:pt>
                <c:pt idx="53">
                  <c:v>519.49602419083885</c:v>
                </c:pt>
                <c:pt idx="54">
                  <c:v>536.25265987232615</c:v>
                </c:pt>
                <c:pt idx="55">
                  <c:v>549.5217829544182</c:v>
                </c:pt>
                <c:pt idx="56">
                  <c:v>565.83268003135856</c:v>
                </c:pt>
                <c:pt idx="57">
                  <c:v>582.12789786090264</c:v>
                </c:pt>
                <c:pt idx="58">
                  <c:v>595.19095083435991</c:v>
                </c:pt>
                <c:pt idx="59">
                  <c:v>601.31033710381905</c:v>
                </c:pt>
                <c:pt idx="60">
                  <c:v>631.57128457834028</c:v>
                </c:pt>
                <c:pt idx="61">
                  <c:v>645.92899540822043</c:v>
                </c:pt>
                <c:pt idx="62">
                  <c:v>661.81879269795047</c:v>
                </c:pt>
                <c:pt idx="63">
                  <c:v>681.65080076156346</c:v>
                </c:pt>
                <c:pt idx="64">
                  <c:v>692.06854071004591</c:v>
                </c:pt>
                <c:pt idx="65">
                  <c:v>701.57240452458279</c:v>
                </c:pt>
                <c:pt idx="66">
                  <c:v>716.01747116138426</c:v>
                </c:pt>
                <c:pt idx="67">
                  <c:v>730.59021166983985</c:v>
                </c:pt>
                <c:pt idx="68">
                  <c:v>754.22107738828538</c:v>
                </c:pt>
                <c:pt idx="69">
                  <c:v>773.45503415836038</c:v>
                </c:pt>
                <c:pt idx="70">
                  <c:v>780.14559301153542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F-EF40-B175-84BDE6EE468A}"/>
            </c:ext>
          </c:extLst>
        </c:ser>
        <c:ser>
          <c:idx val="1"/>
          <c:order val="1"/>
          <c:tx>
            <c:strRef>
              <c:f>ürünler!$AB$8</c:f>
              <c:strCache>
                <c:ptCount val="1"/>
                <c:pt idx="0">
                  <c:v>Benzin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ürünler!$AB$9:$AB$79</c:f>
              <c:numCache>
                <c:formatCode>General</c:formatCode>
                <c:ptCount val="71"/>
                <c:pt idx="0">
                  <c:v>100</c:v>
                </c:pt>
                <c:pt idx="1">
                  <c:v>87.151881537834512</c:v>
                </c:pt>
                <c:pt idx="2">
                  <c:v>50.020377666077977</c:v>
                </c:pt>
                <c:pt idx="3">
                  <c:v>25.553593261785092</c:v>
                </c:pt>
                <c:pt idx="4">
                  <c:v>38.360956391794588</c:v>
                </c:pt>
                <c:pt idx="5">
                  <c:v>49.049042249694338</c:v>
                </c:pt>
                <c:pt idx="6">
                  <c:v>54.041570438799084</c:v>
                </c:pt>
                <c:pt idx="7">
                  <c:v>57.06086129601956</c:v>
                </c:pt>
                <c:pt idx="8">
                  <c:v>57.981252547208278</c:v>
                </c:pt>
                <c:pt idx="9">
                  <c:v>56.683874473576957</c:v>
                </c:pt>
                <c:pt idx="10">
                  <c:v>52.713625866050812</c:v>
                </c:pt>
                <c:pt idx="11">
                  <c:v>71.616175338495708</c:v>
                </c:pt>
                <c:pt idx="12">
                  <c:v>81.46764479463846</c:v>
                </c:pt>
                <c:pt idx="13">
                  <c:v>88.686999049042285</c:v>
                </c:pt>
                <c:pt idx="14">
                  <c:v>93.060272607888479</c:v>
                </c:pt>
                <c:pt idx="15">
                  <c:v>96.261830367250866</c:v>
                </c:pt>
                <c:pt idx="16">
                  <c:v>111.47941855726131</c:v>
                </c:pt>
                <c:pt idx="17">
                  <c:v>132.10727709097503</c:v>
                </c:pt>
                <c:pt idx="18">
                  <c:v>139.35040528913652</c:v>
                </c:pt>
                <c:pt idx="19">
                  <c:v>146.08409183534857</c:v>
                </c:pt>
                <c:pt idx="20">
                  <c:v>153.18118009328452</c:v>
                </c:pt>
                <c:pt idx="21">
                  <c:v>166.24892451206824</c:v>
                </c:pt>
                <c:pt idx="22">
                  <c:v>195.12634152968363</c:v>
                </c:pt>
                <c:pt idx="23">
                  <c:v>248.06359921833362</c:v>
                </c:pt>
                <c:pt idx="24">
                  <c:v>328.50391355689538</c:v>
                </c:pt>
                <c:pt idx="25">
                  <c:v>362.0280480285914</c:v>
                </c:pt>
                <c:pt idx="26">
                  <c:v>469.879719519714</c:v>
                </c:pt>
                <c:pt idx="27">
                  <c:v>458.5797811752164</c:v>
                </c:pt>
                <c:pt idx="28">
                  <c:v>519.54923557626978</c:v>
                </c:pt>
                <c:pt idx="29">
                  <c:v>690.11657070005106</c:v>
                </c:pt>
                <c:pt idx="30">
                  <c:v>587.50431066013164</c:v>
                </c:pt>
                <c:pt idx="31">
                  <c:v>446.26278829172435</c:v>
                </c:pt>
                <c:pt idx="32">
                  <c:v>373.39512817029441</c:v>
                </c:pt>
                <c:pt idx="33">
                  <c:v>391.72431630317772</c:v>
                </c:pt>
                <c:pt idx="34">
                  <c:v>419.19628394971392</c:v>
                </c:pt>
                <c:pt idx="35">
                  <c:v>297.79921206357807</c:v>
                </c:pt>
                <c:pt idx="36">
                  <c:v>318.10833508293081</c:v>
                </c:pt>
                <c:pt idx="37">
                  <c:v>309.61023082338113</c:v>
                </c:pt>
                <c:pt idx="38">
                  <c:v>276.76421187832671</c:v>
                </c:pt>
                <c:pt idx="39">
                  <c:v>296.67257413147917</c:v>
                </c:pt>
                <c:pt idx="40">
                  <c:v>198.98821800397664</c:v>
                </c:pt>
                <c:pt idx="41">
                  <c:v>268.54336737844409</c:v>
                </c:pt>
                <c:pt idx="42">
                  <c:v>483.1773103950797</c:v>
                </c:pt>
                <c:pt idx="43">
                  <c:v>680.77552457052514</c:v>
                </c:pt>
                <c:pt idx="44">
                  <c:v>679.68470193032078</c:v>
                </c:pt>
                <c:pt idx="45">
                  <c:v>542.4778624445787</c:v>
                </c:pt>
                <c:pt idx="46">
                  <c:v>515.45985599782637</c:v>
                </c:pt>
                <c:pt idx="47">
                  <c:v>467.99574333197478</c:v>
                </c:pt>
                <c:pt idx="48">
                  <c:v>547.72222976950616</c:v>
                </c:pt>
                <c:pt idx="49">
                  <c:v>633.35823936965096</c:v>
                </c:pt>
                <c:pt idx="50">
                  <c:v>663.65530045736523</c:v>
                </c:pt>
                <c:pt idx="51">
                  <c:v>710.60431100846836</c:v>
                </c:pt>
                <c:pt idx="52">
                  <c:v>665.80967259883175</c:v>
                </c:pt>
                <c:pt idx="53">
                  <c:v>574.20074265271921</c:v>
                </c:pt>
                <c:pt idx="54">
                  <c:v>681.25367930081973</c:v>
                </c:pt>
                <c:pt idx="55">
                  <c:v>629.87365847031674</c:v>
                </c:pt>
                <c:pt idx="56">
                  <c:v>535.30657066521803</c:v>
                </c:pt>
                <c:pt idx="57">
                  <c:v>558.5122039577958</c:v>
                </c:pt>
                <c:pt idx="58">
                  <c:v>511.63225105284624</c:v>
                </c:pt>
                <c:pt idx="59">
                  <c:v>508.51673232803552</c:v>
                </c:pt>
                <c:pt idx="60">
                  <c:v>596.49617352714768</c:v>
                </c:pt>
                <c:pt idx="61">
                  <c:v>630.56310283928826</c:v>
                </c:pt>
                <c:pt idx="62">
                  <c:v>577.52569850110967</c:v>
                </c:pt>
                <c:pt idx="63">
                  <c:v>588.39265498347152</c:v>
                </c:pt>
                <c:pt idx="64">
                  <c:v>612.81075940768937</c:v>
                </c:pt>
                <c:pt idx="65">
                  <c:v>688.00661142054958</c:v>
                </c:pt>
                <c:pt idx="66">
                  <c:v>775.7075578499298</c:v>
                </c:pt>
                <c:pt idx="67">
                  <c:v>790.31041977992118</c:v>
                </c:pt>
                <c:pt idx="68">
                  <c:v>839.42285921296934</c:v>
                </c:pt>
                <c:pt idx="69">
                  <c:v>818.58556355567646</c:v>
                </c:pt>
                <c:pt idx="70">
                  <c:v>874.81660100529825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F-EF40-B175-84BDE6EE468A}"/>
            </c:ext>
          </c:extLst>
        </c:ser>
        <c:ser>
          <c:idx val="2"/>
          <c:order val="2"/>
          <c:tx>
            <c:strRef>
              <c:f>ürünler!$AC$8</c:f>
              <c:strCache>
                <c:ptCount val="1"/>
                <c:pt idx="0">
                  <c:v>Motorin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ürünler!$AC$9:$AC$79</c:f>
              <c:numCache>
                <c:formatCode>General</c:formatCode>
                <c:ptCount val="71"/>
                <c:pt idx="0">
                  <c:v>100</c:v>
                </c:pt>
                <c:pt idx="1">
                  <c:v>88.40980062454959</c:v>
                </c:pt>
                <c:pt idx="2">
                  <c:v>58.07510609336218</c:v>
                </c:pt>
                <c:pt idx="3">
                  <c:v>31.783969893506299</c:v>
                </c:pt>
                <c:pt idx="4">
                  <c:v>31.944110817519419</c:v>
                </c:pt>
                <c:pt idx="5">
                  <c:v>41.240291456481714</c:v>
                </c:pt>
                <c:pt idx="6">
                  <c:v>46.825206181439711</c:v>
                </c:pt>
                <c:pt idx="7">
                  <c:v>48.3545520057651</c:v>
                </c:pt>
                <c:pt idx="8">
                  <c:v>37.761229882296448</c:v>
                </c:pt>
                <c:pt idx="9">
                  <c:v>39.370646168628362</c:v>
                </c:pt>
                <c:pt idx="10">
                  <c:v>43.498278485066841</c:v>
                </c:pt>
                <c:pt idx="11">
                  <c:v>63.366429124296126</c:v>
                </c:pt>
                <c:pt idx="12">
                  <c:v>72.128806683214606</c:v>
                </c:pt>
                <c:pt idx="13">
                  <c:v>80.558891824805897</c:v>
                </c:pt>
                <c:pt idx="14">
                  <c:v>85.217658205887915</c:v>
                </c:pt>
                <c:pt idx="15">
                  <c:v>88.403128086049151</c:v>
                </c:pt>
                <c:pt idx="16">
                  <c:v>108.16318360156947</c:v>
                </c:pt>
                <c:pt idx="17">
                  <c:v>135.73411268583033</c:v>
                </c:pt>
                <c:pt idx="18">
                  <c:v>143.80788427149238</c:v>
                </c:pt>
                <c:pt idx="19">
                  <c:v>153.38698054287786</c:v>
                </c:pt>
                <c:pt idx="20">
                  <c:v>161.75300931486393</c:v>
                </c:pt>
                <c:pt idx="21">
                  <c:v>189.22785384471689</c:v>
                </c:pt>
                <c:pt idx="22">
                  <c:v>229.03755304668127</c:v>
                </c:pt>
                <c:pt idx="23">
                  <c:v>287.60047303165254</c:v>
                </c:pt>
                <c:pt idx="24">
                  <c:v>392.5842433649305</c:v>
                </c:pt>
                <c:pt idx="25">
                  <c:v>437.44710730057835</c:v>
                </c:pt>
                <c:pt idx="26">
                  <c:v>618.54185529419726</c:v>
                </c:pt>
                <c:pt idx="27">
                  <c:v>633.59848974790123</c:v>
                </c:pt>
                <c:pt idx="28">
                  <c:v>640.1996834137118</c:v>
                </c:pt>
                <c:pt idx="29">
                  <c:v>849.34311424823079</c:v>
                </c:pt>
                <c:pt idx="30">
                  <c:v>749.41856526050617</c:v>
                </c:pt>
                <c:pt idx="31">
                  <c:v>648.9575441773377</c:v>
                </c:pt>
                <c:pt idx="32">
                  <c:v>658.6814858614041</c:v>
                </c:pt>
                <c:pt idx="33">
                  <c:v>693.47148567662623</c:v>
                </c:pt>
                <c:pt idx="34">
                  <c:v>638.07812413385307</c:v>
                </c:pt>
                <c:pt idx="35">
                  <c:v>489.47874129233696</c:v>
                </c:pt>
                <c:pt idx="36">
                  <c:v>480.27391377139151</c:v>
                </c:pt>
                <c:pt idx="37">
                  <c:v>385.43372713442375</c:v>
                </c:pt>
                <c:pt idx="38">
                  <c:v>340.95385757648558</c:v>
                </c:pt>
                <c:pt idx="39">
                  <c:v>297.81516825715715</c:v>
                </c:pt>
                <c:pt idx="40">
                  <c:v>189.90347869761752</c:v>
                </c:pt>
                <c:pt idx="41">
                  <c:v>263.03110373492319</c:v>
                </c:pt>
                <c:pt idx="42">
                  <c:v>536.93140873059212</c:v>
                </c:pt>
                <c:pt idx="43">
                  <c:v>823.7590898172208</c:v>
                </c:pt>
                <c:pt idx="44">
                  <c:v>857.51206516279774</c:v>
                </c:pt>
                <c:pt idx="45">
                  <c:v>814.56554495228534</c:v>
                </c:pt>
                <c:pt idx="46">
                  <c:v>733.55352710385137</c:v>
                </c:pt>
                <c:pt idx="47">
                  <c:v>650.8434088664693</c:v>
                </c:pt>
                <c:pt idx="48">
                  <c:v>734.9200629887639</c:v>
                </c:pt>
                <c:pt idx="49">
                  <c:v>839.61085755464819</c:v>
                </c:pt>
                <c:pt idx="50">
                  <c:v>770.41663330397455</c:v>
                </c:pt>
                <c:pt idx="51">
                  <c:v>767.66087490324833</c:v>
                </c:pt>
                <c:pt idx="52">
                  <c:v>684.41828809352251</c:v>
                </c:pt>
                <c:pt idx="53">
                  <c:v>661.66493180665668</c:v>
                </c:pt>
                <c:pt idx="54">
                  <c:v>785.26836949849223</c:v>
                </c:pt>
                <c:pt idx="55">
                  <c:v>720.63816158219254</c:v>
                </c:pt>
                <c:pt idx="56">
                  <c:v>634.89737635786184</c:v>
                </c:pt>
                <c:pt idx="57">
                  <c:v>631.74927269330351</c:v>
                </c:pt>
                <c:pt idx="58">
                  <c:v>610.42117063015507</c:v>
                </c:pt>
                <c:pt idx="59">
                  <c:v>630.74171937972142</c:v>
                </c:pt>
                <c:pt idx="60">
                  <c:v>728.81469026076297</c:v>
                </c:pt>
                <c:pt idx="61">
                  <c:v>750.12811273921091</c:v>
                </c:pt>
                <c:pt idx="62">
                  <c:v>707.93765180025127</c:v>
                </c:pt>
                <c:pt idx="63">
                  <c:v>681.83735020151062</c:v>
                </c:pt>
                <c:pt idx="64">
                  <c:v>686.85643366162253</c:v>
                </c:pt>
                <c:pt idx="65">
                  <c:v>814.73163050150833</c:v>
                </c:pt>
                <c:pt idx="66">
                  <c:v>987.65046574318762</c:v>
                </c:pt>
                <c:pt idx="67">
                  <c:v>962.16270317879776</c:v>
                </c:pt>
                <c:pt idx="68">
                  <c:v>1021.2813942936452</c:v>
                </c:pt>
                <c:pt idx="69">
                  <c:v>1002.4594976913019</c:v>
                </c:pt>
                <c:pt idx="70">
                  <c:v>1141.1842421330773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F-EF40-B175-84BDE6EE468A}"/>
            </c:ext>
          </c:extLst>
        </c:ser>
        <c:ser>
          <c:idx val="3"/>
          <c:order val="3"/>
          <c:tx>
            <c:strRef>
              <c:f>ürünler!$AD$8</c:f>
              <c:strCache>
                <c:ptCount val="1"/>
                <c:pt idx="0">
                  <c:v>Benzin -Vergili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ürünler!$AD$9:$AD$79</c:f>
              <c:numCache>
                <c:formatCode>General</c:formatCode>
                <c:ptCount val="71"/>
                <c:pt idx="0">
                  <c:v>100</c:v>
                </c:pt>
                <c:pt idx="1">
                  <c:v>96.320536017188729</c:v>
                </c:pt>
                <c:pt idx="2">
                  <c:v>82.534207848015384</c:v>
                </c:pt>
                <c:pt idx="3">
                  <c:v>74.018998077575489</c:v>
                </c:pt>
                <c:pt idx="4">
                  <c:v>81.017471446341744</c:v>
                </c:pt>
                <c:pt idx="5">
                  <c:v>87.13389121338912</c:v>
                </c:pt>
                <c:pt idx="6">
                  <c:v>90.879791925817031</c:v>
                </c:pt>
                <c:pt idx="7">
                  <c:v>93.804421576388108</c:v>
                </c:pt>
                <c:pt idx="8">
                  <c:v>95.855478909872218</c:v>
                </c:pt>
                <c:pt idx="9">
                  <c:v>96.983489765916545</c:v>
                </c:pt>
                <c:pt idx="10">
                  <c:v>96.999038787741725</c:v>
                </c:pt>
                <c:pt idx="11">
                  <c:v>102.08639601945042</c:v>
                </c:pt>
                <c:pt idx="12">
                  <c:v>103.40664932715143</c:v>
                </c:pt>
                <c:pt idx="13">
                  <c:v>103.6314033698971</c:v>
                </c:pt>
                <c:pt idx="14">
                  <c:v>102.67160465905236</c:v>
                </c:pt>
                <c:pt idx="15">
                  <c:v>101.22413208187265</c:v>
                </c:pt>
                <c:pt idx="16">
                  <c:v>104.7777903426439</c:v>
                </c:pt>
                <c:pt idx="17">
                  <c:v>110.58322967318784</c:v>
                </c:pt>
                <c:pt idx="18">
                  <c:v>110.81787854800406</c:v>
                </c:pt>
                <c:pt idx="19">
                  <c:v>110.84049530702251</c:v>
                </c:pt>
                <c:pt idx="20">
                  <c:v>111.01436164197671</c:v>
                </c:pt>
                <c:pt idx="21">
                  <c:v>113.67324437408121</c:v>
                </c:pt>
                <c:pt idx="22">
                  <c:v>122.91219043311094</c:v>
                </c:pt>
                <c:pt idx="23">
                  <c:v>152.64333371027934</c:v>
                </c:pt>
                <c:pt idx="24">
                  <c:v>193.82138414565193</c:v>
                </c:pt>
                <c:pt idx="25">
                  <c:v>215.47269026348525</c:v>
                </c:pt>
                <c:pt idx="26">
                  <c:v>268.05948207621844</c:v>
                </c:pt>
                <c:pt idx="27">
                  <c:v>271.05478909872215</c:v>
                </c:pt>
                <c:pt idx="28">
                  <c:v>304.12897206830263</c:v>
                </c:pt>
                <c:pt idx="29">
                  <c:v>382.81833088318444</c:v>
                </c:pt>
                <c:pt idx="30">
                  <c:v>347.80900147008936</c:v>
                </c:pt>
                <c:pt idx="31">
                  <c:v>296.72198348976593</c:v>
                </c:pt>
                <c:pt idx="32">
                  <c:v>274.09250254438541</c:v>
                </c:pt>
                <c:pt idx="33">
                  <c:v>289.41959742168945</c:v>
                </c:pt>
                <c:pt idx="34">
                  <c:v>308.55196200384484</c:v>
                </c:pt>
                <c:pt idx="35">
                  <c:v>265.72430170756536</c:v>
                </c:pt>
                <c:pt idx="36">
                  <c:v>287.06604093633382</c:v>
                </c:pt>
                <c:pt idx="37">
                  <c:v>296.41807079045572</c:v>
                </c:pt>
                <c:pt idx="38">
                  <c:v>295.63637905688114</c:v>
                </c:pt>
                <c:pt idx="39">
                  <c:v>316.81131968788873</c:v>
                </c:pt>
                <c:pt idx="40">
                  <c:v>289.04359380300804</c:v>
                </c:pt>
                <c:pt idx="41">
                  <c:v>330.88177089223115</c:v>
                </c:pt>
                <c:pt idx="42">
                  <c:v>433.10245391835355</c:v>
                </c:pt>
                <c:pt idx="43">
                  <c:v>528.23278299219726</c:v>
                </c:pt>
                <c:pt idx="44">
                  <c:v>540.66775981001922</c:v>
                </c:pt>
                <c:pt idx="45">
                  <c:v>496.45058238154468</c:v>
                </c:pt>
                <c:pt idx="46">
                  <c:v>498.09453805269709</c:v>
                </c:pt>
                <c:pt idx="47">
                  <c:v>488.06965961777672</c:v>
                </c:pt>
                <c:pt idx="48">
                  <c:v>530.98213276037552</c:v>
                </c:pt>
                <c:pt idx="49">
                  <c:v>576.35417844622873</c:v>
                </c:pt>
                <c:pt idx="50">
                  <c:v>598.69388216668551</c:v>
                </c:pt>
                <c:pt idx="51">
                  <c:v>627.96420897885343</c:v>
                </c:pt>
                <c:pt idx="52">
                  <c:v>619.05037883071361</c:v>
                </c:pt>
                <c:pt idx="53">
                  <c:v>590.65221078819411</c:v>
                </c:pt>
                <c:pt idx="54">
                  <c:v>644.93808662218703</c:v>
                </c:pt>
                <c:pt idx="55">
                  <c:v>633.28338799050107</c:v>
                </c:pt>
                <c:pt idx="56">
                  <c:v>603.65402012891548</c:v>
                </c:pt>
                <c:pt idx="57">
                  <c:v>623.04223679746701</c:v>
                </c:pt>
                <c:pt idx="58">
                  <c:v>613.26048852199494</c:v>
                </c:pt>
                <c:pt idx="59">
                  <c:v>613.35378265294594</c:v>
                </c:pt>
                <c:pt idx="60">
                  <c:v>651.36124618342194</c:v>
                </c:pt>
                <c:pt idx="61">
                  <c:v>666.93005767273553</c:v>
                </c:pt>
                <c:pt idx="62">
                  <c:v>646.2456180029402</c:v>
                </c:pt>
                <c:pt idx="63">
                  <c:v>652.15848693882174</c:v>
                </c:pt>
                <c:pt idx="64">
                  <c:v>663.71141015492492</c:v>
                </c:pt>
                <c:pt idx="65">
                  <c:v>696.39828112631449</c:v>
                </c:pt>
                <c:pt idx="66">
                  <c:v>734.28983376682118</c:v>
                </c:pt>
                <c:pt idx="67">
                  <c:v>741.75760488521996</c:v>
                </c:pt>
                <c:pt idx="68">
                  <c:v>763.58843152776217</c:v>
                </c:pt>
                <c:pt idx="69">
                  <c:v>756.3058351238268</c:v>
                </c:pt>
                <c:pt idx="70">
                  <c:v>781.09945719778352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0F-EF40-B175-84BDE6EE468A}"/>
            </c:ext>
          </c:extLst>
        </c:ser>
        <c:ser>
          <c:idx val="4"/>
          <c:order val="4"/>
          <c:tx>
            <c:strRef>
              <c:f>ürünler!$AE$8</c:f>
              <c:strCache>
                <c:ptCount val="1"/>
                <c:pt idx="0">
                  <c:v>Motorin-Vergili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ürünler!$AE$9:$AE$79</c:f>
              <c:numCache>
                <c:formatCode>General</c:formatCode>
                <c:ptCount val="71"/>
                <c:pt idx="0">
                  <c:v>100</c:v>
                </c:pt>
                <c:pt idx="1">
                  <c:v>97.412414375810982</c:v>
                </c:pt>
                <c:pt idx="2">
                  <c:v>87.760644557771812</c:v>
                </c:pt>
                <c:pt idx="3">
                  <c:v>79.63275898488186</c:v>
                </c:pt>
                <c:pt idx="4">
                  <c:v>81.473490449319542</c:v>
                </c:pt>
                <c:pt idx="5">
                  <c:v>86.757295030025048</c:v>
                </c:pt>
                <c:pt idx="6">
                  <c:v>90.642445457014404</c:v>
                </c:pt>
                <c:pt idx="7">
                  <c:v>92.999185250007542</c:v>
                </c:pt>
                <c:pt idx="8">
                  <c:v>90.787289900117699</c:v>
                </c:pt>
                <c:pt idx="9">
                  <c:v>93.174205618757355</c:v>
                </c:pt>
                <c:pt idx="10">
                  <c:v>96.510154198980061</c:v>
                </c:pt>
                <c:pt idx="11">
                  <c:v>101.03050786082864</c:v>
                </c:pt>
                <c:pt idx="12">
                  <c:v>101.365460635505</c:v>
                </c:pt>
                <c:pt idx="13">
                  <c:v>101.57518331874832</c:v>
                </c:pt>
                <c:pt idx="14">
                  <c:v>100.36361990404058</c:v>
                </c:pt>
                <c:pt idx="15">
                  <c:v>98.596819457436865</c:v>
                </c:pt>
                <c:pt idx="16">
                  <c:v>103.07643561966263</c:v>
                </c:pt>
                <c:pt idx="17">
                  <c:v>110.49971332870636</c:v>
                </c:pt>
                <c:pt idx="18">
                  <c:v>110.57515314282266</c:v>
                </c:pt>
                <c:pt idx="19">
                  <c:v>111.21790035909352</c:v>
                </c:pt>
                <c:pt idx="20">
                  <c:v>111.40348230181962</c:v>
                </c:pt>
                <c:pt idx="21">
                  <c:v>118.7905489000875</c:v>
                </c:pt>
                <c:pt idx="22">
                  <c:v>130.8262168442017</c:v>
                </c:pt>
                <c:pt idx="23">
                  <c:v>161.11379341561303</c:v>
                </c:pt>
                <c:pt idx="24">
                  <c:v>208.89586288059388</c:v>
                </c:pt>
                <c:pt idx="25">
                  <c:v>234.02033857388577</c:v>
                </c:pt>
                <c:pt idx="26">
                  <c:v>310.4861341621654</c:v>
                </c:pt>
                <c:pt idx="27">
                  <c:v>324.37762153354055</c:v>
                </c:pt>
                <c:pt idx="28">
                  <c:v>335.08253115664326</c:v>
                </c:pt>
                <c:pt idx="29">
                  <c:v>422.11895349889858</c:v>
                </c:pt>
                <c:pt idx="30">
                  <c:v>392.67781164187215</c:v>
                </c:pt>
                <c:pt idx="31">
                  <c:v>363.03449108301396</c:v>
                </c:pt>
                <c:pt idx="32">
                  <c:v>374.91626180633091</c:v>
                </c:pt>
                <c:pt idx="33">
                  <c:v>396.24460605329068</c:v>
                </c:pt>
                <c:pt idx="34">
                  <c:v>383.58580524457591</c:v>
                </c:pt>
                <c:pt idx="35">
                  <c:v>335.80071818703038</c:v>
                </c:pt>
                <c:pt idx="36">
                  <c:v>346.08920003621114</c:v>
                </c:pt>
                <c:pt idx="37">
                  <c:v>324.10452940643961</c:v>
                </c:pt>
                <c:pt idx="38">
                  <c:v>321.09900721204622</c:v>
                </c:pt>
                <c:pt idx="39">
                  <c:v>318.59893177223216</c:v>
                </c:pt>
                <c:pt idx="40">
                  <c:v>291.68804128066631</c:v>
                </c:pt>
                <c:pt idx="41">
                  <c:v>333.00491867588045</c:v>
                </c:pt>
                <c:pt idx="42">
                  <c:v>449.98642083345908</c:v>
                </c:pt>
                <c:pt idx="43">
                  <c:v>571.83982618666835</c:v>
                </c:pt>
                <c:pt idx="44">
                  <c:v>598.31769214520659</c:v>
                </c:pt>
                <c:pt idx="45">
                  <c:v>595.89003892694416</c:v>
                </c:pt>
                <c:pt idx="46">
                  <c:v>579.11675065632642</c:v>
                </c:pt>
                <c:pt idx="47">
                  <c:v>558.33157307100396</c:v>
                </c:pt>
                <c:pt idx="48">
                  <c:v>600.40284860738109</c:v>
                </c:pt>
                <c:pt idx="49">
                  <c:v>650.24291620145459</c:v>
                </c:pt>
                <c:pt idx="50">
                  <c:v>634.55143486526458</c:v>
                </c:pt>
                <c:pt idx="51">
                  <c:v>643.89842783427389</c:v>
                </c:pt>
                <c:pt idx="52">
                  <c:v>622.91258034340206</c:v>
                </c:pt>
                <c:pt idx="53">
                  <c:v>624.72313588219322</c:v>
                </c:pt>
                <c:pt idx="54">
                  <c:v>681.69075711397443</c:v>
                </c:pt>
                <c:pt idx="55">
                  <c:v>667.71930353963614</c:v>
                </c:pt>
                <c:pt idx="56">
                  <c:v>645.79196716859292</c:v>
                </c:pt>
                <c:pt idx="57">
                  <c:v>654.9910981019342</c:v>
                </c:pt>
                <c:pt idx="58">
                  <c:v>657.33878511723356</c:v>
                </c:pt>
                <c:pt idx="59">
                  <c:v>666.48058179184648</c:v>
                </c:pt>
                <c:pt idx="60">
                  <c:v>704.92471106551193</c:v>
                </c:pt>
                <c:pt idx="61">
                  <c:v>714.44068921814176</c:v>
                </c:pt>
                <c:pt idx="62">
                  <c:v>700.02414074051728</c:v>
                </c:pt>
                <c:pt idx="63">
                  <c:v>691.6714445215606</c:v>
                </c:pt>
                <c:pt idx="64">
                  <c:v>695.04662180512389</c:v>
                </c:pt>
                <c:pt idx="65">
                  <c:v>744.72223060442377</c:v>
                </c:pt>
                <c:pt idx="66">
                  <c:v>811.3733063761731</c:v>
                </c:pt>
                <c:pt idx="67">
                  <c:v>803.25145598841243</c:v>
                </c:pt>
                <c:pt idx="68">
                  <c:v>827.01499743504633</c:v>
                </c:pt>
                <c:pt idx="69">
                  <c:v>821.4052928573584</c:v>
                </c:pt>
                <c:pt idx="70">
                  <c:v>875.16973958176163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0F-EF40-B175-84BDE6EE468A}"/>
            </c:ext>
          </c:extLst>
        </c:ser>
        <c:ser>
          <c:idx val="5"/>
          <c:order val="5"/>
          <c:tx>
            <c:strRef>
              <c:f>ürünler!$AF$8</c:f>
              <c:strCache>
                <c:ptCount val="1"/>
                <c:pt idx="0">
                  <c:v>Dolar Kuru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ürünler!$AF$9:$AF$79</c:f>
              <c:numCache>
                <c:formatCode>General</c:formatCode>
                <c:ptCount val="71"/>
                <c:pt idx="0">
                  <c:v>100</c:v>
                </c:pt>
                <c:pt idx="1">
                  <c:v>102.19224283305228</c:v>
                </c:pt>
                <c:pt idx="2">
                  <c:v>106.74536256323778</c:v>
                </c:pt>
                <c:pt idx="3">
                  <c:v>115.177065767285</c:v>
                </c:pt>
                <c:pt idx="4">
                  <c:v>117.36930860033728</c:v>
                </c:pt>
                <c:pt idx="5">
                  <c:v>115.00843170320405</c:v>
                </c:pt>
                <c:pt idx="6">
                  <c:v>115.68296795952783</c:v>
                </c:pt>
                <c:pt idx="7">
                  <c:v>122.59696458684655</c:v>
                </c:pt>
                <c:pt idx="8">
                  <c:v>126.81281618887016</c:v>
                </c:pt>
                <c:pt idx="9">
                  <c:v>133.05227655986511</c:v>
                </c:pt>
                <c:pt idx="10">
                  <c:v>135.24451939291737</c:v>
                </c:pt>
                <c:pt idx="11">
                  <c:v>130.35413153457</c:v>
                </c:pt>
                <c:pt idx="12">
                  <c:v>124.95784148397976</c:v>
                </c:pt>
                <c:pt idx="13">
                  <c:v>119.56155143338955</c:v>
                </c:pt>
                <c:pt idx="14">
                  <c:v>128.8364249578415</c:v>
                </c:pt>
                <c:pt idx="15">
                  <c:v>137.77403035413155</c:v>
                </c:pt>
                <c:pt idx="16">
                  <c:v>140.97807757166947</c:v>
                </c:pt>
                <c:pt idx="17">
                  <c:v>145.19392917369311</c:v>
                </c:pt>
                <c:pt idx="18">
                  <c:v>145.531197301855</c:v>
                </c:pt>
                <c:pt idx="19">
                  <c:v>143.17032040472176</c:v>
                </c:pt>
                <c:pt idx="20">
                  <c:v>143.84485666104553</c:v>
                </c:pt>
                <c:pt idx="21">
                  <c:v>154.46880269814503</c:v>
                </c:pt>
                <c:pt idx="22">
                  <c:v>177.74030354131534</c:v>
                </c:pt>
                <c:pt idx="23">
                  <c:v>228.49915682967961</c:v>
                </c:pt>
                <c:pt idx="24">
                  <c:v>228.33052276559866</c:v>
                </c:pt>
                <c:pt idx="25">
                  <c:v>230.18549747048905</c:v>
                </c:pt>
                <c:pt idx="26">
                  <c:v>246.03709949409782</c:v>
                </c:pt>
                <c:pt idx="27">
                  <c:v>248.06070826306916</c:v>
                </c:pt>
                <c:pt idx="28">
                  <c:v>263.91231028667789</c:v>
                </c:pt>
                <c:pt idx="29">
                  <c:v>286.67790893760542</c:v>
                </c:pt>
                <c:pt idx="30">
                  <c:v>293.76053962900511</c:v>
                </c:pt>
                <c:pt idx="31">
                  <c:v>304.04721753794269</c:v>
                </c:pt>
                <c:pt idx="32">
                  <c:v>308.76897133220911</c:v>
                </c:pt>
                <c:pt idx="33">
                  <c:v>313.65935919055653</c:v>
                </c:pt>
                <c:pt idx="34">
                  <c:v>313.99662731871842</c:v>
                </c:pt>
                <c:pt idx="35">
                  <c:v>314.83979763912316</c:v>
                </c:pt>
                <c:pt idx="36">
                  <c:v>316.86340640809448</c:v>
                </c:pt>
                <c:pt idx="37">
                  <c:v>318.04384485666105</c:v>
                </c:pt>
                <c:pt idx="38">
                  <c:v>320.40472175379426</c:v>
                </c:pt>
                <c:pt idx="39">
                  <c:v>326.13827993254637</c:v>
                </c:pt>
                <c:pt idx="40">
                  <c:v>332.54637436762226</c:v>
                </c:pt>
                <c:pt idx="41">
                  <c:v>389.71332209106242</c:v>
                </c:pt>
                <c:pt idx="42">
                  <c:v>446.37436762225974</c:v>
                </c:pt>
                <c:pt idx="43">
                  <c:v>455.31197301854979</c:v>
                </c:pt>
                <c:pt idx="44">
                  <c:v>455.14333895446885</c:v>
                </c:pt>
                <c:pt idx="45">
                  <c:v>469.64586846543006</c:v>
                </c:pt>
                <c:pt idx="46">
                  <c:v>482.96795952782463</c:v>
                </c:pt>
                <c:pt idx="47">
                  <c:v>490.21922428330527</c:v>
                </c:pt>
                <c:pt idx="48">
                  <c:v>506.74536256323779</c:v>
                </c:pt>
                <c:pt idx="49">
                  <c:v>518.71838111298484</c:v>
                </c:pt>
                <c:pt idx="50">
                  <c:v>539.46037099494106</c:v>
                </c:pt>
                <c:pt idx="51">
                  <c:v>545.19392917369316</c:v>
                </c:pt>
                <c:pt idx="52">
                  <c:v>543.84485666104558</c:v>
                </c:pt>
                <c:pt idx="53">
                  <c:v>548.39797639123117</c:v>
                </c:pt>
                <c:pt idx="54">
                  <c:v>554.637436762226</c:v>
                </c:pt>
                <c:pt idx="55">
                  <c:v>566.94772344013484</c:v>
                </c:pt>
                <c:pt idx="56">
                  <c:v>573.86172006745369</c:v>
                </c:pt>
                <c:pt idx="57">
                  <c:v>577.23440134907241</c:v>
                </c:pt>
                <c:pt idx="58">
                  <c:v>580.60708263069148</c:v>
                </c:pt>
                <c:pt idx="59">
                  <c:v>589.71332209106242</c:v>
                </c:pt>
                <c:pt idx="60">
                  <c:v>598.98819561551443</c:v>
                </c:pt>
                <c:pt idx="61">
                  <c:v>609.78077571669473</c:v>
                </c:pt>
                <c:pt idx="62">
                  <c:v>624.6205733558179</c:v>
                </c:pt>
                <c:pt idx="63">
                  <c:v>642.32715008431717</c:v>
                </c:pt>
                <c:pt idx="64">
                  <c:v>653.62563237774032</c:v>
                </c:pt>
                <c:pt idx="65">
                  <c:v>664.58684654300168</c:v>
                </c:pt>
                <c:pt idx="66">
                  <c:v>677.57166947723442</c:v>
                </c:pt>
                <c:pt idx="67">
                  <c:v>688.02698145025295</c:v>
                </c:pt>
                <c:pt idx="68">
                  <c:v>696.29005059021927</c:v>
                </c:pt>
                <c:pt idx="69">
                  <c:v>705.05902192242831</c:v>
                </c:pt>
                <c:pt idx="70">
                  <c:v>712.64755480607084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0F-EF40-B175-84BDE6EE4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301120"/>
        <c:axId val="456300224"/>
      </c:lineChart>
      <c:catAx>
        <c:axId val="4563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0224"/>
        <c:crosses val="autoZero"/>
        <c:auto val="1"/>
        <c:lblAlgn val="ctr"/>
        <c:lblOffset val="100"/>
        <c:noMultiLvlLbl val="0"/>
      </c:catAx>
      <c:valAx>
        <c:axId val="456300224"/>
        <c:scaling>
          <c:orientation val="minMax"/>
          <c:max val="11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40271334450897E-2"/>
          <c:y val="9.0856318230605637E-2"/>
          <c:w val="0.80076020428053485"/>
          <c:h val="0.14016093401656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Enflasyon ve Dolar Kuru (2020</a:t>
            </a:r>
            <a:r>
              <a:rPr lang="en-GB" baseline="0"/>
              <a:t> Ocak=100)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3628577102601849E-2"/>
          <c:y val="9.5630991965498735E-2"/>
          <c:w val="0.91519342921289715"/>
          <c:h val="0.66764582571576547"/>
        </c:manualLayout>
      </c:layout>
      <c:lineChart>
        <c:grouping val="standard"/>
        <c:varyColors val="0"/>
        <c:ser>
          <c:idx val="0"/>
          <c:order val="0"/>
          <c:tx>
            <c:strRef>
              <c:f>ürünler!$AA$8</c:f>
              <c:strCache>
                <c:ptCount val="1"/>
                <c:pt idx="0">
                  <c:v>Enflasyon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ürünler!$AA$9:$AA$79</c:f>
              <c:numCache>
                <c:formatCode>General</c:formatCode>
                <c:ptCount val="71"/>
                <c:pt idx="0">
                  <c:v>100</c:v>
                </c:pt>
                <c:pt idx="1">
                  <c:v>100.35166312017023</c:v>
                </c:pt>
                <c:pt idx="2">
                  <c:v>100.92507559637137</c:v>
                </c:pt>
                <c:pt idx="3">
                  <c:v>101.78743420315826</c:v>
                </c:pt>
                <c:pt idx="4">
                  <c:v>103.17392765147274</c:v>
                </c:pt>
                <c:pt idx="5">
                  <c:v>104.34315152872662</c:v>
                </c:pt>
                <c:pt idx="6">
                  <c:v>104.95240228469034</c:v>
                </c:pt>
                <c:pt idx="7">
                  <c:v>105.85955874118042</c:v>
                </c:pt>
                <c:pt idx="8">
                  <c:v>106.88990928435436</c:v>
                </c:pt>
                <c:pt idx="9">
                  <c:v>109.16787994176279</c:v>
                </c:pt>
                <c:pt idx="10">
                  <c:v>111.67655952514279</c:v>
                </c:pt>
                <c:pt idx="11">
                  <c:v>113.07201254339792</c:v>
                </c:pt>
                <c:pt idx="12">
                  <c:v>114.97368126329935</c:v>
                </c:pt>
                <c:pt idx="13">
                  <c:v>116.01747116138425</c:v>
                </c:pt>
                <c:pt idx="14">
                  <c:v>117.26509127561877</c:v>
                </c:pt>
                <c:pt idx="15">
                  <c:v>119.23395677007505</c:v>
                </c:pt>
                <c:pt idx="16">
                  <c:v>120.29342591555604</c:v>
                </c:pt>
                <c:pt idx="17">
                  <c:v>122.62963377757868</c:v>
                </c:pt>
                <c:pt idx="18">
                  <c:v>124.84264755291747</c:v>
                </c:pt>
                <c:pt idx="19">
                  <c:v>126.24034046365774</c:v>
                </c:pt>
                <c:pt idx="20">
                  <c:v>127.82170455818121</c:v>
                </c:pt>
                <c:pt idx="21">
                  <c:v>130.88139769291075</c:v>
                </c:pt>
                <c:pt idx="22">
                  <c:v>135.47765707246052</c:v>
                </c:pt>
                <c:pt idx="23">
                  <c:v>153.86941426811512</c:v>
                </c:pt>
                <c:pt idx="24">
                  <c:v>170.95531414492106</c:v>
                </c:pt>
                <c:pt idx="25">
                  <c:v>179.17571956546087</c:v>
                </c:pt>
                <c:pt idx="26">
                  <c:v>188.96628961809833</c:v>
                </c:pt>
                <c:pt idx="27">
                  <c:v>202.66323216485608</c:v>
                </c:pt>
                <c:pt idx="28">
                  <c:v>208.70422219733453</c:v>
                </c:pt>
                <c:pt idx="29">
                  <c:v>219.03908612386607</c:v>
                </c:pt>
                <c:pt idx="30">
                  <c:v>224.21995744204278</c:v>
                </c:pt>
                <c:pt idx="31">
                  <c:v>227.49468025534776</c:v>
                </c:pt>
                <c:pt idx="32">
                  <c:v>234.49210437898984</c:v>
                </c:pt>
                <c:pt idx="33">
                  <c:v>242.80434539142121</c:v>
                </c:pt>
                <c:pt idx="34">
                  <c:v>249.80624930003361</c:v>
                </c:pt>
                <c:pt idx="35">
                  <c:v>252.76066748796057</c:v>
                </c:pt>
                <c:pt idx="36">
                  <c:v>269.56658080412143</c:v>
                </c:pt>
                <c:pt idx="37">
                  <c:v>278.0445738604547</c:v>
                </c:pt>
                <c:pt idx="38">
                  <c:v>284.41034830328147</c:v>
                </c:pt>
                <c:pt idx="39">
                  <c:v>291.19498264083325</c:v>
                </c:pt>
                <c:pt idx="40">
                  <c:v>291.32041662000222</c:v>
                </c:pt>
                <c:pt idx="41">
                  <c:v>302.74162840183669</c:v>
                </c:pt>
                <c:pt idx="42">
                  <c:v>331.46824952402284</c:v>
                </c:pt>
                <c:pt idx="43">
                  <c:v>361.58808377197897</c:v>
                </c:pt>
                <c:pt idx="44">
                  <c:v>378.77477881061708</c:v>
                </c:pt>
                <c:pt idx="45">
                  <c:v>391.78183447194533</c:v>
                </c:pt>
                <c:pt idx="46">
                  <c:v>404.63657744428269</c:v>
                </c:pt>
                <c:pt idx="47">
                  <c:v>416.48112890581251</c:v>
                </c:pt>
                <c:pt idx="48">
                  <c:v>444.39914884085567</c:v>
                </c:pt>
                <c:pt idx="49">
                  <c:v>464.52682271250978</c:v>
                </c:pt>
                <c:pt idx="50">
                  <c:v>479.21827752267887</c:v>
                </c:pt>
                <c:pt idx="51">
                  <c:v>494.45626609922726</c:v>
                </c:pt>
                <c:pt idx="52">
                  <c:v>511.10986672639717</c:v>
                </c:pt>
                <c:pt idx="53">
                  <c:v>519.49602419083885</c:v>
                </c:pt>
                <c:pt idx="54">
                  <c:v>536.25265987232615</c:v>
                </c:pt>
                <c:pt idx="55">
                  <c:v>549.5217829544182</c:v>
                </c:pt>
                <c:pt idx="56">
                  <c:v>565.83268003135856</c:v>
                </c:pt>
                <c:pt idx="57">
                  <c:v>582.12789786090264</c:v>
                </c:pt>
                <c:pt idx="58">
                  <c:v>595.19095083435991</c:v>
                </c:pt>
                <c:pt idx="59">
                  <c:v>601.31033710381905</c:v>
                </c:pt>
                <c:pt idx="60">
                  <c:v>631.57128457834028</c:v>
                </c:pt>
                <c:pt idx="61">
                  <c:v>645.92899540822043</c:v>
                </c:pt>
                <c:pt idx="62">
                  <c:v>661.81879269795047</c:v>
                </c:pt>
                <c:pt idx="63">
                  <c:v>681.65080076156346</c:v>
                </c:pt>
                <c:pt idx="64">
                  <c:v>692.06854071004591</c:v>
                </c:pt>
                <c:pt idx="65">
                  <c:v>701.57240452458279</c:v>
                </c:pt>
                <c:pt idx="66">
                  <c:v>716.01747116138426</c:v>
                </c:pt>
                <c:pt idx="67">
                  <c:v>730.59021166983985</c:v>
                </c:pt>
                <c:pt idx="68">
                  <c:v>754.22107738828538</c:v>
                </c:pt>
                <c:pt idx="69">
                  <c:v>773.45503415836038</c:v>
                </c:pt>
                <c:pt idx="70">
                  <c:v>780.14559301153542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9-124E-9564-E36DA118D7B0}"/>
            </c:ext>
          </c:extLst>
        </c:ser>
        <c:ser>
          <c:idx val="5"/>
          <c:order val="1"/>
          <c:tx>
            <c:strRef>
              <c:f>ürünler!$AF$8</c:f>
              <c:strCache>
                <c:ptCount val="1"/>
                <c:pt idx="0">
                  <c:v>Dolar Kuru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ürünler!$AF$9:$AF$79</c:f>
              <c:numCache>
                <c:formatCode>General</c:formatCode>
                <c:ptCount val="71"/>
                <c:pt idx="0">
                  <c:v>100</c:v>
                </c:pt>
                <c:pt idx="1">
                  <c:v>102.19224283305228</c:v>
                </c:pt>
                <c:pt idx="2">
                  <c:v>106.74536256323778</c:v>
                </c:pt>
                <c:pt idx="3">
                  <c:v>115.177065767285</c:v>
                </c:pt>
                <c:pt idx="4">
                  <c:v>117.36930860033728</c:v>
                </c:pt>
                <c:pt idx="5">
                  <c:v>115.00843170320405</c:v>
                </c:pt>
                <c:pt idx="6">
                  <c:v>115.68296795952783</c:v>
                </c:pt>
                <c:pt idx="7">
                  <c:v>122.59696458684655</c:v>
                </c:pt>
                <c:pt idx="8">
                  <c:v>126.81281618887016</c:v>
                </c:pt>
                <c:pt idx="9">
                  <c:v>133.05227655986511</c:v>
                </c:pt>
                <c:pt idx="10">
                  <c:v>135.24451939291737</c:v>
                </c:pt>
                <c:pt idx="11">
                  <c:v>130.35413153457</c:v>
                </c:pt>
                <c:pt idx="12">
                  <c:v>124.95784148397976</c:v>
                </c:pt>
                <c:pt idx="13">
                  <c:v>119.56155143338955</c:v>
                </c:pt>
                <c:pt idx="14">
                  <c:v>128.8364249578415</c:v>
                </c:pt>
                <c:pt idx="15">
                  <c:v>137.77403035413155</c:v>
                </c:pt>
                <c:pt idx="16">
                  <c:v>140.97807757166947</c:v>
                </c:pt>
                <c:pt idx="17">
                  <c:v>145.19392917369311</c:v>
                </c:pt>
                <c:pt idx="18">
                  <c:v>145.531197301855</c:v>
                </c:pt>
                <c:pt idx="19">
                  <c:v>143.17032040472176</c:v>
                </c:pt>
                <c:pt idx="20">
                  <c:v>143.84485666104553</c:v>
                </c:pt>
                <c:pt idx="21">
                  <c:v>154.46880269814503</c:v>
                </c:pt>
                <c:pt idx="22">
                  <c:v>177.74030354131534</c:v>
                </c:pt>
                <c:pt idx="23">
                  <c:v>228.49915682967961</c:v>
                </c:pt>
                <c:pt idx="24">
                  <c:v>228.33052276559866</c:v>
                </c:pt>
                <c:pt idx="25">
                  <c:v>230.18549747048905</c:v>
                </c:pt>
                <c:pt idx="26">
                  <c:v>246.03709949409782</c:v>
                </c:pt>
                <c:pt idx="27">
                  <c:v>248.06070826306916</c:v>
                </c:pt>
                <c:pt idx="28">
                  <c:v>263.91231028667789</c:v>
                </c:pt>
                <c:pt idx="29">
                  <c:v>286.67790893760542</c:v>
                </c:pt>
                <c:pt idx="30">
                  <c:v>293.76053962900511</c:v>
                </c:pt>
                <c:pt idx="31">
                  <c:v>304.04721753794269</c:v>
                </c:pt>
                <c:pt idx="32">
                  <c:v>308.76897133220911</c:v>
                </c:pt>
                <c:pt idx="33">
                  <c:v>313.65935919055653</c:v>
                </c:pt>
                <c:pt idx="34">
                  <c:v>313.99662731871842</c:v>
                </c:pt>
                <c:pt idx="35">
                  <c:v>314.83979763912316</c:v>
                </c:pt>
                <c:pt idx="36">
                  <c:v>316.86340640809448</c:v>
                </c:pt>
                <c:pt idx="37">
                  <c:v>318.04384485666105</c:v>
                </c:pt>
                <c:pt idx="38">
                  <c:v>320.40472175379426</c:v>
                </c:pt>
                <c:pt idx="39">
                  <c:v>326.13827993254637</c:v>
                </c:pt>
                <c:pt idx="40">
                  <c:v>332.54637436762226</c:v>
                </c:pt>
                <c:pt idx="41">
                  <c:v>389.71332209106242</c:v>
                </c:pt>
                <c:pt idx="42">
                  <c:v>446.37436762225974</c:v>
                </c:pt>
                <c:pt idx="43">
                  <c:v>455.31197301854979</c:v>
                </c:pt>
                <c:pt idx="44">
                  <c:v>455.14333895446885</c:v>
                </c:pt>
                <c:pt idx="45">
                  <c:v>469.64586846543006</c:v>
                </c:pt>
                <c:pt idx="46">
                  <c:v>482.96795952782463</c:v>
                </c:pt>
                <c:pt idx="47">
                  <c:v>490.21922428330527</c:v>
                </c:pt>
                <c:pt idx="48">
                  <c:v>506.74536256323779</c:v>
                </c:pt>
                <c:pt idx="49">
                  <c:v>518.71838111298484</c:v>
                </c:pt>
                <c:pt idx="50">
                  <c:v>539.46037099494106</c:v>
                </c:pt>
                <c:pt idx="51">
                  <c:v>545.19392917369316</c:v>
                </c:pt>
                <c:pt idx="52">
                  <c:v>543.84485666104558</c:v>
                </c:pt>
                <c:pt idx="53">
                  <c:v>548.39797639123117</c:v>
                </c:pt>
                <c:pt idx="54">
                  <c:v>554.637436762226</c:v>
                </c:pt>
                <c:pt idx="55">
                  <c:v>566.94772344013484</c:v>
                </c:pt>
                <c:pt idx="56">
                  <c:v>573.86172006745369</c:v>
                </c:pt>
                <c:pt idx="57">
                  <c:v>577.23440134907241</c:v>
                </c:pt>
                <c:pt idx="58">
                  <c:v>580.60708263069148</c:v>
                </c:pt>
                <c:pt idx="59">
                  <c:v>589.71332209106242</c:v>
                </c:pt>
                <c:pt idx="60">
                  <c:v>598.98819561551443</c:v>
                </c:pt>
                <c:pt idx="61">
                  <c:v>609.78077571669473</c:v>
                </c:pt>
                <c:pt idx="62">
                  <c:v>624.6205733558179</c:v>
                </c:pt>
                <c:pt idx="63">
                  <c:v>642.32715008431717</c:v>
                </c:pt>
                <c:pt idx="64">
                  <c:v>653.62563237774032</c:v>
                </c:pt>
                <c:pt idx="65">
                  <c:v>664.58684654300168</c:v>
                </c:pt>
                <c:pt idx="66">
                  <c:v>677.57166947723442</c:v>
                </c:pt>
                <c:pt idx="67">
                  <c:v>688.02698145025295</c:v>
                </c:pt>
                <c:pt idx="68">
                  <c:v>696.29005059021927</c:v>
                </c:pt>
                <c:pt idx="69">
                  <c:v>705.05902192242831</c:v>
                </c:pt>
                <c:pt idx="70">
                  <c:v>712.64755480607084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39-124E-9564-E36DA118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301120"/>
        <c:axId val="456300224"/>
      </c:lineChart>
      <c:catAx>
        <c:axId val="4563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0224"/>
        <c:crosses val="autoZero"/>
        <c:auto val="1"/>
        <c:lblAlgn val="ctr"/>
        <c:lblOffset val="100"/>
        <c:noMultiLvlLbl val="0"/>
      </c:catAx>
      <c:valAx>
        <c:axId val="456300224"/>
        <c:scaling>
          <c:orientation val="minMax"/>
          <c:max val="8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79401407116231"/>
          <c:y val="0.18335722703015109"/>
          <c:w val="0.27936578200158568"/>
          <c:h val="5.7450490723276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Enflasyon</a:t>
            </a:r>
            <a:r>
              <a:rPr lang="en-GB" baseline="0"/>
              <a:t>, Benzin ve Motorin (2020 Ocak=100)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169745284853198E-2"/>
          <c:y val="0.17279957446027991"/>
          <c:w val="0.87778217146901971"/>
          <c:h val="0.53586162622205102"/>
        </c:manualLayout>
      </c:layout>
      <c:lineChart>
        <c:grouping val="standard"/>
        <c:varyColors val="0"/>
        <c:ser>
          <c:idx val="0"/>
          <c:order val="0"/>
          <c:tx>
            <c:strRef>
              <c:f>ürünler!$AA$8</c:f>
              <c:strCache>
                <c:ptCount val="1"/>
                <c:pt idx="0">
                  <c:v>Enflasyon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ürünler!$AA$9:$AA$79</c:f>
              <c:numCache>
                <c:formatCode>General</c:formatCode>
                <c:ptCount val="71"/>
                <c:pt idx="0">
                  <c:v>100</c:v>
                </c:pt>
                <c:pt idx="1">
                  <c:v>100.35166312017023</c:v>
                </c:pt>
                <c:pt idx="2">
                  <c:v>100.92507559637137</c:v>
                </c:pt>
                <c:pt idx="3">
                  <c:v>101.78743420315826</c:v>
                </c:pt>
                <c:pt idx="4">
                  <c:v>103.17392765147274</c:v>
                </c:pt>
                <c:pt idx="5">
                  <c:v>104.34315152872662</c:v>
                </c:pt>
                <c:pt idx="6">
                  <c:v>104.95240228469034</c:v>
                </c:pt>
                <c:pt idx="7">
                  <c:v>105.85955874118042</c:v>
                </c:pt>
                <c:pt idx="8">
                  <c:v>106.88990928435436</c:v>
                </c:pt>
                <c:pt idx="9">
                  <c:v>109.16787994176279</c:v>
                </c:pt>
                <c:pt idx="10">
                  <c:v>111.67655952514279</c:v>
                </c:pt>
                <c:pt idx="11">
                  <c:v>113.07201254339792</c:v>
                </c:pt>
                <c:pt idx="12">
                  <c:v>114.97368126329935</c:v>
                </c:pt>
                <c:pt idx="13">
                  <c:v>116.01747116138425</c:v>
                </c:pt>
                <c:pt idx="14">
                  <c:v>117.26509127561877</c:v>
                </c:pt>
                <c:pt idx="15">
                  <c:v>119.23395677007505</c:v>
                </c:pt>
                <c:pt idx="16">
                  <c:v>120.29342591555604</c:v>
                </c:pt>
                <c:pt idx="17">
                  <c:v>122.62963377757868</c:v>
                </c:pt>
                <c:pt idx="18">
                  <c:v>124.84264755291747</c:v>
                </c:pt>
                <c:pt idx="19">
                  <c:v>126.24034046365774</c:v>
                </c:pt>
                <c:pt idx="20">
                  <c:v>127.82170455818121</c:v>
                </c:pt>
                <c:pt idx="21">
                  <c:v>130.88139769291075</c:v>
                </c:pt>
                <c:pt idx="22">
                  <c:v>135.47765707246052</c:v>
                </c:pt>
                <c:pt idx="23">
                  <c:v>153.86941426811512</c:v>
                </c:pt>
                <c:pt idx="24">
                  <c:v>170.95531414492106</c:v>
                </c:pt>
                <c:pt idx="25">
                  <c:v>179.17571956546087</c:v>
                </c:pt>
                <c:pt idx="26">
                  <c:v>188.96628961809833</c:v>
                </c:pt>
                <c:pt idx="27">
                  <c:v>202.66323216485608</c:v>
                </c:pt>
                <c:pt idx="28">
                  <c:v>208.70422219733453</c:v>
                </c:pt>
                <c:pt idx="29">
                  <c:v>219.03908612386607</c:v>
                </c:pt>
                <c:pt idx="30">
                  <c:v>224.21995744204278</c:v>
                </c:pt>
                <c:pt idx="31">
                  <c:v>227.49468025534776</c:v>
                </c:pt>
                <c:pt idx="32">
                  <c:v>234.49210437898984</c:v>
                </c:pt>
                <c:pt idx="33">
                  <c:v>242.80434539142121</c:v>
                </c:pt>
                <c:pt idx="34">
                  <c:v>249.80624930003361</c:v>
                </c:pt>
                <c:pt idx="35">
                  <c:v>252.76066748796057</c:v>
                </c:pt>
                <c:pt idx="36">
                  <c:v>269.56658080412143</c:v>
                </c:pt>
                <c:pt idx="37">
                  <c:v>278.0445738604547</c:v>
                </c:pt>
                <c:pt idx="38">
                  <c:v>284.41034830328147</c:v>
                </c:pt>
                <c:pt idx="39">
                  <c:v>291.19498264083325</c:v>
                </c:pt>
                <c:pt idx="40">
                  <c:v>291.32041662000222</c:v>
                </c:pt>
                <c:pt idx="41">
                  <c:v>302.74162840183669</c:v>
                </c:pt>
                <c:pt idx="42">
                  <c:v>331.46824952402284</c:v>
                </c:pt>
                <c:pt idx="43">
                  <c:v>361.58808377197897</c:v>
                </c:pt>
                <c:pt idx="44">
                  <c:v>378.77477881061708</c:v>
                </c:pt>
                <c:pt idx="45">
                  <c:v>391.78183447194533</c:v>
                </c:pt>
                <c:pt idx="46">
                  <c:v>404.63657744428269</c:v>
                </c:pt>
                <c:pt idx="47">
                  <c:v>416.48112890581251</c:v>
                </c:pt>
                <c:pt idx="48">
                  <c:v>444.39914884085567</c:v>
                </c:pt>
                <c:pt idx="49">
                  <c:v>464.52682271250978</c:v>
                </c:pt>
                <c:pt idx="50">
                  <c:v>479.21827752267887</c:v>
                </c:pt>
                <c:pt idx="51">
                  <c:v>494.45626609922726</c:v>
                </c:pt>
                <c:pt idx="52">
                  <c:v>511.10986672639717</c:v>
                </c:pt>
                <c:pt idx="53">
                  <c:v>519.49602419083885</c:v>
                </c:pt>
                <c:pt idx="54">
                  <c:v>536.25265987232615</c:v>
                </c:pt>
                <c:pt idx="55">
                  <c:v>549.5217829544182</c:v>
                </c:pt>
                <c:pt idx="56">
                  <c:v>565.83268003135856</c:v>
                </c:pt>
                <c:pt idx="57">
                  <c:v>582.12789786090264</c:v>
                </c:pt>
                <c:pt idx="58">
                  <c:v>595.19095083435991</c:v>
                </c:pt>
                <c:pt idx="59">
                  <c:v>601.31033710381905</c:v>
                </c:pt>
                <c:pt idx="60">
                  <c:v>631.57128457834028</c:v>
                </c:pt>
                <c:pt idx="61">
                  <c:v>645.92899540822043</c:v>
                </c:pt>
                <c:pt idx="62">
                  <c:v>661.81879269795047</c:v>
                </c:pt>
                <c:pt idx="63">
                  <c:v>681.65080076156346</c:v>
                </c:pt>
                <c:pt idx="64">
                  <c:v>692.06854071004591</c:v>
                </c:pt>
                <c:pt idx="65">
                  <c:v>701.57240452458279</c:v>
                </c:pt>
                <c:pt idx="66">
                  <c:v>716.01747116138426</c:v>
                </c:pt>
                <c:pt idx="67">
                  <c:v>730.59021166983985</c:v>
                </c:pt>
                <c:pt idx="68">
                  <c:v>754.22107738828538</c:v>
                </c:pt>
                <c:pt idx="69">
                  <c:v>773.45503415836038</c:v>
                </c:pt>
                <c:pt idx="70">
                  <c:v>780.14559301153542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3-E54A-960C-CAA7A74521C0}"/>
            </c:ext>
          </c:extLst>
        </c:ser>
        <c:ser>
          <c:idx val="3"/>
          <c:order val="1"/>
          <c:tx>
            <c:strRef>
              <c:f>ürünler!$AD$8</c:f>
              <c:strCache>
                <c:ptCount val="1"/>
                <c:pt idx="0">
                  <c:v>Benzin -Vergili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ürünler!$AD$9:$AD$79</c:f>
              <c:numCache>
                <c:formatCode>General</c:formatCode>
                <c:ptCount val="71"/>
                <c:pt idx="0">
                  <c:v>100</c:v>
                </c:pt>
                <c:pt idx="1">
                  <c:v>96.320536017188729</c:v>
                </c:pt>
                <c:pt idx="2">
                  <c:v>82.534207848015384</c:v>
                </c:pt>
                <c:pt idx="3">
                  <c:v>74.018998077575489</c:v>
                </c:pt>
                <c:pt idx="4">
                  <c:v>81.017471446341744</c:v>
                </c:pt>
                <c:pt idx="5">
                  <c:v>87.13389121338912</c:v>
                </c:pt>
                <c:pt idx="6">
                  <c:v>90.879791925817031</c:v>
                </c:pt>
                <c:pt idx="7">
                  <c:v>93.804421576388108</c:v>
                </c:pt>
                <c:pt idx="8">
                  <c:v>95.855478909872218</c:v>
                </c:pt>
                <c:pt idx="9">
                  <c:v>96.983489765916545</c:v>
                </c:pt>
                <c:pt idx="10">
                  <c:v>96.999038787741725</c:v>
                </c:pt>
                <c:pt idx="11">
                  <c:v>102.08639601945042</c:v>
                </c:pt>
                <c:pt idx="12">
                  <c:v>103.40664932715143</c:v>
                </c:pt>
                <c:pt idx="13">
                  <c:v>103.6314033698971</c:v>
                </c:pt>
                <c:pt idx="14">
                  <c:v>102.67160465905236</c:v>
                </c:pt>
                <c:pt idx="15">
                  <c:v>101.22413208187265</c:v>
                </c:pt>
                <c:pt idx="16">
                  <c:v>104.7777903426439</c:v>
                </c:pt>
                <c:pt idx="17">
                  <c:v>110.58322967318784</c:v>
                </c:pt>
                <c:pt idx="18">
                  <c:v>110.81787854800406</c:v>
                </c:pt>
                <c:pt idx="19">
                  <c:v>110.84049530702251</c:v>
                </c:pt>
                <c:pt idx="20">
                  <c:v>111.01436164197671</c:v>
                </c:pt>
                <c:pt idx="21">
                  <c:v>113.67324437408121</c:v>
                </c:pt>
                <c:pt idx="22">
                  <c:v>122.91219043311094</c:v>
                </c:pt>
                <c:pt idx="23">
                  <c:v>152.64333371027934</c:v>
                </c:pt>
                <c:pt idx="24">
                  <c:v>193.82138414565193</c:v>
                </c:pt>
                <c:pt idx="25">
                  <c:v>215.47269026348525</c:v>
                </c:pt>
                <c:pt idx="26">
                  <c:v>268.05948207621844</c:v>
                </c:pt>
                <c:pt idx="27">
                  <c:v>271.05478909872215</c:v>
                </c:pt>
                <c:pt idx="28">
                  <c:v>304.12897206830263</c:v>
                </c:pt>
                <c:pt idx="29">
                  <c:v>382.81833088318444</c:v>
                </c:pt>
                <c:pt idx="30">
                  <c:v>347.80900147008936</c:v>
                </c:pt>
                <c:pt idx="31">
                  <c:v>296.72198348976593</c:v>
                </c:pt>
                <c:pt idx="32">
                  <c:v>274.09250254438541</c:v>
                </c:pt>
                <c:pt idx="33">
                  <c:v>289.41959742168945</c:v>
                </c:pt>
                <c:pt idx="34">
                  <c:v>308.55196200384484</c:v>
                </c:pt>
                <c:pt idx="35">
                  <c:v>265.72430170756536</c:v>
                </c:pt>
                <c:pt idx="36">
                  <c:v>287.06604093633382</c:v>
                </c:pt>
                <c:pt idx="37">
                  <c:v>296.41807079045572</c:v>
                </c:pt>
                <c:pt idx="38">
                  <c:v>295.63637905688114</c:v>
                </c:pt>
                <c:pt idx="39">
                  <c:v>316.81131968788873</c:v>
                </c:pt>
                <c:pt idx="40">
                  <c:v>289.04359380300804</c:v>
                </c:pt>
                <c:pt idx="41">
                  <c:v>330.88177089223115</c:v>
                </c:pt>
                <c:pt idx="42">
                  <c:v>433.10245391835355</c:v>
                </c:pt>
                <c:pt idx="43">
                  <c:v>528.23278299219726</c:v>
                </c:pt>
                <c:pt idx="44">
                  <c:v>540.66775981001922</c:v>
                </c:pt>
                <c:pt idx="45">
                  <c:v>496.45058238154468</c:v>
                </c:pt>
                <c:pt idx="46">
                  <c:v>498.09453805269709</c:v>
                </c:pt>
                <c:pt idx="47">
                  <c:v>488.06965961777672</c:v>
                </c:pt>
                <c:pt idx="48">
                  <c:v>530.98213276037552</c:v>
                </c:pt>
                <c:pt idx="49">
                  <c:v>576.35417844622873</c:v>
                </c:pt>
                <c:pt idx="50">
                  <c:v>598.69388216668551</c:v>
                </c:pt>
                <c:pt idx="51">
                  <c:v>627.96420897885343</c:v>
                </c:pt>
                <c:pt idx="52">
                  <c:v>619.05037883071361</c:v>
                </c:pt>
                <c:pt idx="53">
                  <c:v>590.65221078819411</c:v>
                </c:pt>
                <c:pt idx="54">
                  <c:v>644.93808662218703</c:v>
                </c:pt>
                <c:pt idx="55">
                  <c:v>633.28338799050107</c:v>
                </c:pt>
                <c:pt idx="56">
                  <c:v>603.65402012891548</c:v>
                </c:pt>
                <c:pt idx="57">
                  <c:v>623.04223679746701</c:v>
                </c:pt>
                <c:pt idx="58">
                  <c:v>613.26048852199494</c:v>
                </c:pt>
                <c:pt idx="59">
                  <c:v>613.35378265294594</c:v>
                </c:pt>
                <c:pt idx="60">
                  <c:v>651.36124618342194</c:v>
                </c:pt>
                <c:pt idx="61">
                  <c:v>666.93005767273553</c:v>
                </c:pt>
                <c:pt idx="62">
                  <c:v>646.2456180029402</c:v>
                </c:pt>
                <c:pt idx="63">
                  <c:v>652.15848693882174</c:v>
                </c:pt>
                <c:pt idx="64">
                  <c:v>663.71141015492492</c:v>
                </c:pt>
                <c:pt idx="65">
                  <c:v>696.39828112631449</c:v>
                </c:pt>
                <c:pt idx="66">
                  <c:v>734.28983376682118</c:v>
                </c:pt>
                <c:pt idx="67">
                  <c:v>741.75760488521996</c:v>
                </c:pt>
                <c:pt idx="68">
                  <c:v>763.58843152776217</c:v>
                </c:pt>
                <c:pt idx="69">
                  <c:v>756.3058351238268</c:v>
                </c:pt>
                <c:pt idx="70">
                  <c:v>781.09945719778352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33-E54A-960C-CAA7A74521C0}"/>
            </c:ext>
          </c:extLst>
        </c:ser>
        <c:ser>
          <c:idx val="4"/>
          <c:order val="2"/>
          <c:tx>
            <c:strRef>
              <c:f>ürünler!$AE$8</c:f>
              <c:strCache>
                <c:ptCount val="1"/>
                <c:pt idx="0">
                  <c:v>Motorin-Vergili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ürünler!$Z$9:$Z$79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ürünler!$AE$9:$AE$79</c:f>
              <c:numCache>
                <c:formatCode>General</c:formatCode>
                <c:ptCount val="71"/>
                <c:pt idx="0">
                  <c:v>100</c:v>
                </c:pt>
                <c:pt idx="1">
                  <c:v>97.412414375810982</c:v>
                </c:pt>
                <c:pt idx="2">
                  <c:v>87.760644557771812</c:v>
                </c:pt>
                <c:pt idx="3">
                  <c:v>79.63275898488186</c:v>
                </c:pt>
                <c:pt idx="4">
                  <c:v>81.473490449319542</c:v>
                </c:pt>
                <c:pt idx="5">
                  <c:v>86.757295030025048</c:v>
                </c:pt>
                <c:pt idx="6">
                  <c:v>90.642445457014404</c:v>
                </c:pt>
                <c:pt idx="7">
                  <c:v>92.999185250007542</c:v>
                </c:pt>
                <c:pt idx="8">
                  <c:v>90.787289900117699</c:v>
                </c:pt>
                <c:pt idx="9">
                  <c:v>93.174205618757355</c:v>
                </c:pt>
                <c:pt idx="10">
                  <c:v>96.510154198980061</c:v>
                </c:pt>
                <c:pt idx="11">
                  <c:v>101.03050786082864</c:v>
                </c:pt>
                <c:pt idx="12">
                  <c:v>101.365460635505</c:v>
                </c:pt>
                <c:pt idx="13">
                  <c:v>101.57518331874832</c:v>
                </c:pt>
                <c:pt idx="14">
                  <c:v>100.36361990404058</c:v>
                </c:pt>
                <c:pt idx="15">
                  <c:v>98.596819457436865</c:v>
                </c:pt>
                <c:pt idx="16">
                  <c:v>103.07643561966263</c:v>
                </c:pt>
                <c:pt idx="17">
                  <c:v>110.49971332870636</c:v>
                </c:pt>
                <c:pt idx="18">
                  <c:v>110.57515314282266</c:v>
                </c:pt>
                <c:pt idx="19">
                  <c:v>111.21790035909352</c:v>
                </c:pt>
                <c:pt idx="20">
                  <c:v>111.40348230181962</c:v>
                </c:pt>
                <c:pt idx="21">
                  <c:v>118.7905489000875</c:v>
                </c:pt>
                <c:pt idx="22">
                  <c:v>130.8262168442017</c:v>
                </c:pt>
                <c:pt idx="23">
                  <c:v>161.11379341561303</c:v>
                </c:pt>
                <c:pt idx="24">
                  <c:v>208.89586288059388</c:v>
                </c:pt>
                <c:pt idx="25">
                  <c:v>234.02033857388577</c:v>
                </c:pt>
                <c:pt idx="26">
                  <c:v>310.4861341621654</c:v>
                </c:pt>
                <c:pt idx="27">
                  <c:v>324.37762153354055</c:v>
                </c:pt>
                <c:pt idx="28">
                  <c:v>335.08253115664326</c:v>
                </c:pt>
                <c:pt idx="29">
                  <c:v>422.11895349889858</c:v>
                </c:pt>
                <c:pt idx="30">
                  <c:v>392.67781164187215</c:v>
                </c:pt>
                <c:pt idx="31">
                  <c:v>363.03449108301396</c:v>
                </c:pt>
                <c:pt idx="32">
                  <c:v>374.91626180633091</c:v>
                </c:pt>
                <c:pt idx="33">
                  <c:v>396.24460605329068</c:v>
                </c:pt>
                <c:pt idx="34">
                  <c:v>383.58580524457591</c:v>
                </c:pt>
                <c:pt idx="35">
                  <c:v>335.80071818703038</c:v>
                </c:pt>
                <c:pt idx="36">
                  <c:v>346.08920003621114</c:v>
                </c:pt>
                <c:pt idx="37">
                  <c:v>324.10452940643961</c:v>
                </c:pt>
                <c:pt idx="38">
                  <c:v>321.09900721204622</c:v>
                </c:pt>
                <c:pt idx="39">
                  <c:v>318.59893177223216</c:v>
                </c:pt>
                <c:pt idx="40">
                  <c:v>291.68804128066631</c:v>
                </c:pt>
                <c:pt idx="41">
                  <c:v>333.00491867588045</c:v>
                </c:pt>
                <c:pt idx="42">
                  <c:v>449.98642083345908</c:v>
                </c:pt>
                <c:pt idx="43">
                  <c:v>571.83982618666835</c:v>
                </c:pt>
                <c:pt idx="44">
                  <c:v>598.31769214520659</c:v>
                </c:pt>
                <c:pt idx="45">
                  <c:v>595.89003892694416</c:v>
                </c:pt>
                <c:pt idx="46">
                  <c:v>579.11675065632642</c:v>
                </c:pt>
                <c:pt idx="47">
                  <c:v>558.33157307100396</c:v>
                </c:pt>
                <c:pt idx="48">
                  <c:v>600.40284860738109</c:v>
                </c:pt>
                <c:pt idx="49">
                  <c:v>650.24291620145459</c:v>
                </c:pt>
                <c:pt idx="50">
                  <c:v>634.55143486526458</c:v>
                </c:pt>
                <c:pt idx="51">
                  <c:v>643.89842783427389</c:v>
                </c:pt>
                <c:pt idx="52">
                  <c:v>622.91258034340206</c:v>
                </c:pt>
                <c:pt idx="53">
                  <c:v>624.72313588219322</c:v>
                </c:pt>
                <c:pt idx="54">
                  <c:v>681.69075711397443</c:v>
                </c:pt>
                <c:pt idx="55">
                  <c:v>667.71930353963614</c:v>
                </c:pt>
                <c:pt idx="56">
                  <c:v>645.79196716859292</c:v>
                </c:pt>
                <c:pt idx="57">
                  <c:v>654.9910981019342</c:v>
                </c:pt>
                <c:pt idx="58">
                  <c:v>657.33878511723356</c:v>
                </c:pt>
                <c:pt idx="59">
                  <c:v>666.48058179184648</c:v>
                </c:pt>
                <c:pt idx="60">
                  <c:v>704.92471106551193</c:v>
                </c:pt>
                <c:pt idx="61">
                  <c:v>714.44068921814176</c:v>
                </c:pt>
                <c:pt idx="62">
                  <c:v>700.02414074051728</c:v>
                </c:pt>
                <c:pt idx="63">
                  <c:v>691.6714445215606</c:v>
                </c:pt>
                <c:pt idx="64">
                  <c:v>695.04662180512389</c:v>
                </c:pt>
                <c:pt idx="65">
                  <c:v>744.72223060442377</c:v>
                </c:pt>
                <c:pt idx="66">
                  <c:v>811.3733063761731</c:v>
                </c:pt>
                <c:pt idx="67">
                  <c:v>803.25145598841243</c:v>
                </c:pt>
                <c:pt idx="68">
                  <c:v>827.01499743504633</c:v>
                </c:pt>
                <c:pt idx="69">
                  <c:v>821.4052928573584</c:v>
                </c:pt>
                <c:pt idx="70">
                  <c:v>875.16973958176163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33-E54A-960C-CAA7A7452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301120"/>
        <c:axId val="456300224"/>
      </c:lineChart>
      <c:catAx>
        <c:axId val="4563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0224"/>
        <c:crosses val="autoZero"/>
        <c:auto val="1"/>
        <c:lblAlgn val="ctr"/>
        <c:lblOffset val="100"/>
        <c:noMultiLvlLbl val="0"/>
      </c:catAx>
      <c:valAx>
        <c:axId val="456300224"/>
        <c:scaling>
          <c:orientation val="minMax"/>
          <c:max val="10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82838460479718"/>
          <c:y val="0.16197509125259085"/>
          <c:w val="0.70014637545960801"/>
          <c:h val="7.8619930666373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Enflasyon, Dolar Kuru, Vergili ve Vergisiz Akaryakıt</a:t>
            </a:r>
            <a:r>
              <a:rPr lang="en-GB" sz="1200" baseline="0"/>
              <a:t> Fiyatları (2020 Ocak=100)</a:t>
            </a:r>
            <a:endParaRPr lang="en-GB" sz="1200"/>
          </a:p>
        </c:rich>
      </c:tx>
      <c:layout>
        <c:manualLayout>
          <c:xMode val="edge"/>
          <c:yMode val="edge"/>
          <c:x val="0.13844278975478538"/>
          <c:y val="3.90691212739363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1987947467753916E-2"/>
          <c:y val="8.6620548696583366E-2"/>
          <c:w val="0.9040517446602987"/>
          <c:h val="0.67097893374523054"/>
        </c:manualLayout>
      </c:layout>
      <c:lineChart>
        <c:grouping val="standard"/>
        <c:varyColors val="0"/>
        <c:ser>
          <c:idx val="0"/>
          <c:order val="0"/>
          <c:tx>
            <c:strRef>
              <c:f>petrol!$AA$8</c:f>
              <c:strCache>
                <c:ptCount val="1"/>
                <c:pt idx="0">
                  <c:v>Enflasyon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petrol!$AA$9:$AA$79</c:f>
              <c:numCache>
                <c:formatCode>General</c:formatCode>
                <c:ptCount val="71"/>
                <c:pt idx="0">
                  <c:v>100</c:v>
                </c:pt>
                <c:pt idx="1">
                  <c:v>100.35166312017023</c:v>
                </c:pt>
                <c:pt idx="2">
                  <c:v>100.92507559637137</c:v>
                </c:pt>
                <c:pt idx="3">
                  <c:v>101.78743420315826</c:v>
                </c:pt>
                <c:pt idx="4">
                  <c:v>103.17392765147274</c:v>
                </c:pt>
                <c:pt idx="5">
                  <c:v>104.34315152872662</c:v>
                </c:pt>
                <c:pt idx="6">
                  <c:v>104.95240228469034</c:v>
                </c:pt>
                <c:pt idx="7">
                  <c:v>105.85955874118042</c:v>
                </c:pt>
                <c:pt idx="8">
                  <c:v>106.88990928435436</c:v>
                </c:pt>
                <c:pt idx="9">
                  <c:v>109.16787994176279</c:v>
                </c:pt>
                <c:pt idx="10">
                  <c:v>111.67655952514279</c:v>
                </c:pt>
                <c:pt idx="11">
                  <c:v>113.07201254339792</c:v>
                </c:pt>
                <c:pt idx="12">
                  <c:v>114.97368126329935</c:v>
                </c:pt>
                <c:pt idx="13">
                  <c:v>116.01747116138425</c:v>
                </c:pt>
                <c:pt idx="14">
                  <c:v>117.26509127561877</c:v>
                </c:pt>
                <c:pt idx="15">
                  <c:v>119.23395677007505</c:v>
                </c:pt>
                <c:pt idx="16">
                  <c:v>120.29342591555604</c:v>
                </c:pt>
                <c:pt idx="17">
                  <c:v>122.62963377757868</c:v>
                </c:pt>
                <c:pt idx="18">
                  <c:v>124.84264755291747</c:v>
                </c:pt>
                <c:pt idx="19">
                  <c:v>126.24034046365774</c:v>
                </c:pt>
                <c:pt idx="20">
                  <c:v>127.82170455818121</c:v>
                </c:pt>
                <c:pt idx="21">
                  <c:v>130.88139769291075</c:v>
                </c:pt>
                <c:pt idx="22">
                  <c:v>135.47765707246052</c:v>
                </c:pt>
                <c:pt idx="23">
                  <c:v>153.86941426811512</c:v>
                </c:pt>
                <c:pt idx="24">
                  <c:v>170.95531414492106</c:v>
                </c:pt>
                <c:pt idx="25">
                  <c:v>179.17571956546087</c:v>
                </c:pt>
                <c:pt idx="26">
                  <c:v>188.96628961809833</c:v>
                </c:pt>
                <c:pt idx="27">
                  <c:v>202.66323216485608</c:v>
                </c:pt>
                <c:pt idx="28">
                  <c:v>208.70422219733453</c:v>
                </c:pt>
                <c:pt idx="29">
                  <c:v>219.03908612386607</c:v>
                </c:pt>
                <c:pt idx="30">
                  <c:v>224.21995744204278</c:v>
                </c:pt>
                <c:pt idx="31">
                  <c:v>227.49468025534776</c:v>
                </c:pt>
                <c:pt idx="32">
                  <c:v>234.49210437898984</c:v>
                </c:pt>
                <c:pt idx="33">
                  <c:v>242.80434539142121</c:v>
                </c:pt>
                <c:pt idx="34">
                  <c:v>249.80624930003361</c:v>
                </c:pt>
                <c:pt idx="35">
                  <c:v>252.76066748796057</c:v>
                </c:pt>
                <c:pt idx="36">
                  <c:v>269.56658080412143</c:v>
                </c:pt>
                <c:pt idx="37">
                  <c:v>278.0445738604547</c:v>
                </c:pt>
                <c:pt idx="38">
                  <c:v>284.41034830328147</c:v>
                </c:pt>
                <c:pt idx="39">
                  <c:v>291.19498264083325</c:v>
                </c:pt>
                <c:pt idx="40">
                  <c:v>291.32041662000222</c:v>
                </c:pt>
                <c:pt idx="41">
                  <c:v>302.74162840183669</c:v>
                </c:pt>
                <c:pt idx="42">
                  <c:v>331.46824952402284</c:v>
                </c:pt>
                <c:pt idx="43">
                  <c:v>361.58808377197897</c:v>
                </c:pt>
                <c:pt idx="44">
                  <c:v>378.77477881061708</c:v>
                </c:pt>
                <c:pt idx="45">
                  <c:v>391.78183447194533</c:v>
                </c:pt>
                <c:pt idx="46">
                  <c:v>404.63657744428269</c:v>
                </c:pt>
                <c:pt idx="47">
                  <c:v>416.48112890581251</c:v>
                </c:pt>
                <c:pt idx="48">
                  <c:v>444.39914884085567</c:v>
                </c:pt>
                <c:pt idx="49">
                  <c:v>464.52682271250978</c:v>
                </c:pt>
                <c:pt idx="50">
                  <c:v>479.21827752267887</c:v>
                </c:pt>
                <c:pt idx="51">
                  <c:v>494.45626609922726</c:v>
                </c:pt>
                <c:pt idx="52">
                  <c:v>511.10986672639717</c:v>
                </c:pt>
                <c:pt idx="53">
                  <c:v>519.49602419083885</c:v>
                </c:pt>
                <c:pt idx="54">
                  <c:v>536.25265987232615</c:v>
                </c:pt>
                <c:pt idx="55">
                  <c:v>549.5217829544182</c:v>
                </c:pt>
                <c:pt idx="56">
                  <c:v>565.83268003135856</c:v>
                </c:pt>
                <c:pt idx="57">
                  <c:v>582.12789786090264</c:v>
                </c:pt>
                <c:pt idx="58">
                  <c:v>595.19095083435991</c:v>
                </c:pt>
                <c:pt idx="59">
                  <c:v>601.31033710381905</c:v>
                </c:pt>
                <c:pt idx="60">
                  <c:v>631.57128457834028</c:v>
                </c:pt>
                <c:pt idx="61">
                  <c:v>645.92899540822043</c:v>
                </c:pt>
                <c:pt idx="62">
                  <c:v>661.81879269795047</c:v>
                </c:pt>
                <c:pt idx="63">
                  <c:v>681.65080076156346</c:v>
                </c:pt>
                <c:pt idx="64">
                  <c:v>692.06854071004591</c:v>
                </c:pt>
                <c:pt idx="65">
                  <c:v>701.57240452458279</c:v>
                </c:pt>
                <c:pt idx="66">
                  <c:v>716.01747116138426</c:v>
                </c:pt>
                <c:pt idx="67">
                  <c:v>730.59021166983985</c:v>
                </c:pt>
                <c:pt idx="68">
                  <c:v>754.22107738828538</c:v>
                </c:pt>
                <c:pt idx="69">
                  <c:v>773.45503415836038</c:v>
                </c:pt>
                <c:pt idx="70">
                  <c:v>780.14559301153542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5-C344-8BC3-0853386CCFE6}"/>
            </c:ext>
          </c:extLst>
        </c:ser>
        <c:ser>
          <c:idx val="1"/>
          <c:order val="1"/>
          <c:tx>
            <c:strRef>
              <c:f>petrol!$AB$8</c:f>
              <c:strCache>
                <c:ptCount val="1"/>
                <c:pt idx="0">
                  <c:v>Benzin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petrol!$AB$9:$AB$79</c:f>
              <c:numCache>
                <c:formatCode>General</c:formatCode>
                <c:ptCount val="71"/>
                <c:pt idx="0">
                  <c:v>100</c:v>
                </c:pt>
                <c:pt idx="1">
                  <c:v>87.151881537834512</c:v>
                </c:pt>
                <c:pt idx="2">
                  <c:v>50.020377666077977</c:v>
                </c:pt>
                <c:pt idx="3">
                  <c:v>25.553593261785092</c:v>
                </c:pt>
                <c:pt idx="4">
                  <c:v>38.360956391794588</c:v>
                </c:pt>
                <c:pt idx="5">
                  <c:v>49.049042249694338</c:v>
                </c:pt>
                <c:pt idx="6">
                  <c:v>54.041570438799084</c:v>
                </c:pt>
                <c:pt idx="7">
                  <c:v>57.06086129601956</c:v>
                </c:pt>
                <c:pt idx="8">
                  <c:v>57.981252547208278</c:v>
                </c:pt>
                <c:pt idx="9">
                  <c:v>56.683874473576957</c:v>
                </c:pt>
                <c:pt idx="10">
                  <c:v>52.713625866050812</c:v>
                </c:pt>
                <c:pt idx="11">
                  <c:v>71.616175338495708</c:v>
                </c:pt>
                <c:pt idx="12">
                  <c:v>81.46764479463846</c:v>
                </c:pt>
                <c:pt idx="13">
                  <c:v>88.686999049042285</c:v>
                </c:pt>
                <c:pt idx="14">
                  <c:v>93.060272607888479</c:v>
                </c:pt>
                <c:pt idx="15">
                  <c:v>96.261830367250866</c:v>
                </c:pt>
                <c:pt idx="16">
                  <c:v>111.47941855726131</c:v>
                </c:pt>
                <c:pt idx="17">
                  <c:v>132.10727709097503</c:v>
                </c:pt>
                <c:pt idx="18">
                  <c:v>139.35040528913652</c:v>
                </c:pt>
                <c:pt idx="19">
                  <c:v>146.08409183534857</c:v>
                </c:pt>
                <c:pt idx="20">
                  <c:v>153.18118009328452</c:v>
                </c:pt>
                <c:pt idx="21">
                  <c:v>166.24892451206824</c:v>
                </c:pt>
                <c:pt idx="22">
                  <c:v>195.12634152968363</c:v>
                </c:pt>
                <c:pt idx="23">
                  <c:v>248.06359921833362</c:v>
                </c:pt>
                <c:pt idx="24">
                  <c:v>328.50391355689538</c:v>
                </c:pt>
                <c:pt idx="25">
                  <c:v>362.0280480285914</c:v>
                </c:pt>
                <c:pt idx="26">
                  <c:v>469.879719519714</c:v>
                </c:pt>
                <c:pt idx="27">
                  <c:v>458.5797811752164</c:v>
                </c:pt>
                <c:pt idx="28">
                  <c:v>519.54923557626978</c:v>
                </c:pt>
                <c:pt idx="29">
                  <c:v>690.11657070005106</c:v>
                </c:pt>
                <c:pt idx="30">
                  <c:v>587.50431066013164</c:v>
                </c:pt>
                <c:pt idx="31">
                  <c:v>446.26278829172435</c:v>
                </c:pt>
                <c:pt idx="32">
                  <c:v>373.39512817029441</c:v>
                </c:pt>
                <c:pt idx="33">
                  <c:v>391.72431630317772</c:v>
                </c:pt>
                <c:pt idx="34">
                  <c:v>419.19628394971392</c:v>
                </c:pt>
                <c:pt idx="35">
                  <c:v>297.79921206357807</c:v>
                </c:pt>
                <c:pt idx="36">
                  <c:v>318.10833508293081</c:v>
                </c:pt>
                <c:pt idx="37">
                  <c:v>309.61023082338113</c:v>
                </c:pt>
                <c:pt idx="38">
                  <c:v>276.76421187832671</c:v>
                </c:pt>
                <c:pt idx="39">
                  <c:v>296.67257413147917</c:v>
                </c:pt>
                <c:pt idx="40">
                  <c:v>198.98821800397664</c:v>
                </c:pt>
                <c:pt idx="41">
                  <c:v>268.54336737844409</c:v>
                </c:pt>
                <c:pt idx="42">
                  <c:v>483.1773103950797</c:v>
                </c:pt>
                <c:pt idx="43">
                  <c:v>680.77552457052514</c:v>
                </c:pt>
                <c:pt idx="44">
                  <c:v>679.68470193032078</c:v>
                </c:pt>
                <c:pt idx="45">
                  <c:v>542.4778624445787</c:v>
                </c:pt>
                <c:pt idx="46">
                  <c:v>515.45985599782637</c:v>
                </c:pt>
                <c:pt idx="47">
                  <c:v>467.99574333197478</c:v>
                </c:pt>
                <c:pt idx="48">
                  <c:v>547.72222976950616</c:v>
                </c:pt>
                <c:pt idx="49">
                  <c:v>633.35823936965096</c:v>
                </c:pt>
                <c:pt idx="50">
                  <c:v>663.65530045736523</c:v>
                </c:pt>
                <c:pt idx="51">
                  <c:v>710.60431100846836</c:v>
                </c:pt>
                <c:pt idx="52">
                  <c:v>665.80967259883175</c:v>
                </c:pt>
                <c:pt idx="53">
                  <c:v>574.20074265271921</c:v>
                </c:pt>
                <c:pt idx="54">
                  <c:v>681.25367930081973</c:v>
                </c:pt>
                <c:pt idx="55">
                  <c:v>629.87365847031674</c:v>
                </c:pt>
                <c:pt idx="56">
                  <c:v>535.30657066521803</c:v>
                </c:pt>
                <c:pt idx="57">
                  <c:v>558.5122039577958</c:v>
                </c:pt>
                <c:pt idx="58">
                  <c:v>511.63225105284624</c:v>
                </c:pt>
                <c:pt idx="59">
                  <c:v>508.51673232803552</c:v>
                </c:pt>
                <c:pt idx="60">
                  <c:v>596.49617352714768</c:v>
                </c:pt>
                <c:pt idx="61">
                  <c:v>630.56310283928826</c:v>
                </c:pt>
                <c:pt idx="62">
                  <c:v>577.52569850110967</c:v>
                </c:pt>
                <c:pt idx="63">
                  <c:v>588.39265498347152</c:v>
                </c:pt>
                <c:pt idx="64">
                  <c:v>612.81075940768937</c:v>
                </c:pt>
                <c:pt idx="65">
                  <c:v>688.00661142054958</c:v>
                </c:pt>
                <c:pt idx="66">
                  <c:v>775.7075578499298</c:v>
                </c:pt>
                <c:pt idx="67">
                  <c:v>790.31041977992118</c:v>
                </c:pt>
                <c:pt idx="68">
                  <c:v>839.42285921296934</c:v>
                </c:pt>
                <c:pt idx="69">
                  <c:v>818.58556355567646</c:v>
                </c:pt>
                <c:pt idx="70">
                  <c:v>874.81660100529825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5-C344-8BC3-0853386CCFE6}"/>
            </c:ext>
          </c:extLst>
        </c:ser>
        <c:ser>
          <c:idx val="2"/>
          <c:order val="2"/>
          <c:tx>
            <c:strRef>
              <c:f>petrol!$AC$8</c:f>
              <c:strCache>
                <c:ptCount val="1"/>
                <c:pt idx="0">
                  <c:v>Motorin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petrol!$AC$9:$AC$79</c:f>
              <c:numCache>
                <c:formatCode>General</c:formatCode>
                <c:ptCount val="71"/>
                <c:pt idx="0">
                  <c:v>100</c:v>
                </c:pt>
                <c:pt idx="1">
                  <c:v>88.40980062454959</c:v>
                </c:pt>
                <c:pt idx="2">
                  <c:v>58.07510609336218</c:v>
                </c:pt>
                <c:pt idx="3">
                  <c:v>31.783969893506299</c:v>
                </c:pt>
                <c:pt idx="4">
                  <c:v>31.944110817519419</c:v>
                </c:pt>
                <c:pt idx="5">
                  <c:v>41.240291456481714</c:v>
                </c:pt>
                <c:pt idx="6">
                  <c:v>46.825206181439711</c:v>
                </c:pt>
                <c:pt idx="7">
                  <c:v>48.3545520057651</c:v>
                </c:pt>
                <c:pt idx="8">
                  <c:v>37.761229882296448</c:v>
                </c:pt>
                <c:pt idx="9">
                  <c:v>39.370646168628362</c:v>
                </c:pt>
                <c:pt idx="10">
                  <c:v>43.498278485066841</c:v>
                </c:pt>
                <c:pt idx="11">
                  <c:v>63.366429124296126</c:v>
                </c:pt>
                <c:pt idx="12">
                  <c:v>72.128806683214606</c:v>
                </c:pt>
                <c:pt idx="13">
                  <c:v>80.558891824805897</c:v>
                </c:pt>
                <c:pt idx="14">
                  <c:v>85.217658205887915</c:v>
                </c:pt>
                <c:pt idx="15">
                  <c:v>88.403128086049151</c:v>
                </c:pt>
                <c:pt idx="16">
                  <c:v>108.16318360156947</c:v>
                </c:pt>
                <c:pt idx="17">
                  <c:v>135.73411268583033</c:v>
                </c:pt>
                <c:pt idx="18">
                  <c:v>143.80788427149238</c:v>
                </c:pt>
                <c:pt idx="19">
                  <c:v>153.38698054287786</c:v>
                </c:pt>
                <c:pt idx="20">
                  <c:v>161.75300931486393</c:v>
                </c:pt>
                <c:pt idx="21">
                  <c:v>189.22785384471689</c:v>
                </c:pt>
                <c:pt idx="22">
                  <c:v>229.03755304668127</c:v>
                </c:pt>
                <c:pt idx="23">
                  <c:v>287.60047303165254</c:v>
                </c:pt>
                <c:pt idx="24">
                  <c:v>392.5842433649305</c:v>
                </c:pt>
                <c:pt idx="25">
                  <c:v>437.44710730057835</c:v>
                </c:pt>
                <c:pt idx="26">
                  <c:v>618.54185529419726</c:v>
                </c:pt>
                <c:pt idx="27">
                  <c:v>633.59848974790123</c:v>
                </c:pt>
                <c:pt idx="28">
                  <c:v>640.1996834137118</c:v>
                </c:pt>
                <c:pt idx="29">
                  <c:v>849.34311424823079</c:v>
                </c:pt>
                <c:pt idx="30">
                  <c:v>749.41856526050617</c:v>
                </c:pt>
                <c:pt idx="31">
                  <c:v>648.9575441773377</c:v>
                </c:pt>
                <c:pt idx="32">
                  <c:v>658.6814858614041</c:v>
                </c:pt>
                <c:pt idx="33">
                  <c:v>693.47148567662623</c:v>
                </c:pt>
                <c:pt idx="34">
                  <c:v>638.07812413385307</c:v>
                </c:pt>
                <c:pt idx="35">
                  <c:v>489.47874129233696</c:v>
                </c:pt>
                <c:pt idx="36">
                  <c:v>480.27391377139151</c:v>
                </c:pt>
                <c:pt idx="37">
                  <c:v>385.43372713442375</c:v>
                </c:pt>
                <c:pt idx="38">
                  <c:v>340.95385757648558</c:v>
                </c:pt>
                <c:pt idx="39">
                  <c:v>297.81516825715715</c:v>
                </c:pt>
                <c:pt idx="40">
                  <c:v>189.90347869761752</c:v>
                </c:pt>
                <c:pt idx="41">
                  <c:v>263.03110373492319</c:v>
                </c:pt>
                <c:pt idx="42">
                  <c:v>536.93140873059212</c:v>
                </c:pt>
                <c:pt idx="43">
                  <c:v>823.7590898172208</c:v>
                </c:pt>
                <c:pt idx="44">
                  <c:v>857.51206516279774</c:v>
                </c:pt>
                <c:pt idx="45">
                  <c:v>814.56554495228534</c:v>
                </c:pt>
                <c:pt idx="46">
                  <c:v>733.55352710385137</c:v>
                </c:pt>
                <c:pt idx="47">
                  <c:v>650.8434088664693</c:v>
                </c:pt>
                <c:pt idx="48">
                  <c:v>734.9200629887639</c:v>
                </c:pt>
                <c:pt idx="49">
                  <c:v>839.61085755464819</c:v>
                </c:pt>
                <c:pt idx="50">
                  <c:v>770.41663330397455</c:v>
                </c:pt>
                <c:pt idx="51">
                  <c:v>767.66087490324833</c:v>
                </c:pt>
                <c:pt idx="52">
                  <c:v>684.41828809352251</c:v>
                </c:pt>
                <c:pt idx="53">
                  <c:v>661.66493180665668</c:v>
                </c:pt>
                <c:pt idx="54">
                  <c:v>785.26836949849223</c:v>
                </c:pt>
                <c:pt idx="55">
                  <c:v>720.63816158219254</c:v>
                </c:pt>
                <c:pt idx="56">
                  <c:v>634.89737635786184</c:v>
                </c:pt>
                <c:pt idx="57">
                  <c:v>631.74927269330351</c:v>
                </c:pt>
                <c:pt idx="58">
                  <c:v>610.42117063015507</c:v>
                </c:pt>
                <c:pt idx="59">
                  <c:v>630.74171937972142</c:v>
                </c:pt>
                <c:pt idx="60">
                  <c:v>728.81469026076297</c:v>
                </c:pt>
                <c:pt idx="61">
                  <c:v>750.12811273921091</c:v>
                </c:pt>
                <c:pt idx="62">
                  <c:v>707.93765180025127</c:v>
                </c:pt>
                <c:pt idx="63">
                  <c:v>681.83735020151062</c:v>
                </c:pt>
                <c:pt idx="64">
                  <c:v>686.85643366162253</c:v>
                </c:pt>
                <c:pt idx="65">
                  <c:v>814.73163050150833</c:v>
                </c:pt>
                <c:pt idx="66">
                  <c:v>987.65046574318762</c:v>
                </c:pt>
                <c:pt idx="67">
                  <c:v>962.16270317879776</c:v>
                </c:pt>
                <c:pt idx="68">
                  <c:v>1021.2813942936452</c:v>
                </c:pt>
                <c:pt idx="69">
                  <c:v>1002.4594976913019</c:v>
                </c:pt>
                <c:pt idx="70">
                  <c:v>1141.1842421330773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5-C344-8BC3-0853386CCFE6}"/>
            </c:ext>
          </c:extLst>
        </c:ser>
        <c:ser>
          <c:idx val="3"/>
          <c:order val="3"/>
          <c:tx>
            <c:strRef>
              <c:f>petrol!$AD$8</c:f>
              <c:strCache>
                <c:ptCount val="1"/>
                <c:pt idx="0">
                  <c:v>Benzin -Vergili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petrol!$AD$9:$AD$79</c:f>
              <c:numCache>
                <c:formatCode>General</c:formatCode>
                <c:ptCount val="71"/>
                <c:pt idx="0">
                  <c:v>100</c:v>
                </c:pt>
                <c:pt idx="1">
                  <c:v>96.320536017188729</c:v>
                </c:pt>
                <c:pt idx="2">
                  <c:v>82.534207848015384</c:v>
                </c:pt>
                <c:pt idx="3">
                  <c:v>74.018998077575489</c:v>
                </c:pt>
                <c:pt idx="4">
                  <c:v>81.017471446341744</c:v>
                </c:pt>
                <c:pt idx="5">
                  <c:v>87.13389121338912</c:v>
                </c:pt>
                <c:pt idx="6">
                  <c:v>90.879791925817031</c:v>
                </c:pt>
                <c:pt idx="7">
                  <c:v>93.804421576388108</c:v>
                </c:pt>
                <c:pt idx="8">
                  <c:v>95.855478909872218</c:v>
                </c:pt>
                <c:pt idx="9">
                  <c:v>96.983489765916545</c:v>
                </c:pt>
                <c:pt idx="10">
                  <c:v>96.999038787741725</c:v>
                </c:pt>
                <c:pt idx="11">
                  <c:v>102.08639601945042</c:v>
                </c:pt>
                <c:pt idx="12">
                  <c:v>103.40664932715143</c:v>
                </c:pt>
                <c:pt idx="13">
                  <c:v>103.6314033698971</c:v>
                </c:pt>
                <c:pt idx="14">
                  <c:v>102.67160465905236</c:v>
                </c:pt>
                <c:pt idx="15">
                  <c:v>101.22413208187265</c:v>
                </c:pt>
                <c:pt idx="16">
                  <c:v>104.7777903426439</c:v>
                </c:pt>
                <c:pt idx="17">
                  <c:v>110.58322967318784</c:v>
                </c:pt>
                <c:pt idx="18">
                  <c:v>110.81787854800406</c:v>
                </c:pt>
                <c:pt idx="19">
                  <c:v>110.84049530702251</c:v>
                </c:pt>
                <c:pt idx="20">
                  <c:v>111.01436164197671</c:v>
                </c:pt>
                <c:pt idx="21">
                  <c:v>113.67324437408121</c:v>
                </c:pt>
                <c:pt idx="22">
                  <c:v>122.91219043311094</c:v>
                </c:pt>
                <c:pt idx="23">
                  <c:v>152.64333371027934</c:v>
                </c:pt>
                <c:pt idx="24">
                  <c:v>193.82138414565193</c:v>
                </c:pt>
                <c:pt idx="25">
                  <c:v>215.47269026348525</c:v>
                </c:pt>
                <c:pt idx="26">
                  <c:v>268.05948207621844</c:v>
                </c:pt>
                <c:pt idx="27">
                  <c:v>271.05478909872215</c:v>
                </c:pt>
                <c:pt idx="28">
                  <c:v>304.12897206830263</c:v>
                </c:pt>
                <c:pt idx="29">
                  <c:v>382.81833088318444</c:v>
                </c:pt>
                <c:pt idx="30">
                  <c:v>347.80900147008936</c:v>
                </c:pt>
                <c:pt idx="31">
                  <c:v>296.72198348976593</c:v>
                </c:pt>
                <c:pt idx="32">
                  <c:v>274.09250254438541</c:v>
                </c:pt>
                <c:pt idx="33">
                  <c:v>289.41959742168945</c:v>
                </c:pt>
                <c:pt idx="34">
                  <c:v>308.55196200384484</c:v>
                </c:pt>
                <c:pt idx="35">
                  <c:v>265.72430170756536</c:v>
                </c:pt>
                <c:pt idx="36">
                  <c:v>287.06604093633382</c:v>
                </c:pt>
                <c:pt idx="37">
                  <c:v>296.41807079045572</c:v>
                </c:pt>
                <c:pt idx="38">
                  <c:v>295.63637905688114</c:v>
                </c:pt>
                <c:pt idx="39">
                  <c:v>316.81131968788873</c:v>
                </c:pt>
                <c:pt idx="40">
                  <c:v>289.04359380300804</c:v>
                </c:pt>
                <c:pt idx="41">
                  <c:v>330.88177089223115</c:v>
                </c:pt>
                <c:pt idx="42">
                  <c:v>433.10245391835355</c:v>
                </c:pt>
                <c:pt idx="43">
                  <c:v>528.23278299219726</c:v>
                </c:pt>
                <c:pt idx="44">
                  <c:v>540.66775981001922</c:v>
                </c:pt>
                <c:pt idx="45">
                  <c:v>496.45058238154468</c:v>
                </c:pt>
                <c:pt idx="46">
                  <c:v>498.09453805269709</c:v>
                </c:pt>
                <c:pt idx="47">
                  <c:v>488.06965961777672</c:v>
                </c:pt>
                <c:pt idx="48">
                  <c:v>530.98213276037552</c:v>
                </c:pt>
                <c:pt idx="49">
                  <c:v>576.35417844622873</c:v>
                </c:pt>
                <c:pt idx="50">
                  <c:v>598.69388216668551</c:v>
                </c:pt>
                <c:pt idx="51">
                  <c:v>627.96420897885343</c:v>
                </c:pt>
                <c:pt idx="52">
                  <c:v>619.05037883071361</c:v>
                </c:pt>
                <c:pt idx="53">
                  <c:v>590.65221078819411</c:v>
                </c:pt>
                <c:pt idx="54">
                  <c:v>644.93808662218703</c:v>
                </c:pt>
                <c:pt idx="55">
                  <c:v>633.28338799050107</c:v>
                </c:pt>
                <c:pt idx="56">
                  <c:v>603.65402012891548</c:v>
                </c:pt>
                <c:pt idx="57">
                  <c:v>623.04223679746701</c:v>
                </c:pt>
                <c:pt idx="58">
                  <c:v>613.26048852199494</c:v>
                </c:pt>
                <c:pt idx="59">
                  <c:v>613.35378265294594</c:v>
                </c:pt>
                <c:pt idx="60">
                  <c:v>651.36124618342194</c:v>
                </c:pt>
                <c:pt idx="61">
                  <c:v>666.93005767273553</c:v>
                </c:pt>
                <c:pt idx="62">
                  <c:v>646.2456180029402</c:v>
                </c:pt>
                <c:pt idx="63">
                  <c:v>652.15848693882174</c:v>
                </c:pt>
                <c:pt idx="64">
                  <c:v>663.71141015492492</c:v>
                </c:pt>
                <c:pt idx="65">
                  <c:v>696.39828112631449</c:v>
                </c:pt>
                <c:pt idx="66">
                  <c:v>734.28983376682118</c:v>
                </c:pt>
                <c:pt idx="67">
                  <c:v>741.75760488521996</c:v>
                </c:pt>
                <c:pt idx="68">
                  <c:v>763.58843152776217</c:v>
                </c:pt>
                <c:pt idx="69">
                  <c:v>756.3058351238268</c:v>
                </c:pt>
                <c:pt idx="70">
                  <c:v>781.09945719778352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5-C344-8BC3-0853386CCFE6}"/>
            </c:ext>
          </c:extLst>
        </c:ser>
        <c:ser>
          <c:idx val="4"/>
          <c:order val="4"/>
          <c:tx>
            <c:strRef>
              <c:f>petrol!$AE$8</c:f>
              <c:strCache>
                <c:ptCount val="1"/>
                <c:pt idx="0">
                  <c:v>Motorin-Vergili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petrol!$AE$9:$AE$79</c:f>
              <c:numCache>
                <c:formatCode>General</c:formatCode>
                <c:ptCount val="71"/>
                <c:pt idx="0">
                  <c:v>100</c:v>
                </c:pt>
                <c:pt idx="1">
                  <c:v>97.412414375810982</c:v>
                </c:pt>
                <c:pt idx="2">
                  <c:v>87.760644557771812</c:v>
                </c:pt>
                <c:pt idx="3">
                  <c:v>79.63275898488186</c:v>
                </c:pt>
                <c:pt idx="4">
                  <c:v>81.473490449319542</c:v>
                </c:pt>
                <c:pt idx="5">
                  <c:v>86.757295030025048</c:v>
                </c:pt>
                <c:pt idx="6">
                  <c:v>90.642445457014404</c:v>
                </c:pt>
                <c:pt idx="7">
                  <c:v>92.999185250007542</c:v>
                </c:pt>
                <c:pt idx="8">
                  <c:v>90.787289900117699</c:v>
                </c:pt>
                <c:pt idx="9">
                  <c:v>93.174205618757355</c:v>
                </c:pt>
                <c:pt idx="10">
                  <c:v>96.510154198980061</c:v>
                </c:pt>
                <c:pt idx="11">
                  <c:v>101.03050786082864</c:v>
                </c:pt>
                <c:pt idx="12">
                  <c:v>101.365460635505</c:v>
                </c:pt>
                <c:pt idx="13">
                  <c:v>101.57518331874832</c:v>
                </c:pt>
                <c:pt idx="14">
                  <c:v>100.36361990404058</c:v>
                </c:pt>
                <c:pt idx="15">
                  <c:v>98.596819457436865</c:v>
                </c:pt>
                <c:pt idx="16">
                  <c:v>103.07643561966263</c:v>
                </c:pt>
                <c:pt idx="17">
                  <c:v>110.49971332870636</c:v>
                </c:pt>
                <c:pt idx="18">
                  <c:v>110.57515314282266</c:v>
                </c:pt>
                <c:pt idx="19">
                  <c:v>111.21790035909352</c:v>
                </c:pt>
                <c:pt idx="20">
                  <c:v>111.40348230181962</c:v>
                </c:pt>
                <c:pt idx="21">
                  <c:v>118.7905489000875</c:v>
                </c:pt>
                <c:pt idx="22">
                  <c:v>130.8262168442017</c:v>
                </c:pt>
                <c:pt idx="23">
                  <c:v>161.11379341561303</c:v>
                </c:pt>
                <c:pt idx="24">
                  <c:v>208.89586288059388</c:v>
                </c:pt>
                <c:pt idx="25">
                  <c:v>234.02033857388577</c:v>
                </c:pt>
                <c:pt idx="26">
                  <c:v>310.4861341621654</c:v>
                </c:pt>
                <c:pt idx="27">
                  <c:v>324.37762153354055</c:v>
                </c:pt>
                <c:pt idx="28">
                  <c:v>335.08253115664326</c:v>
                </c:pt>
                <c:pt idx="29">
                  <c:v>422.11895349889858</c:v>
                </c:pt>
                <c:pt idx="30">
                  <c:v>392.67781164187215</c:v>
                </c:pt>
                <c:pt idx="31">
                  <c:v>363.03449108301396</c:v>
                </c:pt>
                <c:pt idx="32">
                  <c:v>374.91626180633091</c:v>
                </c:pt>
                <c:pt idx="33">
                  <c:v>396.24460605329068</c:v>
                </c:pt>
                <c:pt idx="34">
                  <c:v>383.58580524457591</c:v>
                </c:pt>
                <c:pt idx="35">
                  <c:v>335.80071818703038</c:v>
                </c:pt>
                <c:pt idx="36">
                  <c:v>346.08920003621114</c:v>
                </c:pt>
                <c:pt idx="37">
                  <c:v>324.10452940643961</c:v>
                </c:pt>
                <c:pt idx="38">
                  <c:v>321.09900721204622</c:v>
                </c:pt>
                <c:pt idx="39">
                  <c:v>318.59893177223216</c:v>
                </c:pt>
                <c:pt idx="40">
                  <c:v>291.68804128066631</c:v>
                </c:pt>
                <c:pt idx="41">
                  <c:v>333.00491867588045</c:v>
                </c:pt>
                <c:pt idx="42">
                  <c:v>449.98642083345908</c:v>
                </c:pt>
                <c:pt idx="43">
                  <c:v>571.83982618666835</c:v>
                </c:pt>
                <c:pt idx="44">
                  <c:v>598.31769214520659</c:v>
                </c:pt>
                <c:pt idx="45">
                  <c:v>595.89003892694416</c:v>
                </c:pt>
                <c:pt idx="46">
                  <c:v>579.11675065632642</c:v>
                </c:pt>
                <c:pt idx="47">
                  <c:v>558.33157307100396</c:v>
                </c:pt>
                <c:pt idx="48">
                  <c:v>600.40284860738109</c:v>
                </c:pt>
                <c:pt idx="49">
                  <c:v>650.24291620145459</c:v>
                </c:pt>
                <c:pt idx="50">
                  <c:v>634.55143486526458</c:v>
                </c:pt>
                <c:pt idx="51">
                  <c:v>643.89842783427389</c:v>
                </c:pt>
                <c:pt idx="52">
                  <c:v>622.91258034340206</c:v>
                </c:pt>
                <c:pt idx="53">
                  <c:v>624.72313588219322</c:v>
                </c:pt>
                <c:pt idx="54">
                  <c:v>681.69075711397443</c:v>
                </c:pt>
                <c:pt idx="55">
                  <c:v>667.71930353963614</c:v>
                </c:pt>
                <c:pt idx="56">
                  <c:v>645.79196716859292</c:v>
                </c:pt>
                <c:pt idx="57">
                  <c:v>654.9910981019342</c:v>
                </c:pt>
                <c:pt idx="58">
                  <c:v>657.33878511723356</c:v>
                </c:pt>
                <c:pt idx="59">
                  <c:v>666.48058179184648</c:v>
                </c:pt>
                <c:pt idx="60">
                  <c:v>704.92471106551193</c:v>
                </c:pt>
                <c:pt idx="61">
                  <c:v>714.44068921814176</c:v>
                </c:pt>
                <c:pt idx="62">
                  <c:v>700.02414074051728</c:v>
                </c:pt>
                <c:pt idx="63">
                  <c:v>691.6714445215606</c:v>
                </c:pt>
                <c:pt idx="64">
                  <c:v>695.04662180512389</c:v>
                </c:pt>
                <c:pt idx="65">
                  <c:v>744.72223060442377</c:v>
                </c:pt>
                <c:pt idx="66">
                  <c:v>811.3733063761731</c:v>
                </c:pt>
                <c:pt idx="67">
                  <c:v>803.25145598841243</c:v>
                </c:pt>
                <c:pt idx="68">
                  <c:v>827.01499743504633</c:v>
                </c:pt>
                <c:pt idx="69">
                  <c:v>821.4052928573584</c:v>
                </c:pt>
                <c:pt idx="70">
                  <c:v>875.16973958176163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5-C344-8BC3-0853386CCFE6}"/>
            </c:ext>
          </c:extLst>
        </c:ser>
        <c:ser>
          <c:idx val="5"/>
          <c:order val="5"/>
          <c:tx>
            <c:strRef>
              <c:f>petrol!$AF$8</c:f>
              <c:strCache>
                <c:ptCount val="1"/>
                <c:pt idx="0">
                  <c:v>Dolar Kuru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petrol!$Z$9:$Z$79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petrol!$AF$9:$AF$79</c:f>
              <c:numCache>
                <c:formatCode>General</c:formatCode>
                <c:ptCount val="71"/>
                <c:pt idx="0">
                  <c:v>100</c:v>
                </c:pt>
                <c:pt idx="1">
                  <c:v>102.19224283305228</c:v>
                </c:pt>
                <c:pt idx="2">
                  <c:v>106.74536256323778</c:v>
                </c:pt>
                <c:pt idx="3">
                  <c:v>115.177065767285</c:v>
                </c:pt>
                <c:pt idx="4">
                  <c:v>117.36930860033728</c:v>
                </c:pt>
                <c:pt idx="5">
                  <c:v>115.00843170320405</c:v>
                </c:pt>
                <c:pt idx="6">
                  <c:v>115.68296795952783</c:v>
                </c:pt>
                <c:pt idx="7">
                  <c:v>122.59696458684655</c:v>
                </c:pt>
                <c:pt idx="8">
                  <c:v>126.81281618887016</c:v>
                </c:pt>
                <c:pt idx="9">
                  <c:v>133.05227655986511</c:v>
                </c:pt>
                <c:pt idx="10">
                  <c:v>135.24451939291737</c:v>
                </c:pt>
                <c:pt idx="11">
                  <c:v>130.35413153457</c:v>
                </c:pt>
                <c:pt idx="12">
                  <c:v>124.95784148397976</c:v>
                </c:pt>
                <c:pt idx="13">
                  <c:v>119.56155143338955</c:v>
                </c:pt>
                <c:pt idx="14">
                  <c:v>128.8364249578415</c:v>
                </c:pt>
                <c:pt idx="15">
                  <c:v>137.77403035413155</c:v>
                </c:pt>
                <c:pt idx="16">
                  <c:v>140.97807757166947</c:v>
                </c:pt>
                <c:pt idx="17">
                  <c:v>145.19392917369311</c:v>
                </c:pt>
                <c:pt idx="18">
                  <c:v>145.531197301855</c:v>
                </c:pt>
                <c:pt idx="19">
                  <c:v>143.17032040472176</c:v>
                </c:pt>
                <c:pt idx="20">
                  <c:v>143.84485666104553</c:v>
                </c:pt>
                <c:pt idx="21">
                  <c:v>154.46880269814503</c:v>
                </c:pt>
                <c:pt idx="22">
                  <c:v>177.74030354131534</c:v>
                </c:pt>
                <c:pt idx="23">
                  <c:v>228.49915682967961</c:v>
                </c:pt>
                <c:pt idx="24">
                  <c:v>228.33052276559866</c:v>
                </c:pt>
                <c:pt idx="25">
                  <c:v>230.18549747048905</c:v>
                </c:pt>
                <c:pt idx="26">
                  <c:v>246.03709949409782</c:v>
                </c:pt>
                <c:pt idx="27">
                  <c:v>248.06070826306916</c:v>
                </c:pt>
                <c:pt idx="28">
                  <c:v>263.91231028667789</c:v>
                </c:pt>
                <c:pt idx="29">
                  <c:v>286.67790893760542</c:v>
                </c:pt>
                <c:pt idx="30">
                  <c:v>293.76053962900511</c:v>
                </c:pt>
                <c:pt idx="31">
                  <c:v>304.04721753794269</c:v>
                </c:pt>
                <c:pt idx="32">
                  <c:v>308.76897133220911</c:v>
                </c:pt>
                <c:pt idx="33">
                  <c:v>313.65935919055653</c:v>
                </c:pt>
                <c:pt idx="34">
                  <c:v>313.99662731871842</c:v>
                </c:pt>
                <c:pt idx="35">
                  <c:v>314.83979763912316</c:v>
                </c:pt>
                <c:pt idx="36">
                  <c:v>316.86340640809448</c:v>
                </c:pt>
                <c:pt idx="37">
                  <c:v>318.04384485666105</c:v>
                </c:pt>
                <c:pt idx="38">
                  <c:v>320.40472175379426</c:v>
                </c:pt>
                <c:pt idx="39">
                  <c:v>326.13827993254637</c:v>
                </c:pt>
                <c:pt idx="40">
                  <c:v>332.54637436762226</c:v>
                </c:pt>
                <c:pt idx="41">
                  <c:v>389.71332209106242</c:v>
                </c:pt>
                <c:pt idx="42">
                  <c:v>446.37436762225974</c:v>
                </c:pt>
                <c:pt idx="43">
                  <c:v>455.31197301854979</c:v>
                </c:pt>
                <c:pt idx="44">
                  <c:v>455.14333895446885</c:v>
                </c:pt>
                <c:pt idx="45">
                  <c:v>469.64586846543006</c:v>
                </c:pt>
                <c:pt idx="46">
                  <c:v>482.96795952782463</c:v>
                </c:pt>
                <c:pt idx="47">
                  <c:v>490.21922428330527</c:v>
                </c:pt>
                <c:pt idx="48">
                  <c:v>506.74536256323779</c:v>
                </c:pt>
                <c:pt idx="49">
                  <c:v>518.71838111298484</c:v>
                </c:pt>
                <c:pt idx="50">
                  <c:v>539.46037099494106</c:v>
                </c:pt>
                <c:pt idx="51">
                  <c:v>545.19392917369316</c:v>
                </c:pt>
                <c:pt idx="52">
                  <c:v>543.84485666104558</c:v>
                </c:pt>
                <c:pt idx="53">
                  <c:v>548.39797639123117</c:v>
                </c:pt>
                <c:pt idx="54">
                  <c:v>554.637436762226</c:v>
                </c:pt>
                <c:pt idx="55">
                  <c:v>566.94772344013484</c:v>
                </c:pt>
                <c:pt idx="56">
                  <c:v>573.86172006745369</c:v>
                </c:pt>
                <c:pt idx="57">
                  <c:v>577.23440134907241</c:v>
                </c:pt>
                <c:pt idx="58">
                  <c:v>580.60708263069148</c:v>
                </c:pt>
                <c:pt idx="59">
                  <c:v>589.71332209106242</c:v>
                </c:pt>
                <c:pt idx="60">
                  <c:v>598.98819561551443</c:v>
                </c:pt>
                <c:pt idx="61">
                  <c:v>609.78077571669473</c:v>
                </c:pt>
                <c:pt idx="62">
                  <c:v>624.6205733558179</c:v>
                </c:pt>
                <c:pt idx="63">
                  <c:v>642.32715008431717</c:v>
                </c:pt>
                <c:pt idx="64">
                  <c:v>653.62563237774032</c:v>
                </c:pt>
                <c:pt idx="65">
                  <c:v>664.58684654300168</c:v>
                </c:pt>
                <c:pt idx="66">
                  <c:v>677.57166947723442</c:v>
                </c:pt>
                <c:pt idx="67">
                  <c:v>688.02698145025295</c:v>
                </c:pt>
                <c:pt idx="68">
                  <c:v>696.29005059021927</c:v>
                </c:pt>
                <c:pt idx="69">
                  <c:v>705.05902192242831</c:v>
                </c:pt>
                <c:pt idx="70">
                  <c:v>712.64755480607084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15-C344-8BC3-0853386C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301120"/>
        <c:axId val="456300224"/>
      </c:lineChart>
      <c:catAx>
        <c:axId val="4563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0224"/>
        <c:crosses val="autoZero"/>
        <c:auto val="1"/>
        <c:lblAlgn val="ctr"/>
        <c:lblOffset val="100"/>
        <c:noMultiLvlLbl val="0"/>
      </c:catAx>
      <c:valAx>
        <c:axId val="456300224"/>
        <c:scaling>
          <c:orientation val="minMax"/>
          <c:max val="11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040271334450897E-2"/>
          <c:y val="9.0856318230605637E-2"/>
          <c:w val="0.80076020428053485"/>
          <c:h val="0.14016093401656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TL olarak Brent</a:t>
            </a:r>
            <a:r>
              <a:rPr lang="en-GB" baseline="0"/>
              <a:t> ve Vergili Motorin, Benzin (Ocak 2025=100)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08791091123246E-2"/>
          <c:y val="0.10014620862144001"/>
          <c:w val="0.92521608402816968"/>
          <c:h val="0.71750759479057646"/>
        </c:manualLayout>
      </c:layout>
      <c:lineChart>
        <c:grouping val="standard"/>
        <c:varyColors val="0"/>
        <c:ser>
          <c:idx val="0"/>
          <c:order val="0"/>
          <c:tx>
            <c:strRef>
              <c:f>Sheet3!$E$8</c:f>
              <c:strCache>
                <c:ptCount val="1"/>
                <c:pt idx="0">
                  <c:v>Benzin -Vergili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Sheet3!$E$9:$E$79</c:f>
              <c:numCache>
                <c:formatCode>General</c:formatCode>
                <c:ptCount val="71"/>
                <c:pt idx="0">
                  <c:v>100</c:v>
                </c:pt>
                <c:pt idx="1">
                  <c:v>96.320536017188729</c:v>
                </c:pt>
                <c:pt idx="2">
                  <c:v>82.534207848015384</c:v>
                </c:pt>
                <c:pt idx="3">
                  <c:v>74.018998077575489</c:v>
                </c:pt>
                <c:pt idx="4">
                  <c:v>81.017471446341744</c:v>
                </c:pt>
                <c:pt idx="5">
                  <c:v>87.13389121338912</c:v>
                </c:pt>
                <c:pt idx="6">
                  <c:v>90.879791925817031</c:v>
                </c:pt>
                <c:pt idx="7">
                  <c:v>93.804421576388108</c:v>
                </c:pt>
                <c:pt idx="8">
                  <c:v>95.855478909872218</c:v>
                </c:pt>
                <c:pt idx="9">
                  <c:v>96.983489765916545</c:v>
                </c:pt>
                <c:pt idx="10">
                  <c:v>96.999038787741725</c:v>
                </c:pt>
                <c:pt idx="11">
                  <c:v>102.08639601945042</c:v>
                </c:pt>
                <c:pt idx="12">
                  <c:v>103.40664932715143</c:v>
                </c:pt>
                <c:pt idx="13">
                  <c:v>103.6314033698971</c:v>
                </c:pt>
                <c:pt idx="14">
                  <c:v>102.67160465905236</c:v>
                </c:pt>
                <c:pt idx="15">
                  <c:v>101.22413208187265</c:v>
                </c:pt>
                <c:pt idx="16">
                  <c:v>104.7777903426439</c:v>
                </c:pt>
                <c:pt idx="17">
                  <c:v>110.58322967318784</c:v>
                </c:pt>
                <c:pt idx="18">
                  <c:v>110.81787854800406</c:v>
                </c:pt>
                <c:pt idx="19">
                  <c:v>110.84049530702251</c:v>
                </c:pt>
                <c:pt idx="20">
                  <c:v>111.01436164197671</c:v>
                </c:pt>
                <c:pt idx="21">
                  <c:v>113.67324437408121</c:v>
                </c:pt>
                <c:pt idx="22">
                  <c:v>122.91219043311094</c:v>
                </c:pt>
                <c:pt idx="23">
                  <c:v>152.64333371027934</c:v>
                </c:pt>
                <c:pt idx="24">
                  <c:v>193.82138414565193</c:v>
                </c:pt>
                <c:pt idx="25">
                  <c:v>215.47269026348525</c:v>
                </c:pt>
                <c:pt idx="26">
                  <c:v>268.05948207621844</c:v>
                </c:pt>
                <c:pt idx="27">
                  <c:v>271.05478909872215</c:v>
                </c:pt>
                <c:pt idx="28">
                  <c:v>304.12897206830263</c:v>
                </c:pt>
                <c:pt idx="29">
                  <c:v>382.81833088318444</c:v>
                </c:pt>
                <c:pt idx="30">
                  <c:v>347.80900147008936</c:v>
                </c:pt>
                <c:pt idx="31">
                  <c:v>296.72198348976593</c:v>
                </c:pt>
                <c:pt idx="32">
                  <c:v>274.09250254438541</c:v>
                </c:pt>
                <c:pt idx="33">
                  <c:v>289.41959742168945</c:v>
                </c:pt>
                <c:pt idx="34">
                  <c:v>308.55196200384484</c:v>
                </c:pt>
                <c:pt idx="35">
                  <c:v>265.72430170756536</c:v>
                </c:pt>
                <c:pt idx="36">
                  <c:v>287.06604093633382</c:v>
                </c:pt>
                <c:pt idx="37">
                  <c:v>296.41807079045572</c:v>
                </c:pt>
                <c:pt idx="38">
                  <c:v>295.63637905688114</c:v>
                </c:pt>
                <c:pt idx="39">
                  <c:v>316.81131968788873</c:v>
                </c:pt>
                <c:pt idx="40">
                  <c:v>289.04359380300804</c:v>
                </c:pt>
                <c:pt idx="41">
                  <c:v>330.88177089223115</c:v>
                </c:pt>
                <c:pt idx="42">
                  <c:v>433.10245391835355</c:v>
                </c:pt>
                <c:pt idx="43">
                  <c:v>528.23278299219726</c:v>
                </c:pt>
                <c:pt idx="44">
                  <c:v>540.66775981001922</c:v>
                </c:pt>
                <c:pt idx="45">
                  <c:v>496.45058238154468</c:v>
                </c:pt>
                <c:pt idx="46">
                  <c:v>498.09453805269709</c:v>
                </c:pt>
                <c:pt idx="47">
                  <c:v>488.06965961777672</c:v>
                </c:pt>
                <c:pt idx="48">
                  <c:v>530.98213276037552</c:v>
                </c:pt>
                <c:pt idx="49">
                  <c:v>576.35417844622873</c:v>
                </c:pt>
                <c:pt idx="50">
                  <c:v>598.69388216668551</c:v>
                </c:pt>
                <c:pt idx="51">
                  <c:v>627.96420897885343</c:v>
                </c:pt>
                <c:pt idx="52">
                  <c:v>619.05037883071361</c:v>
                </c:pt>
                <c:pt idx="53">
                  <c:v>590.65221078819411</c:v>
                </c:pt>
                <c:pt idx="54">
                  <c:v>644.93808662218703</c:v>
                </c:pt>
                <c:pt idx="55">
                  <c:v>633.28338799050107</c:v>
                </c:pt>
                <c:pt idx="56">
                  <c:v>603.65402012891548</c:v>
                </c:pt>
                <c:pt idx="57">
                  <c:v>623.04223679746701</c:v>
                </c:pt>
                <c:pt idx="58">
                  <c:v>613.26048852199494</c:v>
                </c:pt>
                <c:pt idx="59">
                  <c:v>613.35378265294594</c:v>
                </c:pt>
                <c:pt idx="60">
                  <c:v>651.36124618342194</c:v>
                </c:pt>
                <c:pt idx="61">
                  <c:v>666.93005767273553</c:v>
                </c:pt>
                <c:pt idx="62">
                  <c:v>646.2456180029402</c:v>
                </c:pt>
                <c:pt idx="63">
                  <c:v>652.15848693882174</c:v>
                </c:pt>
                <c:pt idx="64">
                  <c:v>663.71141015492492</c:v>
                </c:pt>
                <c:pt idx="65">
                  <c:v>696.39828112631449</c:v>
                </c:pt>
                <c:pt idx="66">
                  <c:v>734.28983376682118</c:v>
                </c:pt>
                <c:pt idx="67">
                  <c:v>741.75760488521996</c:v>
                </c:pt>
                <c:pt idx="68">
                  <c:v>763.58843152776217</c:v>
                </c:pt>
                <c:pt idx="69">
                  <c:v>756.3058351238268</c:v>
                </c:pt>
                <c:pt idx="70">
                  <c:v>781.09945719778352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E-3549-8BC5-A141592C318A}"/>
            </c:ext>
          </c:extLst>
        </c:ser>
        <c:ser>
          <c:idx val="1"/>
          <c:order val="1"/>
          <c:tx>
            <c:strRef>
              <c:f>Sheet3!$F$8</c:f>
              <c:strCache>
                <c:ptCount val="1"/>
                <c:pt idx="0">
                  <c:v>Motorin-Vergili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Sheet3!$F$9:$F$79</c:f>
              <c:numCache>
                <c:formatCode>General</c:formatCode>
                <c:ptCount val="71"/>
                <c:pt idx="0">
                  <c:v>100</c:v>
                </c:pt>
                <c:pt idx="1">
                  <c:v>97.412414375810982</c:v>
                </c:pt>
                <c:pt idx="2">
                  <c:v>87.760644557771812</c:v>
                </c:pt>
                <c:pt idx="3">
                  <c:v>79.63275898488186</c:v>
                </c:pt>
                <c:pt idx="4">
                  <c:v>81.473490449319542</c:v>
                </c:pt>
                <c:pt idx="5">
                  <c:v>86.757295030025048</c:v>
                </c:pt>
                <c:pt idx="6">
                  <c:v>90.642445457014404</c:v>
                </c:pt>
                <c:pt idx="7">
                  <c:v>92.999185250007542</c:v>
                </c:pt>
                <c:pt idx="8">
                  <c:v>90.787289900117699</c:v>
                </c:pt>
                <c:pt idx="9">
                  <c:v>93.174205618757355</c:v>
                </c:pt>
                <c:pt idx="10">
                  <c:v>96.510154198980061</c:v>
                </c:pt>
                <c:pt idx="11">
                  <c:v>101.03050786082864</c:v>
                </c:pt>
                <c:pt idx="12">
                  <c:v>101.365460635505</c:v>
                </c:pt>
                <c:pt idx="13">
                  <c:v>101.57518331874832</c:v>
                </c:pt>
                <c:pt idx="14">
                  <c:v>100.36361990404058</c:v>
                </c:pt>
                <c:pt idx="15">
                  <c:v>98.596819457436865</c:v>
                </c:pt>
                <c:pt idx="16">
                  <c:v>103.07643561966263</c:v>
                </c:pt>
                <c:pt idx="17">
                  <c:v>110.49971332870636</c:v>
                </c:pt>
                <c:pt idx="18">
                  <c:v>110.57515314282266</c:v>
                </c:pt>
                <c:pt idx="19">
                  <c:v>111.21790035909352</c:v>
                </c:pt>
                <c:pt idx="20">
                  <c:v>111.40348230181962</c:v>
                </c:pt>
                <c:pt idx="21">
                  <c:v>118.7905489000875</c:v>
                </c:pt>
                <c:pt idx="22">
                  <c:v>130.8262168442017</c:v>
                </c:pt>
                <c:pt idx="23">
                  <c:v>161.11379341561303</c:v>
                </c:pt>
                <c:pt idx="24">
                  <c:v>208.89586288059388</c:v>
                </c:pt>
                <c:pt idx="25">
                  <c:v>234.02033857388577</c:v>
                </c:pt>
                <c:pt idx="26">
                  <c:v>310.4861341621654</c:v>
                </c:pt>
                <c:pt idx="27">
                  <c:v>324.37762153354055</c:v>
                </c:pt>
                <c:pt idx="28">
                  <c:v>335.08253115664326</c:v>
                </c:pt>
                <c:pt idx="29">
                  <c:v>422.11895349889858</c:v>
                </c:pt>
                <c:pt idx="30">
                  <c:v>392.67781164187215</c:v>
                </c:pt>
                <c:pt idx="31">
                  <c:v>363.03449108301396</c:v>
                </c:pt>
                <c:pt idx="32">
                  <c:v>374.91626180633091</c:v>
                </c:pt>
                <c:pt idx="33">
                  <c:v>396.24460605329068</c:v>
                </c:pt>
                <c:pt idx="34">
                  <c:v>383.58580524457591</c:v>
                </c:pt>
                <c:pt idx="35">
                  <c:v>335.80071818703038</c:v>
                </c:pt>
                <c:pt idx="36">
                  <c:v>346.08920003621114</c:v>
                </c:pt>
                <c:pt idx="37">
                  <c:v>324.10452940643961</c:v>
                </c:pt>
                <c:pt idx="38">
                  <c:v>321.09900721204622</c:v>
                </c:pt>
                <c:pt idx="39">
                  <c:v>318.59893177223216</c:v>
                </c:pt>
                <c:pt idx="40">
                  <c:v>291.68804128066631</c:v>
                </c:pt>
                <c:pt idx="41">
                  <c:v>333.00491867588045</c:v>
                </c:pt>
                <c:pt idx="42">
                  <c:v>449.98642083345908</c:v>
                </c:pt>
                <c:pt idx="43">
                  <c:v>571.83982618666835</c:v>
                </c:pt>
                <c:pt idx="44">
                  <c:v>598.31769214520659</c:v>
                </c:pt>
                <c:pt idx="45">
                  <c:v>595.89003892694416</c:v>
                </c:pt>
                <c:pt idx="46">
                  <c:v>579.11675065632642</c:v>
                </c:pt>
                <c:pt idx="47">
                  <c:v>558.33157307100396</c:v>
                </c:pt>
                <c:pt idx="48">
                  <c:v>600.40284860738109</c:v>
                </c:pt>
                <c:pt idx="49">
                  <c:v>650.24291620145459</c:v>
                </c:pt>
                <c:pt idx="50">
                  <c:v>634.55143486526458</c:v>
                </c:pt>
                <c:pt idx="51">
                  <c:v>643.89842783427389</c:v>
                </c:pt>
                <c:pt idx="52">
                  <c:v>622.91258034340206</c:v>
                </c:pt>
                <c:pt idx="53">
                  <c:v>624.72313588219322</c:v>
                </c:pt>
                <c:pt idx="54">
                  <c:v>681.69075711397443</c:v>
                </c:pt>
                <c:pt idx="55">
                  <c:v>667.71930353963614</c:v>
                </c:pt>
                <c:pt idx="56">
                  <c:v>645.79196716859292</c:v>
                </c:pt>
                <c:pt idx="57">
                  <c:v>654.9910981019342</c:v>
                </c:pt>
                <c:pt idx="58">
                  <c:v>657.33878511723356</c:v>
                </c:pt>
                <c:pt idx="59">
                  <c:v>666.48058179184648</c:v>
                </c:pt>
                <c:pt idx="60">
                  <c:v>704.92471106551193</c:v>
                </c:pt>
                <c:pt idx="61">
                  <c:v>714.44068921814176</c:v>
                </c:pt>
                <c:pt idx="62">
                  <c:v>700.02414074051728</c:v>
                </c:pt>
                <c:pt idx="63">
                  <c:v>691.6714445215606</c:v>
                </c:pt>
                <c:pt idx="64">
                  <c:v>695.04662180512389</c:v>
                </c:pt>
                <c:pt idx="65">
                  <c:v>744.72223060442377</c:v>
                </c:pt>
                <c:pt idx="66">
                  <c:v>811.3733063761731</c:v>
                </c:pt>
                <c:pt idx="67">
                  <c:v>803.25145598841243</c:v>
                </c:pt>
                <c:pt idx="68">
                  <c:v>827.01499743504633</c:v>
                </c:pt>
                <c:pt idx="69">
                  <c:v>821.4052928573584</c:v>
                </c:pt>
                <c:pt idx="70">
                  <c:v>875.16973958176163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E-3549-8BC5-A141592C318A}"/>
            </c:ext>
          </c:extLst>
        </c:ser>
        <c:ser>
          <c:idx val="2"/>
          <c:order val="2"/>
          <c:tx>
            <c:strRef>
              <c:f>Sheet3!$G$8</c:f>
              <c:strCache>
                <c:ptCount val="1"/>
                <c:pt idx="0">
                  <c:v>Brent (TL)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Sheet3!$G$9:$G$79</c:f>
              <c:numCache>
                <c:formatCode>General</c:formatCode>
                <c:ptCount val="71"/>
                <c:pt idx="0">
                  <c:v>100</c:v>
                </c:pt>
                <c:pt idx="1">
                  <c:v>89.364025704441303</c:v>
                </c:pt>
                <c:pt idx="2">
                  <c:v>53.682938816170335</c:v>
                </c:pt>
                <c:pt idx="3">
                  <c:v>33.259300373962269</c:v>
                </c:pt>
                <c:pt idx="4">
                  <c:v>54.176123906958516</c:v>
                </c:pt>
                <c:pt idx="5">
                  <c:v>72.763386405153625</c:v>
                </c:pt>
                <c:pt idx="6">
                  <c:v>78.588083810997404</c:v>
                </c:pt>
                <c:pt idx="7">
                  <c:v>86.174205744155771</c:v>
                </c:pt>
                <c:pt idx="8">
                  <c:v>81.506870546530692</c:v>
                </c:pt>
                <c:pt idx="9">
                  <c:v>84.012113039135556</c:v>
                </c:pt>
                <c:pt idx="10">
                  <c:v>90.708382291966103</c:v>
                </c:pt>
                <c:pt idx="11">
                  <c:v>102.37868083916976</c:v>
                </c:pt>
                <c:pt idx="12">
                  <c:v>107.52460295487153</c:v>
                </c:pt>
                <c:pt idx="13">
                  <c:v>116.98811348423413</c:v>
                </c:pt>
                <c:pt idx="14">
                  <c:v>132.39890897867102</c:v>
                </c:pt>
                <c:pt idx="15">
                  <c:v>140.28491606050693</c:v>
                </c:pt>
                <c:pt idx="16">
                  <c:v>151.78676600135915</c:v>
                </c:pt>
                <c:pt idx="17">
                  <c:v>166.88747617199348</c:v>
                </c:pt>
                <c:pt idx="18">
                  <c:v>171.87085783472807</c:v>
                </c:pt>
                <c:pt idx="19">
                  <c:v>159.14061537524063</c:v>
                </c:pt>
                <c:pt idx="20">
                  <c:v>168.34255102405785</c:v>
                </c:pt>
                <c:pt idx="21">
                  <c:v>202.7387867620273</c:v>
                </c:pt>
                <c:pt idx="22">
                  <c:v>226.32916892417299</c:v>
                </c:pt>
                <c:pt idx="23">
                  <c:v>266.265238995402</c:v>
                </c:pt>
                <c:pt idx="24">
                  <c:v>310.33579771330619</c:v>
                </c:pt>
                <c:pt idx="25">
                  <c:v>351.26343078253888</c:v>
                </c:pt>
                <c:pt idx="26">
                  <c:v>453.22623591018021</c:v>
                </c:pt>
                <c:pt idx="27">
                  <c:v>407.57563032445842</c:v>
                </c:pt>
                <c:pt idx="28">
                  <c:v>469.94220342328481</c:v>
                </c:pt>
                <c:pt idx="29">
                  <c:v>552.68257982299383</c:v>
                </c:pt>
                <c:pt idx="30">
                  <c:v>516.58471642850816</c:v>
                </c:pt>
                <c:pt idx="31">
                  <c:v>479.83571094558283</c:v>
                </c:pt>
                <c:pt idx="32">
                  <c:v>435.42973867681212</c:v>
                </c:pt>
                <c:pt idx="33">
                  <c:v>459.91874302049717</c:v>
                </c:pt>
                <c:pt idx="34">
                  <c:v>450.99091389595037</c:v>
                </c:pt>
                <c:pt idx="35">
                  <c:v>400.26451571025683</c:v>
                </c:pt>
                <c:pt idx="36">
                  <c:v>410.70276557215703</c:v>
                </c:pt>
                <c:pt idx="37">
                  <c:v>412.68250034110986</c:v>
                </c:pt>
                <c:pt idx="38">
                  <c:v>394.80506405577512</c:v>
                </c:pt>
                <c:pt idx="39">
                  <c:v>433.68961529443408</c:v>
                </c:pt>
                <c:pt idx="40">
                  <c:v>394.30125488648002</c:v>
                </c:pt>
                <c:pt idx="41">
                  <c:v>458.22694462364672</c:v>
                </c:pt>
                <c:pt idx="42">
                  <c:v>561.80755051404924</c:v>
                </c:pt>
                <c:pt idx="43">
                  <c:v>616.26278830397598</c:v>
                </c:pt>
                <c:pt idx="44">
                  <c:v>670.16549452965933</c:v>
                </c:pt>
                <c:pt idx="45">
                  <c:v>668.49828252895463</c:v>
                </c:pt>
                <c:pt idx="46">
                  <c:v>629.33798214042076</c:v>
                </c:pt>
                <c:pt idx="47">
                  <c:v>597.89031235055756</c:v>
                </c:pt>
                <c:pt idx="48">
                  <c:v>637.87020343388247</c:v>
                </c:pt>
                <c:pt idx="49">
                  <c:v>680.32380919578929</c:v>
                </c:pt>
                <c:pt idx="50">
                  <c:v>723.88547190381632</c:v>
                </c:pt>
                <c:pt idx="51">
                  <c:v>770.38086394158609</c:v>
                </c:pt>
                <c:pt idx="52">
                  <c:v>698.49673263221484</c:v>
                </c:pt>
                <c:pt idx="53">
                  <c:v>708.65253037201524</c:v>
                </c:pt>
                <c:pt idx="54">
                  <c:v>741.98551045253032</c:v>
                </c:pt>
                <c:pt idx="55">
                  <c:v>715.78820197406515</c:v>
                </c:pt>
                <c:pt idx="56">
                  <c:v>667.35655175794068</c:v>
                </c:pt>
                <c:pt idx="57">
                  <c:v>685.87961938775095</c:v>
                </c:pt>
                <c:pt idx="58">
                  <c:v>678.21110123475114</c:v>
                </c:pt>
                <c:pt idx="59">
                  <c:v>684.30834202114488</c:v>
                </c:pt>
                <c:pt idx="60">
                  <c:v>745.98262790953379</c:v>
                </c:pt>
                <c:pt idx="61">
                  <c:v>722.73152741661363</c:v>
                </c:pt>
                <c:pt idx="62">
                  <c:v>713.72591202150272</c:v>
                </c:pt>
                <c:pt idx="63">
                  <c:v>687.53729356236488</c:v>
                </c:pt>
                <c:pt idx="64">
                  <c:v>661.84087991744491</c:v>
                </c:pt>
                <c:pt idx="65">
                  <c:v>745.92434119453333</c:v>
                </c:pt>
                <c:pt idx="66">
                  <c:v>756.24024194285539</c:v>
                </c:pt>
                <c:pt idx="67">
                  <c:v>733.64322436808595</c:v>
                </c:pt>
                <c:pt idx="68">
                  <c:v>743.76685843879034</c:v>
                </c:pt>
                <c:pt idx="69">
                  <c:v>714.91766339157175</c:v>
                </c:pt>
                <c:pt idx="70">
                  <c:v>714.32700701692579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6E-3549-8BC5-A141592C3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027200"/>
        <c:axId val="628029440"/>
      </c:lineChart>
      <c:catAx>
        <c:axId val="6280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9440"/>
        <c:crosses val="autoZero"/>
        <c:auto val="1"/>
        <c:lblAlgn val="ctr"/>
        <c:lblOffset val="100"/>
        <c:noMultiLvlLbl val="0"/>
      </c:catAx>
      <c:valAx>
        <c:axId val="62802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30194385600277"/>
          <c:y val="0.18335512437603121"/>
          <c:w val="0.40231177594214418"/>
          <c:h val="4.5145691195838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TL olarak Brent ve Vergisiz Motorin, Benzin (Ocak 2025=100)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08791091123246E-2"/>
          <c:y val="0.10014620862144001"/>
          <c:w val="0.92521608402816968"/>
          <c:h val="0.71750759479057646"/>
        </c:manualLayout>
      </c:layout>
      <c:lineChart>
        <c:grouping val="standard"/>
        <c:varyColors val="0"/>
        <c:ser>
          <c:idx val="0"/>
          <c:order val="0"/>
          <c:tx>
            <c:strRef>
              <c:f>Sheet3!$J$8</c:f>
              <c:strCache>
                <c:ptCount val="1"/>
                <c:pt idx="0">
                  <c:v>Benzin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Sheet3!$J$9:$J$79</c:f>
              <c:numCache>
                <c:formatCode>General</c:formatCode>
                <c:ptCount val="71"/>
                <c:pt idx="0">
                  <c:v>100</c:v>
                </c:pt>
                <c:pt idx="1">
                  <c:v>87.151881537834512</c:v>
                </c:pt>
                <c:pt idx="2">
                  <c:v>50.020377666077977</c:v>
                </c:pt>
                <c:pt idx="3">
                  <c:v>25.553593261785092</c:v>
                </c:pt>
                <c:pt idx="4">
                  <c:v>38.360956391794588</c:v>
                </c:pt>
                <c:pt idx="5">
                  <c:v>49.049042249694338</c:v>
                </c:pt>
                <c:pt idx="6">
                  <c:v>54.041570438799084</c:v>
                </c:pt>
                <c:pt idx="7">
                  <c:v>57.06086129601956</c:v>
                </c:pt>
                <c:pt idx="8">
                  <c:v>57.981252547208278</c:v>
                </c:pt>
                <c:pt idx="9">
                  <c:v>56.683874473576957</c:v>
                </c:pt>
                <c:pt idx="10">
                  <c:v>52.713625866050812</c:v>
                </c:pt>
                <c:pt idx="11">
                  <c:v>71.616175338495708</c:v>
                </c:pt>
                <c:pt idx="12">
                  <c:v>81.46764479463846</c:v>
                </c:pt>
                <c:pt idx="13">
                  <c:v>88.686999049042285</c:v>
                </c:pt>
                <c:pt idx="14">
                  <c:v>93.060272607888479</c:v>
                </c:pt>
                <c:pt idx="15">
                  <c:v>96.261830367250866</c:v>
                </c:pt>
                <c:pt idx="16">
                  <c:v>111.47941855726131</c:v>
                </c:pt>
                <c:pt idx="17">
                  <c:v>132.10727709097503</c:v>
                </c:pt>
                <c:pt idx="18">
                  <c:v>139.35040528913652</c:v>
                </c:pt>
                <c:pt idx="19">
                  <c:v>146.08409183534857</c:v>
                </c:pt>
                <c:pt idx="20">
                  <c:v>153.18118009328452</c:v>
                </c:pt>
                <c:pt idx="21">
                  <c:v>166.24892451206824</c:v>
                </c:pt>
                <c:pt idx="22">
                  <c:v>195.12634152968363</c:v>
                </c:pt>
                <c:pt idx="23">
                  <c:v>248.06359921833362</c:v>
                </c:pt>
                <c:pt idx="24">
                  <c:v>328.50391355689538</c:v>
                </c:pt>
                <c:pt idx="25">
                  <c:v>362.0280480285914</c:v>
                </c:pt>
                <c:pt idx="26">
                  <c:v>469.879719519714</c:v>
                </c:pt>
                <c:pt idx="27">
                  <c:v>458.5797811752164</c:v>
                </c:pt>
                <c:pt idx="28">
                  <c:v>519.54923557626978</c:v>
                </c:pt>
                <c:pt idx="29">
                  <c:v>690.11657070005106</c:v>
                </c:pt>
                <c:pt idx="30">
                  <c:v>587.50431066013164</c:v>
                </c:pt>
                <c:pt idx="31">
                  <c:v>446.26278829172435</c:v>
                </c:pt>
                <c:pt idx="32">
                  <c:v>373.39512817029441</c:v>
                </c:pt>
                <c:pt idx="33">
                  <c:v>391.72431630317772</c:v>
                </c:pt>
                <c:pt idx="34">
                  <c:v>419.19628394971392</c:v>
                </c:pt>
                <c:pt idx="35">
                  <c:v>297.79921206357807</c:v>
                </c:pt>
                <c:pt idx="36">
                  <c:v>318.10833508293081</c:v>
                </c:pt>
                <c:pt idx="37">
                  <c:v>309.61023082338113</c:v>
                </c:pt>
                <c:pt idx="38">
                  <c:v>276.76421187832671</c:v>
                </c:pt>
                <c:pt idx="39">
                  <c:v>296.67257413147917</c:v>
                </c:pt>
                <c:pt idx="40">
                  <c:v>198.98821800397664</c:v>
                </c:pt>
                <c:pt idx="41">
                  <c:v>268.54336737844409</c:v>
                </c:pt>
                <c:pt idx="42">
                  <c:v>483.1773103950797</c:v>
                </c:pt>
                <c:pt idx="43">
                  <c:v>680.77552457052514</c:v>
                </c:pt>
                <c:pt idx="44">
                  <c:v>679.68470193032078</c:v>
                </c:pt>
                <c:pt idx="45">
                  <c:v>542.4778624445787</c:v>
                </c:pt>
                <c:pt idx="46">
                  <c:v>515.45985599782637</c:v>
                </c:pt>
                <c:pt idx="47">
                  <c:v>467.99574333197478</c:v>
                </c:pt>
                <c:pt idx="48">
                  <c:v>547.72222976950616</c:v>
                </c:pt>
                <c:pt idx="49">
                  <c:v>633.35823936965096</c:v>
                </c:pt>
                <c:pt idx="50">
                  <c:v>663.65530045736523</c:v>
                </c:pt>
                <c:pt idx="51">
                  <c:v>710.60431100846836</c:v>
                </c:pt>
                <c:pt idx="52">
                  <c:v>665.80967259883175</c:v>
                </c:pt>
                <c:pt idx="53">
                  <c:v>574.20074265271921</c:v>
                </c:pt>
                <c:pt idx="54">
                  <c:v>681.25367930081973</c:v>
                </c:pt>
                <c:pt idx="55">
                  <c:v>629.87365847031674</c:v>
                </c:pt>
                <c:pt idx="56">
                  <c:v>535.30657066521803</c:v>
                </c:pt>
                <c:pt idx="57">
                  <c:v>558.5122039577958</c:v>
                </c:pt>
                <c:pt idx="58">
                  <c:v>511.63225105284624</c:v>
                </c:pt>
                <c:pt idx="59">
                  <c:v>508.51673232803552</c:v>
                </c:pt>
                <c:pt idx="60">
                  <c:v>596.49617352714768</c:v>
                </c:pt>
                <c:pt idx="61">
                  <c:v>630.56310283928826</c:v>
                </c:pt>
                <c:pt idx="62">
                  <c:v>577.52569850110967</c:v>
                </c:pt>
                <c:pt idx="63">
                  <c:v>588.39265498347152</c:v>
                </c:pt>
                <c:pt idx="64">
                  <c:v>612.81075940768937</c:v>
                </c:pt>
                <c:pt idx="65">
                  <c:v>688.00661142054958</c:v>
                </c:pt>
                <c:pt idx="66">
                  <c:v>775.7075578499298</c:v>
                </c:pt>
                <c:pt idx="67">
                  <c:v>790.31041977992118</c:v>
                </c:pt>
                <c:pt idx="68">
                  <c:v>839.42285921296934</c:v>
                </c:pt>
                <c:pt idx="69">
                  <c:v>818.58556355567646</c:v>
                </c:pt>
                <c:pt idx="70">
                  <c:v>874.81660100529825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9-9E42-905E-7959AA636446}"/>
            </c:ext>
          </c:extLst>
        </c:ser>
        <c:ser>
          <c:idx val="1"/>
          <c:order val="1"/>
          <c:tx>
            <c:strRef>
              <c:f>Sheet3!$K$8</c:f>
              <c:strCache>
                <c:ptCount val="1"/>
                <c:pt idx="0">
                  <c:v>Motorin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Sheet3!$K$9:$K$79</c:f>
              <c:numCache>
                <c:formatCode>General</c:formatCode>
                <c:ptCount val="71"/>
                <c:pt idx="0">
                  <c:v>100</c:v>
                </c:pt>
                <c:pt idx="1">
                  <c:v>88.40980062454959</c:v>
                </c:pt>
                <c:pt idx="2">
                  <c:v>58.07510609336218</c:v>
                </c:pt>
                <c:pt idx="3">
                  <c:v>31.783969893506299</c:v>
                </c:pt>
                <c:pt idx="4">
                  <c:v>31.944110817519419</c:v>
                </c:pt>
                <c:pt idx="5">
                  <c:v>41.240291456481714</c:v>
                </c:pt>
                <c:pt idx="6">
                  <c:v>46.825206181439711</c:v>
                </c:pt>
                <c:pt idx="7">
                  <c:v>48.3545520057651</c:v>
                </c:pt>
                <c:pt idx="8">
                  <c:v>37.761229882296448</c:v>
                </c:pt>
                <c:pt idx="9">
                  <c:v>39.370646168628362</c:v>
                </c:pt>
                <c:pt idx="10">
                  <c:v>43.498278485066841</c:v>
                </c:pt>
                <c:pt idx="11">
                  <c:v>63.366429124296126</c:v>
                </c:pt>
                <c:pt idx="12">
                  <c:v>72.128806683214606</c:v>
                </c:pt>
                <c:pt idx="13">
                  <c:v>80.558891824805897</c:v>
                </c:pt>
                <c:pt idx="14">
                  <c:v>85.217658205887915</c:v>
                </c:pt>
                <c:pt idx="15">
                  <c:v>88.403128086049151</c:v>
                </c:pt>
                <c:pt idx="16">
                  <c:v>108.16318360156947</c:v>
                </c:pt>
                <c:pt idx="17">
                  <c:v>135.73411268583033</c:v>
                </c:pt>
                <c:pt idx="18">
                  <c:v>143.80788427149238</c:v>
                </c:pt>
                <c:pt idx="19">
                  <c:v>153.38698054287786</c:v>
                </c:pt>
                <c:pt idx="20">
                  <c:v>161.75300931486393</c:v>
                </c:pt>
                <c:pt idx="21">
                  <c:v>189.22785384471689</c:v>
                </c:pt>
                <c:pt idx="22">
                  <c:v>229.03755304668127</c:v>
                </c:pt>
                <c:pt idx="23">
                  <c:v>287.60047303165254</c:v>
                </c:pt>
                <c:pt idx="24">
                  <c:v>392.5842433649305</c:v>
                </c:pt>
                <c:pt idx="25">
                  <c:v>437.44710730057835</c:v>
                </c:pt>
                <c:pt idx="26">
                  <c:v>618.54185529419726</c:v>
                </c:pt>
                <c:pt idx="27">
                  <c:v>633.59848974790123</c:v>
                </c:pt>
                <c:pt idx="28">
                  <c:v>640.1996834137118</c:v>
                </c:pt>
                <c:pt idx="29">
                  <c:v>849.34311424823079</c:v>
                </c:pt>
                <c:pt idx="30">
                  <c:v>749.41856526050617</c:v>
                </c:pt>
                <c:pt idx="31">
                  <c:v>648.9575441773377</c:v>
                </c:pt>
                <c:pt idx="32">
                  <c:v>658.6814858614041</c:v>
                </c:pt>
                <c:pt idx="33">
                  <c:v>693.47148567662623</c:v>
                </c:pt>
                <c:pt idx="34">
                  <c:v>638.07812413385307</c:v>
                </c:pt>
                <c:pt idx="35">
                  <c:v>489.47874129233696</c:v>
                </c:pt>
                <c:pt idx="36">
                  <c:v>480.27391377139151</c:v>
                </c:pt>
                <c:pt idx="37">
                  <c:v>385.43372713442375</c:v>
                </c:pt>
                <c:pt idx="38">
                  <c:v>340.95385757648558</c:v>
                </c:pt>
                <c:pt idx="39">
                  <c:v>297.81516825715715</c:v>
                </c:pt>
                <c:pt idx="40">
                  <c:v>189.90347869761752</c:v>
                </c:pt>
                <c:pt idx="41">
                  <c:v>263.03110373492319</c:v>
                </c:pt>
                <c:pt idx="42">
                  <c:v>536.93140873059212</c:v>
                </c:pt>
                <c:pt idx="43">
                  <c:v>823.7590898172208</c:v>
                </c:pt>
                <c:pt idx="44">
                  <c:v>857.51206516279774</c:v>
                </c:pt>
                <c:pt idx="45">
                  <c:v>814.56554495228534</c:v>
                </c:pt>
                <c:pt idx="46">
                  <c:v>733.55352710385137</c:v>
                </c:pt>
                <c:pt idx="47">
                  <c:v>650.8434088664693</c:v>
                </c:pt>
                <c:pt idx="48">
                  <c:v>734.9200629887639</c:v>
                </c:pt>
                <c:pt idx="49">
                  <c:v>839.61085755464819</c:v>
                </c:pt>
                <c:pt idx="50">
                  <c:v>770.41663330397455</c:v>
                </c:pt>
                <c:pt idx="51">
                  <c:v>767.66087490324833</c:v>
                </c:pt>
                <c:pt idx="52">
                  <c:v>684.41828809352251</c:v>
                </c:pt>
                <c:pt idx="53">
                  <c:v>661.66493180665668</c:v>
                </c:pt>
                <c:pt idx="54">
                  <c:v>785.26836949849223</c:v>
                </c:pt>
                <c:pt idx="55">
                  <c:v>720.63816158219254</c:v>
                </c:pt>
                <c:pt idx="56">
                  <c:v>634.89737635786184</c:v>
                </c:pt>
                <c:pt idx="57">
                  <c:v>631.74927269330351</c:v>
                </c:pt>
                <c:pt idx="58">
                  <c:v>610.42117063015507</c:v>
                </c:pt>
                <c:pt idx="59">
                  <c:v>630.74171937972142</c:v>
                </c:pt>
                <c:pt idx="60">
                  <c:v>728.81469026076297</c:v>
                </c:pt>
                <c:pt idx="61">
                  <c:v>750.12811273921091</c:v>
                </c:pt>
                <c:pt idx="62">
                  <c:v>707.93765180025127</c:v>
                </c:pt>
                <c:pt idx="63">
                  <c:v>681.83735020151062</c:v>
                </c:pt>
                <c:pt idx="64">
                  <c:v>686.85643366162253</c:v>
                </c:pt>
                <c:pt idx="65">
                  <c:v>814.73163050150833</c:v>
                </c:pt>
                <c:pt idx="66">
                  <c:v>987.65046574318762</c:v>
                </c:pt>
                <c:pt idx="67">
                  <c:v>962.16270317879776</c:v>
                </c:pt>
                <c:pt idx="68">
                  <c:v>1021.2813942936452</c:v>
                </c:pt>
                <c:pt idx="69">
                  <c:v>1002.4594976913019</c:v>
                </c:pt>
                <c:pt idx="70">
                  <c:v>1141.1842421330773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9-9E42-905E-7959AA636446}"/>
            </c:ext>
          </c:extLst>
        </c:ser>
        <c:ser>
          <c:idx val="2"/>
          <c:order val="2"/>
          <c:tx>
            <c:strRef>
              <c:f>Sheet3!$L$8</c:f>
              <c:strCache>
                <c:ptCount val="1"/>
                <c:pt idx="0">
                  <c:v>Brent (TL)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Sheet3!$D$9:$D$79</c:f>
              <c:strCache>
                <c:ptCount val="71"/>
                <c:pt idx="0">
                  <c:v>2020 Ocak</c:v>
                </c:pt>
                <c:pt idx="1">
                  <c:v>2020 Şubat</c:v>
                </c:pt>
                <c:pt idx="2">
                  <c:v>2020 Mart</c:v>
                </c:pt>
                <c:pt idx="3">
                  <c:v>2020 Nisan</c:v>
                </c:pt>
                <c:pt idx="4">
                  <c:v>2020 Mayıs</c:v>
                </c:pt>
                <c:pt idx="5">
                  <c:v>2020 Haziran</c:v>
                </c:pt>
                <c:pt idx="6">
                  <c:v>2020 Temmuz</c:v>
                </c:pt>
                <c:pt idx="7">
                  <c:v>2020 Ağustos</c:v>
                </c:pt>
                <c:pt idx="8">
                  <c:v>2020 Eylül</c:v>
                </c:pt>
                <c:pt idx="9">
                  <c:v>2020 Ekim</c:v>
                </c:pt>
                <c:pt idx="10">
                  <c:v>2020 Kasım</c:v>
                </c:pt>
                <c:pt idx="11">
                  <c:v>2020 Aralık</c:v>
                </c:pt>
                <c:pt idx="12">
                  <c:v>2021 Ocak</c:v>
                </c:pt>
                <c:pt idx="13">
                  <c:v>2021 Şubat</c:v>
                </c:pt>
                <c:pt idx="14">
                  <c:v>2021 Mart</c:v>
                </c:pt>
                <c:pt idx="15">
                  <c:v>2021 Nisan</c:v>
                </c:pt>
                <c:pt idx="16">
                  <c:v>2021 Mayıs</c:v>
                </c:pt>
                <c:pt idx="17">
                  <c:v>2021 Haziran</c:v>
                </c:pt>
                <c:pt idx="18">
                  <c:v>2021 Temmuz</c:v>
                </c:pt>
                <c:pt idx="19">
                  <c:v>2021 Ağustos</c:v>
                </c:pt>
                <c:pt idx="20">
                  <c:v>2021 Eylül</c:v>
                </c:pt>
                <c:pt idx="21">
                  <c:v>2021 Ekim</c:v>
                </c:pt>
                <c:pt idx="22">
                  <c:v>2021 Kasım</c:v>
                </c:pt>
                <c:pt idx="23">
                  <c:v>2021 Aralık</c:v>
                </c:pt>
                <c:pt idx="24">
                  <c:v>2022 Ocak</c:v>
                </c:pt>
                <c:pt idx="25">
                  <c:v>2022 Şubat</c:v>
                </c:pt>
                <c:pt idx="26">
                  <c:v>2022 Mart</c:v>
                </c:pt>
                <c:pt idx="27">
                  <c:v>2022 Nisan</c:v>
                </c:pt>
                <c:pt idx="28">
                  <c:v>2022 Mayıs</c:v>
                </c:pt>
                <c:pt idx="29">
                  <c:v>2022 Haziran</c:v>
                </c:pt>
                <c:pt idx="30">
                  <c:v>2022 Temmuz</c:v>
                </c:pt>
                <c:pt idx="31">
                  <c:v>2022 Ağustos</c:v>
                </c:pt>
                <c:pt idx="32">
                  <c:v>2022 Eylül</c:v>
                </c:pt>
                <c:pt idx="33">
                  <c:v>2022 Ekim</c:v>
                </c:pt>
                <c:pt idx="34">
                  <c:v>2022 Kasım</c:v>
                </c:pt>
                <c:pt idx="35">
                  <c:v>2022 Aralık</c:v>
                </c:pt>
                <c:pt idx="36">
                  <c:v>2023 Ocak</c:v>
                </c:pt>
                <c:pt idx="37">
                  <c:v>2023 Şubat</c:v>
                </c:pt>
                <c:pt idx="38">
                  <c:v>2023 Mart</c:v>
                </c:pt>
                <c:pt idx="39">
                  <c:v>2023 Nisan</c:v>
                </c:pt>
                <c:pt idx="40">
                  <c:v>2023 Mayıs</c:v>
                </c:pt>
                <c:pt idx="41">
                  <c:v>2023 Haziran</c:v>
                </c:pt>
                <c:pt idx="42">
                  <c:v>2023 Temmuz</c:v>
                </c:pt>
                <c:pt idx="43">
                  <c:v>2023 Ağustos</c:v>
                </c:pt>
                <c:pt idx="44">
                  <c:v>2023 Eylül</c:v>
                </c:pt>
                <c:pt idx="45">
                  <c:v>2023 Ekim</c:v>
                </c:pt>
                <c:pt idx="46">
                  <c:v>2023 Kasım</c:v>
                </c:pt>
                <c:pt idx="47">
                  <c:v>2023 Aralık</c:v>
                </c:pt>
                <c:pt idx="48">
                  <c:v>2024 Ocak</c:v>
                </c:pt>
                <c:pt idx="49">
                  <c:v>2024 Şubat</c:v>
                </c:pt>
                <c:pt idx="50">
                  <c:v>2024 Mart</c:v>
                </c:pt>
                <c:pt idx="51">
                  <c:v>2024 Nisan</c:v>
                </c:pt>
                <c:pt idx="52">
                  <c:v>2024 Mayıs</c:v>
                </c:pt>
                <c:pt idx="53">
                  <c:v>2024 Haziran</c:v>
                </c:pt>
                <c:pt idx="54">
                  <c:v>2024 Temmuz</c:v>
                </c:pt>
                <c:pt idx="55">
                  <c:v>2024 Ağustos</c:v>
                </c:pt>
                <c:pt idx="56">
                  <c:v>2024 Eylül</c:v>
                </c:pt>
                <c:pt idx="57">
                  <c:v>2024 Ekim</c:v>
                </c:pt>
                <c:pt idx="58">
                  <c:v>2024 Kasım</c:v>
                </c:pt>
                <c:pt idx="59">
                  <c:v>2024 Aralık</c:v>
                </c:pt>
                <c:pt idx="60">
                  <c:v>2025 Ocak</c:v>
                </c:pt>
                <c:pt idx="61">
                  <c:v>2025 Şubat</c:v>
                </c:pt>
                <c:pt idx="62">
                  <c:v>2025 Mart</c:v>
                </c:pt>
                <c:pt idx="63">
                  <c:v>2025 Nisan</c:v>
                </c:pt>
                <c:pt idx="64">
                  <c:v>2025 Mayıs</c:v>
                </c:pt>
                <c:pt idx="65">
                  <c:v>2025 Haziran</c:v>
                </c:pt>
                <c:pt idx="66">
                  <c:v>2025 Temmuz</c:v>
                </c:pt>
                <c:pt idx="67">
                  <c:v>2025 Ağustos</c:v>
                </c:pt>
                <c:pt idx="68">
                  <c:v>2025 Eylül</c:v>
                </c:pt>
                <c:pt idx="69">
                  <c:v>2025 Ekim</c:v>
                </c:pt>
                <c:pt idx="70">
                  <c:v>2025 Kasım</c:v>
                </c:pt>
              </c:strCache>
            </c:strRef>
          </c:cat>
          <c:val>
            <c:numRef>
              <c:f>Sheet3!$L$9:$L$79</c:f>
              <c:numCache>
                <c:formatCode>General</c:formatCode>
                <c:ptCount val="71"/>
                <c:pt idx="0">
                  <c:v>100</c:v>
                </c:pt>
                <c:pt idx="1">
                  <c:v>89.364025704441303</c:v>
                </c:pt>
                <c:pt idx="2">
                  <c:v>53.682938816170335</c:v>
                </c:pt>
                <c:pt idx="3">
                  <c:v>33.259300373962269</c:v>
                </c:pt>
                <c:pt idx="4">
                  <c:v>54.176123906958516</c:v>
                </c:pt>
                <c:pt idx="5">
                  <c:v>72.763386405153625</c:v>
                </c:pt>
                <c:pt idx="6">
                  <c:v>78.588083810997404</c:v>
                </c:pt>
                <c:pt idx="7">
                  <c:v>86.174205744155771</c:v>
                </c:pt>
                <c:pt idx="8">
                  <c:v>81.506870546530692</c:v>
                </c:pt>
                <c:pt idx="9">
                  <c:v>84.012113039135556</c:v>
                </c:pt>
                <c:pt idx="10">
                  <c:v>90.708382291966103</c:v>
                </c:pt>
                <c:pt idx="11">
                  <c:v>102.37868083916976</c:v>
                </c:pt>
                <c:pt idx="12">
                  <c:v>107.52460295487153</c:v>
                </c:pt>
                <c:pt idx="13">
                  <c:v>116.98811348423413</c:v>
                </c:pt>
                <c:pt idx="14">
                  <c:v>132.39890897867102</c:v>
                </c:pt>
                <c:pt idx="15">
                  <c:v>140.28491606050693</c:v>
                </c:pt>
                <c:pt idx="16">
                  <c:v>151.78676600135915</c:v>
                </c:pt>
                <c:pt idx="17">
                  <c:v>166.88747617199348</c:v>
                </c:pt>
                <c:pt idx="18">
                  <c:v>171.87085783472807</c:v>
                </c:pt>
                <c:pt idx="19">
                  <c:v>159.14061537524063</c:v>
                </c:pt>
                <c:pt idx="20">
                  <c:v>168.34255102405785</c:v>
                </c:pt>
                <c:pt idx="21">
                  <c:v>202.7387867620273</c:v>
                </c:pt>
                <c:pt idx="22">
                  <c:v>226.32916892417299</c:v>
                </c:pt>
                <c:pt idx="23">
                  <c:v>266.265238995402</c:v>
                </c:pt>
                <c:pt idx="24">
                  <c:v>310.33579771330619</c:v>
                </c:pt>
                <c:pt idx="25">
                  <c:v>351.26343078253888</c:v>
                </c:pt>
                <c:pt idx="26">
                  <c:v>453.22623591018021</c:v>
                </c:pt>
                <c:pt idx="27">
                  <c:v>407.57563032445842</c:v>
                </c:pt>
                <c:pt idx="28">
                  <c:v>469.94220342328481</c:v>
                </c:pt>
                <c:pt idx="29">
                  <c:v>552.68257982299383</c:v>
                </c:pt>
                <c:pt idx="30">
                  <c:v>516.58471642850816</c:v>
                </c:pt>
                <c:pt idx="31">
                  <c:v>479.83571094558283</c:v>
                </c:pt>
                <c:pt idx="32">
                  <c:v>435.42973867681212</c:v>
                </c:pt>
                <c:pt idx="33">
                  <c:v>459.91874302049717</c:v>
                </c:pt>
                <c:pt idx="34">
                  <c:v>450.99091389595037</c:v>
                </c:pt>
                <c:pt idx="35">
                  <c:v>400.26451571025683</c:v>
                </c:pt>
                <c:pt idx="36">
                  <c:v>410.70276557215703</c:v>
                </c:pt>
                <c:pt idx="37">
                  <c:v>412.68250034110986</c:v>
                </c:pt>
                <c:pt idx="38">
                  <c:v>394.80506405577512</c:v>
                </c:pt>
                <c:pt idx="39">
                  <c:v>433.68961529443408</c:v>
                </c:pt>
                <c:pt idx="40">
                  <c:v>394.30125488648002</c:v>
                </c:pt>
                <c:pt idx="41">
                  <c:v>458.22694462364672</c:v>
                </c:pt>
                <c:pt idx="42">
                  <c:v>561.80755051404924</c:v>
                </c:pt>
                <c:pt idx="43">
                  <c:v>616.26278830397598</c:v>
                </c:pt>
                <c:pt idx="44">
                  <c:v>670.16549452965933</c:v>
                </c:pt>
                <c:pt idx="45">
                  <c:v>668.49828252895463</c:v>
                </c:pt>
                <c:pt idx="46">
                  <c:v>629.33798214042076</c:v>
                </c:pt>
                <c:pt idx="47">
                  <c:v>597.89031235055756</c:v>
                </c:pt>
                <c:pt idx="48">
                  <c:v>637.87020343388247</c:v>
                </c:pt>
                <c:pt idx="49">
                  <c:v>680.32380919578929</c:v>
                </c:pt>
                <c:pt idx="50">
                  <c:v>723.88547190381632</c:v>
                </c:pt>
                <c:pt idx="51">
                  <c:v>770.38086394158609</c:v>
                </c:pt>
                <c:pt idx="52">
                  <c:v>698.49673263221484</c:v>
                </c:pt>
                <c:pt idx="53">
                  <c:v>708.65253037201524</c:v>
                </c:pt>
                <c:pt idx="54">
                  <c:v>741.98551045253032</c:v>
                </c:pt>
                <c:pt idx="55">
                  <c:v>715.78820197406515</c:v>
                </c:pt>
                <c:pt idx="56">
                  <c:v>667.35655175794068</c:v>
                </c:pt>
                <c:pt idx="57">
                  <c:v>685.87961938775095</c:v>
                </c:pt>
                <c:pt idx="58">
                  <c:v>678.21110123475114</c:v>
                </c:pt>
                <c:pt idx="59">
                  <c:v>684.30834202114488</c:v>
                </c:pt>
                <c:pt idx="60">
                  <c:v>745.98262790953379</c:v>
                </c:pt>
                <c:pt idx="61">
                  <c:v>722.73152741661363</c:v>
                </c:pt>
                <c:pt idx="62">
                  <c:v>713.72591202150272</c:v>
                </c:pt>
                <c:pt idx="63">
                  <c:v>687.53729356236488</c:v>
                </c:pt>
                <c:pt idx="64">
                  <c:v>661.84087991744491</c:v>
                </c:pt>
                <c:pt idx="65">
                  <c:v>745.92434119453333</c:v>
                </c:pt>
                <c:pt idx="66">
                  <c:v>756.24024194285539</c:v>
                </c:pt>
                <c:pt idx="67">
                  <c:v>733.64322436808595</c:v>
                </c:pt>
                <c:pt idx="68">
                  <c:v>743.76685843879034</c:v>
                </c:pt>
                <c:pt idx="69">
                  <c:v>714.91766339157175</c:v>
                </c:pt>
                <c:pt idx="70">
                  <c:v>714.32700701692579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9-9E42-905E-7959AA636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027200"/>
        <c:axId val="628029440"/>
      </c:lineChart>
      <c:catAx>
        <c:axId val="6280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9440"/>
        <c:crosses val="autoZero"/>
        <c:auto val="1"/>
        <c:lblAlgn val="ctr"/>
        <c:lblOffset val="100"/>
        <c:noMultiLvlLbl val="0"/>
      </c:catAx>
      <c:valAx>
        <c:axId val="62802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30194385600277"/>
          <c:y val="0.18335512437603121"/>
          <c:w val="0.4274245478835148"/>
          <c:h val="4.5564278748426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308622</xdr:colOff>
      <xdr:row>20</xdr:row>
      <xdr:rowOff>68773</xdr:rowOff>
    </xdr:from>
    <xdr:to>
      <xdr:col>32</xdr:col>
      <xdr:colOff>119206</xdr:colOff>
      <xdr:row>36</xdr:row>
      <xdr:rowOff>91696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7CA7E-2A12-6747-2C47-DDE3F58CE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86270</xdr:colOff>
      <xdr:row>9</xdr:row>
      <xdr:rowOff>96673</xdr:rowOff>
    </xdr:from>
    <xdr:to>
      <xdr:col>31</xdr:col>
      <xdr:colOff>80573</xdr:colOff>
      <xdr:row>27</xdr:row>
      <xdr:rowOff>195894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87D5F-BF35-6042-A2D3-B0647E740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380542</xdr:colOff>
      <xdr:row>20</xdr:row>
      <xdr:rowOff>0</xdr:rowOff>
    </xdr:from>
    <xdr:to>
      <xdr:col>38</xdr:col>
      <xdr:colOff>6187</xdr:colOff>
      <xdr:row>33</xdr:row>
      <xdr:rowOff>103423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1FD18F-823A-F243-AD29-5FA09C419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291689</xdr:colOff>
      <xdr:row>23</xdr:row>
      <xdr:rowOff>85706</xdr:rowOff>
    </xdr:from>
    <xdr:to>
      <xdr:col>9</xdr:col>
      <xdr:colOff>102273</xdr:colOff>
      <xdr:row>39</xdr:row>
      <xdr:rowOff>108629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7F183-03A6-FA4C-A6D1-02E2420A7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351447</xdr:colOff>
      <xdr:row>5</xdr:row>
      <xdr:rowOff>85226</xdr:rowOff>
    </xdr:from>
    <xdr:to>
      <xdr:col>23</xdr:col>
      <xdr:colOff>71886</xdr:colOff>
      <xdr:row>29</xdr:row>
      <xdr:rowOff>39937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396DD-9FD8-9647-12DF-1BE931351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343460</xdr:colOff>
      <xdr:row>29</xdr:row>
      <xdr:rowOff>71886</xdr:rowOff>
    </xdr:from>
    <xdr:to>
      <xdr:col>23</xdr:col>
      <xdr:colOff>87862</xdr:colOff>
      <xdr:row>52</xdr:row>
      <xdr:rowOff>174686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A18CAB-D13C-4943-BAB0-DDD50719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88C5-909D-204D-9464-55C96BF68600}">
  <dimension ref="B3:H254"/>
  <sheetViews>
    <sheetView workbookViewId="0">
      <selection activeCell="J8" sqref="J8"/>
    </sheetView>
  </sheetViews>
  <sheetFormatPr baseColWidth="10" defaultRowHeight="16" x14ac:dyDescent="0.2"/>
  <sheetData>
    <row r="3" spans="2:8" x14ac:dyDescent="0.2">
      <c r="D3" t="s">
        <v>0</v>
      </c>
      <c r="E3" t="s">
        <v>1</v>
      </c>
      <c r="F3" t="s">
        <v>2</v>
      </c>
      <c r="G3" t="s">
        <v>3</v>
      </c>
      <c r="H3" t="s">
        <v>4</v>
      </c>
    </row>
    <row r="4" spans="2:8" x14ac:dyDescent="0.2">
      <c r="B4" t="s">
        <v>5</v>
      </c>
      <c r="C4">
        <v>2005</v>
      </c>
      <c r="D4" t="s">
        <v>6</v>
      </c>
      <c r="E4" t="s">
        <v>7</v>
      </c>
      <c r="F4">
        <v>2.38</v>
      </c>
      <c r="G4">
        <v>1.1599999999999999</v>
      </c>
      <c r="H4">
        <v>1.75</v>
      </c>
    </row>
    <row r="5" spans="2:8" x14ac:dyDescent="0.2">
      <c r="B5" t="s">
        <v>5</v>
      </c>
      <c r="C5">
        <v>2005</v>
      </c>
      <c r="D5" t="s">
        <v>8</v>
      </c>
      <c r="E5" t="s">
        <v>9</v>
      </c>
      <c r="F5">
        <v>2.38</v>
      </c>
      <c r="G5">
        <v>1.17</v>
      </c>
      <c r="H5">
        <v>1.78</v>
      </c>
    </row>
    <row r="6" spans="2:8" x14ac:dyDescent="0.2">
      <c r="B6" t="s">
        <v>5</v>
      </c>
      <c r="C6">
        <v>2005</v>
      </c>
      <c r="D6" t="s">
        <v>10</v>
      </c>
      <c r="E6" t="s">
        <v>11</v>
      </c>
      <c r="F6">
        <v>2.42</v>
      </c>
      <c r="G6">
        <v>1.18</v>
      </c>
      <c r="H6">
        <v>1.87</v>
      </c>
    </row>
    <row r="7" spans="2:8" x14ac:dyDescent="0.2">
      <c r="B7" t="s">
        <v>5</v>
      </c>
      <c r="C7">
        <v>2005</v>
      </c>
      <c r="D7" t="s">
        <v>12</v>
      </c>
      <c r="E7" t="s">
        <v>13</v>
      </c>
      <c r="F7">
        <v>2.5499999999999998</v>
      </c>
      <c r="G7">
        <v>1.21</v>
      </c>
      <c r="H7">
        <v>1.94</v>
      </c>
    </row>
    <row r="8" spans="2:8" x14ac:dyDescent="0.2">
      <c r="B8" t="s">
        <v>5</v>
      </c>
      <c r="C8">
        <v>2005</v>
      </c>
      <c r="D8" t="s">
        <v>14</v>
      </c>
      <c r="E8" t="s">
        <v>15</v>
      </c>
      <c r="F8">
        <v>2.5</v>
      </c>
      <c r="G8">
        <v>1.21</v>
      </c>
      <c r="H8">
        <v>1.88</v>
      </c>
    </row>
    <row r="9" spans="2:8" x14ac:dyDescent="0.2">
      <c r="B9" t="s">
        <v>5</v>
      </c>
      <c r="C9">
        <v>2005</v>
      </c>
      <c r="D9" t="s">
        <v>16</v>
      </c>
      <c r="E9" t="s">
        <v>17</v>
      </c>
      <c r="F9">
        <v>2.54</v>
      </c>
      <c r="G9">
        <v>1.21</v>
      </c>
      <c r="H9">
        <v>1.96</v>
      </c>
    </row>
    <row r="10" spans="2:8" x14ac:dyDescent="0.2">
      <c r="B10" t="s">
        <v>5</v>
      </c>
      <c r="C10">
        <v>2005</v>
      </c>
      <c r="D10" t="s">
        <v>18</v>
      </c>
      <c r="E10" t="s">
        <v>19</v>
      </c>
      <c r="F10">
        <v>2.58</v>
      </c>
      <c r="G10">
        <v>1.22</v>
      </c>
      <c r="H10">
        <v>2</v>
      </c>
    </row>
    <row r="11" spans="2:8" x14ac:dyDescent="0.2">
      <c r="B11" t="s">
        <v>5</v>
      </c>
      <c r="C11">
        <v>2005</v>
      </c>
      <c r="D11" t="s">
        <v>20</v>
      </c>
      <c r="E11" t="s">
        <v>21</v>
      </c>
      <c r="F11">
        <v>2.63</v>
      </c>
      <c r="G11">
        <v>1.22</v>
      </c>
      <c r="H11">
        <v>2.02</v>
      </c>
    </row>
    <row r="12" spans="2:8" x14ac:dyDescent="0.2">
      <c r="B12" t="s">
        <v>5</v>
      </c>
      <c r="C12">
        <v>2005</v>
      </c>
      <c r="D12" t="s">
        <v>22</v>
      </c>
      <c r="E12" t="s">
        <v>23</v>
      </c>
      <c r="F12">
        <v>2.71</v>
      </c>
      <c r="G12">
        <v>1.28</v>
      </c>
      <c r="H12">
        <v>2.1</v>
      </c>
    </row>
    <row r="13" spans="2:8" x14ac:dyDescent="0.2">
      <c r="B13" t="s">
        <v>5</v>
      </c>
      <c r="C13">
        <v>2005</v>
      </c>
      <c r="D13" t="s">
        <v>24</v>
      </c>
      <c r="E13" t="s">
        <v>25</v>
      </c>
      <c r="F13">
        <v>2.68</v>
      </c>
      <c r="G13">
        <v>1.37</v>
      </c>
      <c r="H13">
        <v>2.1</v>
      </c>
    </row>
    <row r="14" spans="2:8" x14ac:dyDescent="0.2">
      <c r="B14" t="s">
        <v>5</v>
      </c>
      <c r="C14">
        <v>2005</v>
      </c>
      <c r="D14" t="s">
        <v>26</v>
      </c>
      <c r="E14" t="s">
        <v>27</v>
      </c>
      <c r="F14">
        <v>2.56</v>
      </c>
      <c r="G14">
        <v>1.39</v>
      </c>
      <c r="H14">
        <v>2.0299999999999998</v>
      </c>
    </row>
    <row r="15" spans="2:8" x14ac:dyDescent="0.2">
      <c r="B15" t="s">
        <v>5</v>
      </c>
      <c r="C15">
        <v>2005</v>
      </c>
      <c r="D15" t="s">
        <v>28</v>
      </c>
      <c r="E15" t="s">
        <v>29</v>
      </c>
      <c r="F15">
        <v>2.56</v>
      </c>
      <c r="G15">
        <v>1.37</v>
      </c>
      <c r="H15">
        <v>2.02</v>
      </c>
    </row>
    <row r="16" spans="2:8" x14ac:dyDescent="0.2">
      <c r="B16" t="s">
        <v>5</v>
      </c>
      <c r="C16">
        <v>2006</v>
      </c>
      <c r="D16" t="s">
        <v>6</v>
      </c>
      <c r="E16" t="s">
        <v>7</v>
      </c>
      <c r="F16">
        <v>2.63</v>
      </c>
      <c r="G16">
        <v>1.4</v>
      </c>
      <c r="H16">
        <v>2.0499999999999998</v>
      </c>
    </row>
    <row r="17" spans="2:8" x14ac:dyDescent="0.2">
      <c r="B17" t="s">
        <v>5</v>
      </c>
      <c r="C17">
        <v>2006</v>
      </c>
      <c r="D17" t="s">
        <v>8</v>
      </c>
      <c r="E17" t="s">
        <v>9</v>
      </c>
      <c r="F17">
        <v>2.6</v>
      </c>
      <c r="G17">
        <v>1.42</v>
      </c>
      <c r="H17">
        <v>2.0499999999999998</v>
      </c>
    </row>
    <row r="18" spans="2:8" x14ac:dyDescent="0.2">
      <c r="B18" t="s">
        <v>5</v>
      </c>
      <c r="C18">
        <v>2006</v>
      </c>
      <c r="D18" t="s">
        <v>10</v>
      </c>
      <c r="E18" t="s">
        <v>11</v>
      </c>
      <c r="F18">
        <v>2.63</v>
      </c>
      <c r="G18">
        <v>1.38</v>
      </c>
      <c r="H18">
        <v>2.0699999999999998</v>
      </c>
    </row>
    <row r="19" spans="2:8" x14ac:dyDescent="0.2">
      <c r="B19" t="s">
        <v>5</v>
      </c>
      <c r="C19">
        <v>2006</v>
      </c>
      <c r="D19" t="s">
        <v>12</v>
      </c>
      <c r="E19" t="s">
        <v>13</v>
      </c>
      <c r="F19">
        <v>2.75</v>
      </c>
      <c r="G19">
        <v>1.34</v>
      </c>
      <c r="H19">
        <v>2.13</v>
      </c>
    </row>
    <row r="20" spans="2:8" x14ac:dyDescent="0.2">
      <c r="B20" t="s">
        <v>5</v>
      </c>
      <c r="C20">
        <v>2006</v>
      </c>
      <c r="D20" t="s">
        <v>14</v>
      </c>
      <c r="E20" t="s">
        <v>15</v>
      </c>
      <c r="F20">
        <v>2.83</v>
      </c>
      <c r="G20">
        <v>1.36</v>
      </c>
      <c r="H20">
        <v>2.23</v>
      </c>
    </row>
    <row r="21" spans="2:8" x14ac:dyDescent="0.2">
      <c r="B21" t="s">
        <v>5</v>
      </c>
      <c r="C21">
        <v>2006</v>
      </c>
      <c r="D21" t="s">
        <v>16</v>
      </c>
      <c r="E21" t="s">
        <v>17</v>
      </c>
      <c r="F21">
        <v>2.99</v>
      </c>
      <c r="G21">
        <v>1.45</v>
      </c>
      <c r="H21">
        <v>2.36</v>
      </c>
    </row>
    <row r="22" spans="2:8" x14ac:dyDescent="0.2">
      <c r="B22" t="s">
        <v>5</v>
      </c>
      <c r="C22">
        <v>2006</v>
      </c>
      <c r="D22" t="s">
        <v>18</v>
      </c>
      <c r="E22" t="s">
        <v>19</v>
      </c>
      <c r="F22">
        <v>3.1</v>
      </c>
      <c r="G22">
        <v>1.49</v>
      </c>
      <c r="H22">
        <v>2.4</v>
      </c>
    </row>
    <row r="23" spans="2:8" x14ac:dyDescent="0.2">
      <c r="B23" t="s">
        <v>5</v>
      </c>
      <c r="C23">
        <v>2006</v>
      </c>
      <c r="D23" t="s">
        <v>20</v>
      </c>
      <c r="E23" t="s">
        <v>21</v>
      </c>
      <c r="F23">
        <v>3</v>
      </c>
      <c r="G23">
        <v>1.48</v>
      </c>
      <c r="H23">
        <v>2.36</v>
      </c>
    </row>
    <row r="24" spans="2:8" x14ac:dyDescent="0.2">
      <c r="B24" t="s">
        <v>5</v>
      </c>
      <c r="C24">
        <v>2006</v>
      </c>
      <c r="D24" t="s">
        <v>22</v>
      </c>
      <c r="E24" t="s">
        <v>23</v>
      </c>
      <c r="F24">
        <v>2.78</v>
      </c>
      <c r="G24">
        <v>1.47</v>
      </c>
      <c r="H24">
        <v>2.29</v>
      </c>
    </row>
    <row r="25" spans="2:8" x14ac:dyDescent="0.2">
      <c r="B25" t="s">
        <v>5</v>
      </c>
      <c r="C25">
        <v>2006</v>
      </c>
      <c r="D25" t="s">
        <v>24</v>
      </c>
      <c r="E25" t="s">
        <v>25</v>
      </c>
      <c r="F25">
        <v>2.73</v>
      </c>
      <c r="G25">
        <v>1.45</v>
      </c>
      <c r="H25">
        <v>2.2400000000000002</v>
      </c>
    </row>
    <row r="26" spans="2:8" x14ac:dyDescent="0.2">
      <c r="B26" t="s">
        <v>5</v>
      </c>
      <c r="C26">
        <v>2006</v>
      </c>
      <c r="D26" t="s">
        <v>26</v>
      </c>
      <c r="E26" t="s">
        <v>27</v>
      </c>
      <c r="F26">
        <v>2.73</v>
      </c>
      <c r="G26">
        <v>1.42</v>
      </c>
      <c r="H26">
        <v>2.2000000000000002</v>
      </c>
    </row>
    <row r="27" spans="2:8" x14ac:dyDescent="0.2">
      <c r="B27" t="s">
        <v>5</v>
      </c>
      <c r="C27">
        <v>2006</v>
      </c>
      <c r="D27" t="s">
        <v>28</v>
      </c>
      <c r="E27" t="s">
        <v>29</v>
      </c>
      <c r="F27">
        <v>2.76</v>
      </c>
      <c r="G27">
        <v>1.42</v>
      </c>
      <c r="H27">
        <v>2.23</v>
      </c>
    </row>
    <row r="28" spans="2:8" x14ac:dyDescent="0.2">
      <c r="B28" t="s">
        <v>5</v>
      </c>
      <c r="C28">
        <v>2007</v>
      </c>
      <c r="D28" t="s">
        <v>6</v>
      </c>
      <c r="E28" t="s">
        <v>7</v>
      </c>
      <c r="F28">
        <v>2.68</v>
      </c>
      <c r="G28">
        <v>1.43</v>
      </c>
      <c r="H28">
        <v>2.13</v>
      </c>
    </row>
    <row r="29" spans="2:8" x14ac:dyDescent="0.2">
      <c r="B29" t="s">
        <v>5</v>
      </c>
      <c r="C29">
        <v>2007</v>
      </c>
      <c r="D29" t="s">
        <v>8</v>
      </c>
      <c r="E29" t="s">
        <v>9</v>
      </c>
      <c r="F29">
        <v>2.7</v>
      </c>
      <c r="G29">
        <v>1.42</v>
      </c>
      <c r="H29">
        <v>2.15</v>
      </c>
    </row>
    <row r="30" spans="2:8" x14ac:dyDescent="0.2">
      <c r="B30" t="s">
        <v>5</v>
      </c>
      <c r="C30">
        <v>2007</v>
      </c>
      <c r="D30" t="s">
        <v>10</v>
      </c>
      <c r="E30" t="s">
        <v>11</v>
      </c>
      <c r="F30">
        <v>2.84</v>
      </c>
      <c r="G30">
        <v>1.43</v>
      </c>
      <c r="H30">
        <v>2.21</v>
      </c>
    </row>
    <row r="31" spans="2:8" x14ac:dyDescent="0.2">
      <c r="B31" t="s">
        <v>5</v>
      </c>
      <c r="C31">
        <v>2007</v>
      </c>
      <c r="D31" t="s">
        <v>12</v>
      </c>
      <c r="E31" t="s">
        <v>13</v>
      </c>
      <c r="F31">
        <v>2.91</v>
      </c>
      <c r="G31">
        <v>1.43</v>
      </c>
      <c r="H31">
        <v>2.2599999999999998</v>
      </c>
    </row>
    <row r="32" spans="2:8" x14ac:dyDescent="0.2">
      <c r="B32" t="s">
        <v>5</v>
      </c>
      <c r="C32">
        <v>2007</v>
      </c>
      <c r="D32" t="s">
        <v>14</v>
      </c>
      <c r="E32" t="s">
        <v>15</v>
      </c>
      <c r="F32">
        <v>3</v>
      </c>
      <c r="G32">
        <v>1.45</v>
      </c>
      <c r="H32">
        <v>2.2599999999999998</v>
      </c>
    </row>
    <row r="33" spans="2:8" x14ac:dyDescent="0.2">
      <c r="B33" t="s">
        <v>5</v>
      </c>
      <c r="C33">
        <v>2007</v>
      </c>
      <c r="D33" t="s">
        <v>16</v>
      </c>
      <c r="E33" t="s">
        <v>17</v>
      </c>
      <c r="F33">
        <v>2.9691000000000001</v>
      </c>
      <c r="G33">
        <v>1.4619</v>
      </c>
      <c r="H33">
        <v>2.25</v>
      </c>
    </row>
    <row r="34" spans="2:8" x14ac:dyDescent="0.2">
      <c r="B34" t="s">
        <v>5</v>
      </c>
      <c r="C34">
        <v>2007</v>
      </c>
      <c r="D34" t="s">
        <v>18</v>
      </c>
      <c r="E34" t="s">
        <v>19</v>
      </c>
      <c r="F34">
        <v>2.9178999999999999</v>
      </c>
      <c r="G34">
        <v>1.472</v>
      </c>
      <c r="H34">
        <v>2.2715999999999998</v>
      </c>
    </row>
    <row r="35" spans="2:8" x14ac:dyDescent="0.2">
      <c r="B35" t="s">
        <v>5</v>
      </c>
      <c r="C35">
        <v>2007</v>
      </c>
      <c r="D35" t="s">
        <v>20</v>
      </c>
      <c r="E35" t="s">
        <v>21</v>
      </c>
      <c r="F35">
        <v>2.8730000000000002</v>
      </c>
      <c r="G35">
        <v>1.4843999999999999</v>
      </c>
      <c r="H35">
        <v>2.2799</v>
      </c>
    </row>
    <row r="36" spans="2:8" x14ac:dyDescent="0.2">
      <c r="B36" t="s">
        <v>5</v>
      </c>
      <c r="C36">
        <v>2007</v>
      </c>
      <c r="D36" t="s">
        <v>22</v>
      </c>
      <c r="E36" t="s">
        <v>23</v>
      </c>
      <c r="F36">
        <v>2.8715999999999999</v>
      </c>
      <c r="G36">
        <v>1.4946999999999999</v>
      </c>
      <c r="H36">
        <v>2.3075999999999999</v>
      </c>
    </row>
    <row r="37" spans="2:8" x14ac:dyDescent="0.2">
      <c r="B37" t="s">
        <v>5</v>
      </c>
      <c r="C37">
        <v>2007</v>
      </c>
      <c r="D37" t="s">
        <v>24</v>
      </c>
      <c r="E37" t="s">
        <v>25</v>
      </c>
      <c r="F37">
        <v>2.8426999999999998</v>
      </c>
      <c r="G37">
        <v>1.5124</v>
      </c>
      <c r="H37">
        <v>2.3102</v>
      </c>
    </row>
    <row r="38" spans="2:8" x14ac:dyDescent="0.2">
      <c r="B38" t="s">
        <v>5</v>
      </c>
      <c r="C38">
        <v>2007</v>
      </c>
      <c r="D38" t="s">
        <v>26</v>
      </c>
      <c r="E38" t="s">
        <v>27</v>
      </c>
      <c r="F38">
        <v>3.0893999999999999</v>
      </c>
      <c r="G38">
        <v>1.6666000000000001</v>
      </c>
      <c r="H38">
        <v>2.5535000000000001</v>
      </c>
    </row>
    <row r="39" spans="2:8" x14ac:dyDescent="0.2">
      <c r="B39" t="s">
        <v>5</v>
      </c>
      <c r="C39">
        <v>2007</v>
      </c>
      <c r="D39" t="s">
        <v>28</v>
      </c>
      <c r="E39" t="s">
        <v>29</v>
      </c>
      <c r="F39">
        <v>3.0592000000000001</v>
      </c>
      <c r="G39">
        <v>1.7371000000000001</v>
      </c>
      <c r="H39">
        <v>2.5211000000000001</v>
      </c>
    </row>
    <row r="40" spans="2:8" x14ac:dyDescent="0.2">
      <c r="B40" t="s">
        <v>5</v>
      </c>
      <c r="C40">
        <v>2008</v>
      </c>
      <c r="D40" t="s">
        <v>6</v>
      </c>
      <c r="E40" t="s">
        <v>7</v>
      </c>
      <c r="F40">
        <v>3.09</v>
      </c>
      <c r="G40">
        <v>1.7350000000000001</v>
      </c>
      <c r="H40">
        <v>2.5183</v>
      </c>
    </row>
    <row r="41" spans="2:8" x14ac:dyDescent="0.2">
      <c r="B41" t="s">
        <v>5</v>
      </c>
      <c r="C41">
        <v>2008</v>
      </c>
      <c r="D41" t="s">
        <v>8</v>
      </c>
      <c r="E41" t="s">
        <v>9</v>
      </c>
      <c r="F41">
        <v>3.1179999999999999</v>
      </c>
      <c r="G41">
        <v>1.716</v>
      </c>
      <c r="H41">
        <v>2.5985999999999998</v>
      </c>
    </row>
    <row r="42" spans="2:8" x14ac:dyDescent="0.2">
      <c r="B42" t="s">
        <v>5</v>
      </c>
      <c r="C42">
        <v>2008</v>
      </c>
      <c r="D42" t="s">
        <v>10</v>
      </c>
      <c r="E42" t="s">
        <v>11</v>
      </c>
      <c r="F42">
        <v>3.2101999999999999</v>
      </c>
      <c r="G42">
        <v>1.7353000000000001</v>
      </c>
      <c r="H42">
        <v>2.7814999999999999</v>
      </c>
    </row>
    <row r="43" spans="2:8" x14ac:dyDescent="0.2">
      <c r="B43" t="s">
        <v>5</v>
      </c>
      <c r="C43">
        <v>2008</v>
      </c>
      <c r="D43" t="s">
        <v>12</v>
      </c>
      <c r="E43" t="s">
        <v>13</v>
      </c>
      <c r="F43">
        <v>3.3483999999999998</v>
      </c>
      <c r="G43">
        <v>1.7698</v>
      </c>
      <c r="H43">
        <v>2.9352999999999998</v>
      </c>
    </row>
    <row r="44" spans="2:8" x14ac:dyDescent="0.2">
      <c r="B44" t="s">
        <v>5</v>
      </c>
      <c r="C44">
        <v>2008</v>
      </c>
      <c r="D44" t="s">
        <v>14</v>
      </c>
      <c r="E44" t="s">
        <v>15</v>
      </c>
      <c r="F44">
        <v>3.4243999999999999</v>
      </c>
      <c r="G44">
        <v>1.7868999999999999</v>
      </c>
      <c r="H44">
        <v>3.0992000000000002</v>
      </c>
    </row>
    <row r="45" spans="2:8" x14ac:dyDescent="0.2">
      <c r="B45" t="s">
        <v>5</v>
      </c>
      <c r="C45">
        <v>2008</v>
      </c>
      <c r="D45" t="s">
        <v>16</v>
      </c>
      <c r="E45" t="s">
        <v>17</v>
      </c>
      <c r="F45">
        <v>3.5165999999999999</v>
      </c>
      <c r="G45">
        <v>1.8378000000000001</v>
      </c>
      <c r="H45">
        <v>3.1682999999999999</v>
      </c>
    </row>
    <row r="46" spans="2:8" x14ac:dyDescent="0.2">
      <c r="B46" t="s">
        <v>5</v>
      </c>
      <c r="C46">
        <v>2008</v>
      </c>
      <c r="D46" t="s">
        <v>18</v>
      </c>
      <c r="E46" t="s">
        <v>19</v>
      </c>
      <c r="F46">
        <v>3.5053000000000001</v>
      </c>
      <c r="G46">
        <v>1.9005000000000001</v>
      </c>
      <c r="H46">
        <v>3.1871</v>
      </c>
    </row>
    <row r="47" spans="2:8" x14ac:dyDescent="0.2">
      <c r="B47" t="s">
        <v>5</v>
      </c>
      <c r="C47">
        <v>2008</v>
      </c>
      <c r="D47" t="s">
        <v>20</v>
      </c>
      <c r="E47" t="s">
        <v>21</v>
      </c>
      <c r="F47">
        <v>3.3119000000000001</v>
      </c>
      <c r="G47">
        <v>1.8325</v>
      </c>
      <c r="H47">
        <v>2.8776999999999999</v>
      </c>
    </row>
    <row r="48" spans="2:8" x14ac:dyDescent="0.2">
      <c r="B48" t="s">
        <v>5</v>
      </c>
      <c r="C48">
        <v>2008</v>
      </c>
      <c r="D48" t="s">
        <v>22</v>
      </c>
      <c r="E48" t="s">
        <v>23</v>
      </c>
      <c r="F48">
        <v>3.2721</v>
      </c>
      <c r="G48">
        <v>1.8434999999999999</v>
      </c>
      <c r="H48">
        <v>2.8277000000000001</v>
      </c>
    </row>
    <row r="49" spans="2:8" x14ac:dyDescent="0.2">
      <c r="B49" t="s">
        <v>5</v>
      </c>
      <c r="C49">
        <v>2008</v>
      </c>
      <c r="D49" t="s">
        <v>24</v>
      </c>
      <c r="E49" t="s">
        <v>25</v>
      </c>
      <c r="F49">
        <v>3.1459000000000001</v>
      </c>
      <c r="G49">
        <v>1.8711</v>
      </c>
      <c r="H49">
        <v>2.7637</v>
      </c>
    </row>
    <row r="50" spans="2:8" x14ac:dyDescent="0.2">
      <c r="B50" t="s">
        <v>5</v>
      </c>
      <c r="C50">
        <v>2008</v>
      </c>
      <c r="D50" t="s">
        <v>26</v>
      </c>
      <c r="E50" t="s">
        <v>27</v>
      </c>
      <c r="F50">
        <v>2.9897999999999998</v>
      </c>
      <c r="G50">
        <v>1.7775000000000001</v>
      </c>
      <c r="H50">
        <v>2.7048999999999999</v>
      </c>
    </row>
    <row r="51" spans="2:8" x14ac:dyDescent="0.2">
      <c r="B51" t="s">
        <v>5</v>
      </c>
      <c r="C51">
        <v>2008</v>
      </c>
      <c r="D51" t="s">
        <v>28</v>
      </c>
      <c r="E51" t="s">
        <v>29</v>
      </c>
      <c r="F51">
        <v>2.7801</v>
      </c>
      <c r="G51">
        <v>1.5998000000000001</v>
      </c>
      <c r="H51">
        <v>2.4373</v>
      </c>
    </row>
    <row r="52" spans="2:8" x14ac:dyDescent="0.2">
      <c r="B52" t="s">
        <v>30</v>
      </c>
      <c r="C52" t="s">
        <v>31</v>
      </c>
      <c r="D52" t="s">
        <v>6</v>
      </c>
      <c r="E52" t="s">
        <v>7</v>
      </c>
      <c r="F52">
        <v>2.8197000000000001</v>
      </c>
      <c r="G52">
        <v>1.5895999999999999</v>
      </c>
      <c r="H52">
        <v>2.3618999999999999</v>
      </c>
    </row>
    <row r="53" spans="2:8" x14ac:dyDescent="0.2">
      <c r="B53" t="s">
        <v>30</v>
      </c>
      <c r="C53" t="s">
        <v>31</v>
      </c>
      <c r="D53" t="s">
        <v>8</v>
      </c>
      <c r="E53" t="s">
        <v>9</v>
      </c>
      <c r="F53">
        <v>2.8839999999999999</v>
      </c>
      <c r="G53">
        <v>1.7056</v>
      </c>
      <c r="H53">
        <v>2.2906</v>
      </c>
    </row>
    <row r="54" spans="2:8" x14ac:dyDescent="0.2">
      <c r="B54" t="s">
        <v>30</v>
      </c>
      <c r="C54" t="s">
        <v>31</v>
      </c>
      <c r="D54" t="s">
        <v>10</v>
      </c>
      <c r="E54" t="s">
        <v>11</v>
      </c>
      <c r="F54">
        <v>2.9378000000000002</v>
      </c>
      <c r="G54">
        <v>1.7036</v>
      </c>
      <c r="H54">
        <v>2.2964000000000002</v>
      </c>
    </row>
    <row r="55" spans="2:8" x14ac:dyDescent="0.2">
      <c r="B55" t="s">
        <v>30</v>
      </c>
      <c r="C55" t="s">
        <v>31</v>
      </c>
      <c r="D55" t="s">
        <v>12</v>
      </c>
      <c r="E55" t="s">
        <v>13</v>
      </c>
      <c r="F55">
        <v>2.9944999999999999</v>
      </c>
      <c r="G55">
        <v>1.5732999999999999</v>
      </c>
      <c r="H55">
        <v>2.3662000000000001</v>
      </c>
    </row>
    <row r="56" spans="2:8" x14ac:dyDescent="0.2">
      <c r="B56" t="s">
        <v>30</v>
      </c>
      <c r="C56" t="s">
        <v>31</v>
      </c>
      <c r="D56" t="s">
        <v>14</v>
      </c>
      <c r="E56" t="s">
        <v>15</v>
      </c>
      <c r="F56">
        <v>3.0912999999999999</v>
      </c>
      <c r="G56">
        <v>1.54</v>
      </c>
      <c r="H56">
        <v>2.3693</v>
      </c>
    </row>
    <row r="57" spans="2:8" x14ac:dyDescent="0.2">
      <c r="B57" t="s">
        <v>30</v>
      </c>
      <c r="C57" t="s">
        <v>31</v>
      </c>
      <c r="D57" t="s">
        <v>16</v>
      </c>
      <c r="E57" t="s">
        <v>17</v>
      </c>
      <c r="F57">
        <v>3.2075</v>
      </c>
      <c r="G57">
        <v>1.6137999999999999</v>
      </c>
      <c r="H57">
        <v>2.4620000000000002</v>
      </c>
    </row>
    <row r="58" spans="2:8" x14ac:dyDescent="0.2">
      <c r="B58" t="s">
        <v>30</v>
      </c>
      <c r="C58" t="s">
        <v>31</v>
      </c>
      <c r="D58" t="s">
        <v>18</v>
      </c>
      <c r="E58" t="s">
        <v>19</v>
      </c>
      <c r="F58">
        <v>3.1080000000000001</v>
      </c>
      <c r="G58">
        <v>1.6584000000000001</v>
      </c>
      <c r="H58">
        <v>2.3822000000000001</v>
      </c>
    </row>
    <row r="59" spans="2:8" x14ac:dyDescent="0.2">
      <c r="B59" t="s">
        <v>30</v>
      </c>
      <c r="C59" t="s">
        <v>31</v>
      </c>
      <c r="D59" t="s">
        <v>20</v>
      </c>
      <c r="E59" t="s">
        <v>21</v>
      </c>
      <c r="F59">
        <v>3.3010999999999999</v>
      </c>
      <c r="G59">
        <v>1.6738</v>
      </c>
      <c r="H59">
        <v>2.5396000000000001</v>
      </c>
    </row>
    <row r="60" spans="2:8" x14ac:dyDescent="0.2">
      <c r="B60" t="s">
        <v>30</v>
      </c>
      <c r="C60" t="s">
        <v>31</v>
      </c>
      <c r="D60" t="s">
        <v>22</v>
      </c>
      <c r="E60" t="s">
        <v>23</v>
      </c>
      <c r="F60">
        <v>3.2747999999999999</v>
      </c>
      <c r="G60">
        <v>1.7191000000000001</v>
      </c>
      <c r="H60">
        <v>2.5482999999999998</v>
      </c>
    </row>
    <row r="61" spans="2:8" x14ac:dyDescent="0.2">
      <c r="B61" t="s">
        <v>30</v>
      </c>
      <c r="C61" t="s">
        <v>31</v>
      </c>
      <c r="D61" t="s">
        <v>24</v>
      </c>
      <c r="E61" t="s">
        <v>25</v>
      </c>
      <c r="F61">
        <v>3.2945000000000002</v>
      </c>
      <c r="G61">
        <v>1.7178</v>
      </c>
      <c r="H61">
        <v>2.6034999999999999</v>
      </c>
    </row>
    <row r="62" spans="2:8" x14ac:dyDescent="0.2">
      <c r="B62" t="s">
        <v>30</v>
      </c>
      <c r="C62" t="s">
        <v>31</v>
      </c>
      <c r="D62" t="s">
        <v>26</v>
      </c>
      <c r="E62" t="s">
        <v>27</v>
      </c>
      <c r="F62">
        <v>3.3650000000000002</v>
      </c>
      <c r="G62">
        <v>1.7850999999999999</v>
      </c>
      <c r="H62">
        <v>2.69</v>
      </c>
    </row>
    <row r="63" spans="2:8" x14ac:dyDescent="0.2">
      <c r="B63" t="s">
        <v>30</v>
      </c>
      <c r="C63" t="s">
        <v>31</v>
      </c>
      <c r="D63" t="s">
        <v>28</v>
      </c>
      <c r="E63" t="s">
        <v>29</v>
      </c>
      <c r="F63">
        <v>3.3729</v>
      </c>
      <c r="G63">
        <v>1.8331</v>
      </c>
      <c r="H63">
        <v>2.6772</v>
      </c>
    </row>
    <row r="64" spans="2:8" x14ac:dyDescent="0.2">
      <c r="B64" t="s">
        <v>30</v>
      </c>
      <c r="C64" t="s">
        <v>32</v>
      </c>
      <c r="D64" t="s">
        <v>6</v>
      </c>
      <c r="E64" t="s">
        <v>7</v>
      </c>
      <c r="F64">
        <v>3.6613000000000002</v>
      </c>
      <c r="G64">
        <v>1.9759</v>
      </c>
      <c r="H64">
        <v>3.0192000000000001</v>
      </c>
    </row>
    <row r="65" spans="2:8" x14ac:dyDescent="0.2">
      <c r="B65" t="s">
        <v>30</v>
      </c>
      <c r="C65" t="s">
        <v>32</v>
      </c>
      <c r="D65" t="s">
        <v>8</v>
      </c>
      <c r="E65" t="s">
        <v>9</v>
      </c>
      <c r="F65">
        <v>3.6579999999999999</v>
      </c>
      <c r="G65">
        <v>2.0434000000000001</v>
      </c>
      <c r="H65">
        <v>3.0049999999999999</v>
      </c>
    </row>
    <row r="66" spans="2:8" x14ac:dyDescent="0.2">
      <c r="B66" t="s">
        <v>30</v>
      </c>
      <c r="C66" t="s">
        <v>32</v>
      </c>
      <c r="D66" t="s">
        <v>10</v>
      </c>
      <c r="E66" t="s">
        <v>11</v>
      </c>
      <c r="F66">
        <v>3.7458999999999998</v>
      </c>
      <c r="G66">
        <v>2.0253000000000001</v>
      </c>
      <c r="H66">
        <v>3.0838000000000001</v>
      </c>
    </row>
    <row r="67" spans="2:8" x14ac:dyDescent="0.2">
      <c r="B67" t="s">
        <v>30</v>
      </c>
      <c r="C67" t="s">
        <v>32</v>
      </c>
      <c r="D67" t="s">
        <v>12</v>
      </c>
      <c r="E67" t="s">
        <v>13</v>
      </c>
      <c r="F67">
        <v>3.7625999999999999</v>
      </c>
      <c r="G67">
        <v>1.9622999999999999</v>
      </c>
      <c r="H67">
        <v>3.1057999999999999</v>
      </c>
    </row>
    <row r="68" spans="2:8" x14ac:dyDescent="0.2">
      <c r="B68" t="s">
        <v>30</v>
      </c>
      <c r="C68" t="s">
        <v>32</v>
      </c>
      <c r="D68" t="s">
        <v>14</v>
      </c>
      <c r="E68" t="s">
        <v>15</v>
      </c>
      <c r="F68">
        <v>3.7094</v>
      </c>
      <c r="G68">
        <v>1.9619</v>
      </c>
      <c r="H68">
        <v>3.0792000000000002</v>
      </c>
    </row>
    <row r="69" spans="2:8" x14ac:dyDescent="0.2">
      <c r="B69" t="s">
        <v>30</v>
      </c>
      <c r="C69" t="s">
        <v>32</v>
      </c>
      <c r="D69" t="s">
        <v>16</v>
      </c>
      <c r="E69" t="s">
        <v>17</v>
      </c>
      <c r="F69">
        <v>3.6732</v>
      </c>
      <c r="G69">
        <v>1.9349000000000001</v>
      </c>
      <c r="H69">
        <v>3.0737999999999999</v>
      </c>
    </row>
    <row r="70" spans="2:8" x14ac:dyDescent="0.2">
      <c r="B70" t="s">
        <v>30</v>
      </c>
      <c r="C70" t="s">
        <v>32</v>
      </c>
      <c r="D70" t="s">
        <v>18</v>
      </c>
      <c r="E70" t="s">
        <v>19</v>
      </c>
      <c r="F70">
        <v>3.6747000000000001</v>
      </c>
      <c r="G70">
        <v>1.9525999999999999</v>
      </c>
      <c r="H70">
        <v>3.0251999999999999</v>
      </c>
    </row>
    <row r="71" spans="2:8" x14ac:dyDescent="0.2">
      <c r="B71" t="s">
        <v>30</v>
      </c>
      <c r="C71" t="s">
        <v>32</v>
      </c>
      <c r="D71" t="s">
        <v>20</v>
      </c>
      <c r="E71" t="s">
        <v>21</v>
      </c>
      <c r="F71">
        <v>3.6440000000000001</v>
      </c>
      <c r="G71">
        <v>1.9229000000000001</v>
      </c>
      <c r="H71">
        <v>3.0712000000000002</v>
      </c>
    </row>
    <row r="72" spans="2:8" x14ac:dyDescent="0.2">
      <c r="B72" t="s">
        <v>30</v>
      </c>
      <c r="C72" t="s">
        <v>32</v>
      </c>
      <c r="D72" t="s">
        <v>22</v>
      </c>
      <c r="E72" t="s">
        <v>23</v>
      </c>
      <c r="F72">
        <v>3.6573000000000002</v>
      </c>
      <c r="G72">
        <v>1.976</v>
      </c>
      <c r="H72">
        <v>3.0623</v>
      </c>
    </row>
    <row r="73" spans="2:8" x14ac:dyDescent="0.2">
      <c r="B73" t="s">
        <v>30</v>
      </c>
      <c r="C73" t="s">
        <v>32</v>
      </c>
      <c r="D73" t="s">
        <v>24</v>
      </c>
      <c r="E73" t="s">
        <v>25</v>
      </c>
      <c r="F73">
        <v>3.6894</v>
      </c>
      <c r="G73">
        <v>1.9752000000000001</v>
      </c>
      <c r="H73">
        <v>3.0737999999999999</v>
      </c>
    </row>
    <row r="74" spans="2:8" x14ac:dyDescent="0.2">
      <c r="B74" t="s">
        <v>30</v>
      </c>
      <c r="C74" t="s">
        <v>32</v>
      </c>
      <c r="D74" t="s">
        <v>26</v>
      </c>
      <c r="E74" t="s">
        <v>27</v>
      </c>
      <c r="F74">
        <v>3.7025000000000001</v>
      </c>
      <c r="G74">
        <v>2.0827</v>
      </c>
      <c r="H74">
        <v>3.1097999999999999</v>
      </c>
    </row>
    <row r="75" spans="2:8" x14ac:dyDescent="0.2">
      <c r="B75" t="s">
        <v>30</v>
      </c>
      <c r="C75" t="s">
        <v>32</v>
      </c>
      <c r="D75" t="s">
        <v>28</v>
      </c>
      <c r="E75" t="s">
        <v>29</v>
      </c>
      <c r="F75">
        <v>3.8380999999999998</v>
      </c>
      <c r="G75">
        <v>2.2667999999999999</v>
      </c>
      <c r="H75">
        <v>3.2452999999999999</v>
      </c>
    </row>
    <row r="76" spans="2:8" x14ac:dyDescent="0.2">
      <c r="B76" t="s">
        <v>30</v>
      </c>
      <c r="C76" t="s">
        <v>33</v>
      </c>
      <c r="D76" t="s">
        <v>6</v>
      </c>
      <c r="E76" t="s">
        <v>7</v>
      </c>
      <c r="F76">
        <v>3.9439000000000002</v>
      </c>
      <c r="G76">
        <v>2.2429999999999999</v>
      </c>
      <c r="H76">
        <v>3.3435000000000001</v>
      </c>
    </row>
    <row r="77" spans="2:8" x14ac:dyDescent="0.2">
      <c r="B77" t="s">
        <v>30</v>
      </c>
      <c r="C77" t="s">
        <v>33</v>
      </c>
      <c r="D77" t="s">
        <v>8</v>
      </c>
      <c r="E77" t="s">
        <v>9</v>
      </c>
      <c r="F77">
        <v>3.9801000000000002</v>
      </c>
      <c r="G77">
        <v>2.2160000000000002</v>
      </c>
      <c r="H77">
        <v>3.4278</v>
      </c>
    </row>
    <row r="78" spans="2:8" x14ac:dyDescent="0.2">
      <c r="B78" t="s">
        <v>30</v>
      </c>
      <c r="C78" t="s">
        <v>33</v>
      </c>
      <c r="D78" t="s">
        <v>10</v>
      </c>
      <c r="E78" t="s">
        <v>11</v>
      </c>
      <c r="F78">
        <v>4.0888999999999998</v>
      </c>
      <c r="G78">
        <v>2.2376999999999998</v>
      </c>
      <c r="H78">
        <v>3.6514000000000002</v>
      </c>
    </row>
    <row r="79" spans="2:8" x14ac:dyDescent="0.2">
      <c r="B79" t="s">
        <v>30</v>
      </c>
      <c r="C79" t="s">
        <v>33</v>
      </c>
      <c r="D79" t="s">
        <v>12</v>
      </c>
      <c r="E79" t="s">
        <v>13</v>
      </c>
      <c r="F79">
        <v>4.1749000000000001</v>
      </c>
      <c r="G79">
        <v>2.2610999999999999</v>
      </c>
      <c r="H79">
        <v>3.6069</v>
      </c>
    </row>
    <row r="80" spans="2:8" x14ac:dyDescent="0.2">
      <c r="B80" t="s">
        <v>30</v>
      </c>
      <c r="C80" t="s">
        <v>33</v>
      </c>
      <c r="D80" t="s">
        <v>14</v>
      </c>
      <c r="E80" t="s">
        <v>15</v>
      </c>
      <c r="F80">
        <v>4.2191999999999998</v>
      </c>
      <c r="G80">
        <v>2.3458999999999999</v>
      </c>
      <c r="H80">
        <v>3.5470000000000002</v>
      </c>
    </row>
    <row r="81" spans="2:8" x14ac:dyDescent="0.2">
      <c r="B81" t="s">
        <v>30</v>
      </c>
      <c r="C81" t="s">
        <v>33</v>
      </c>
      <c r="D81" t="s">
        <v>16</v>
      </c>
      <c r="E81" t="s">
        <v>17</v>
      </c>
      <c r="F81">
        <v>4.1928000000000001</v>
      </c>
      <c r="G81">
        <v>2.2810999999999999</v>
      </c>
      <c r="H81">
        <v>3.6198999999999999</v>
      </c>
    </row>
    <row r="82" spans="2:8" x14ac:dyDescent="0.2">
      <c r="B82" t="s">
        <v>30</v>
      </c>
      <c r="C82" t="s">
        <v>33</v>
      </c>
      <c r="D82" t="s">
        <v>18</v>
      </c>
      <c r="E82" t="s">
        <v>19</v>
      </c>
      <c r="F82">
        <v>4.2729999999999997</v>
      </c>
      <c r="G82">
        <v>2.2591000000000001</v>
      </c>
      <c r="H82">
        <v>3.7008999999999999</v>
      </c>
    </row>
    <row r="83" spans="2:8" x14ac:dyDescent="0.2">
      <c r="B83" t="s">
        <v>30</v>
      </c>
      <c r="C83" t="s">
        <v>33</v>
      </c>
      <c r="D83" t="s">
        <v>20</v>
      </c>
      <c r="E83" t="s">
        <v>21</v>
      </c>
      <c r="F83">
        <v>4.3383000000000003</v>
      </c>
      <c r="G83">
        <v>2.3714</v>
      </c>
      <c r="H83">
        <v>3.7625000000000002</v>
      </c>
    </row>
    <row r="84" spans="2:8" x14ac:dyDescent="0.2">
      <c r="B84" t="s">
        <v>30</v>
      </c>
      <c r="C84" t="s">
        <v>33</v>
      </c>
      <c r="D84" t="s">
        <v>22</v>
      </c>
      <c r="E84" t="s">
        <v>23</v>
      </c>
      <c r="F84">
        <v>4.3784999999999998</v>
      </c>
      <c r="G84">
        <v>2.3908</v>
      </c>
      <c r="H84">
        <v>3.8008999999999999</v>
      </c>
    </row>
    <row r="85" spans="2:8" x14ac:dyDescent="0.2">
      <c r="B85" t="s">
        <v>30</v>
      </c>
      <c r="C85" t="s">
        <v>33</v>
      </c>
      <c r="D85" t="s">
        <v>24</v>
      </c>
      <c r="E85" t="s">
        <v>25</v>
      </c>
      <c r="F85">
        <v>4.3284000000000002</v>
      </c>
      <c r="G85">
        <v>2.3946999999999998</v>
      </c>
      <c r="H85">
        <v>3.8500999999999999</v>
      </c>
    </row>
    <row r="86" spans="2:8" x14ac:dyDescent="0.2">
      <c r="B86" t="s">
        <v>30</v>
      </c>
      <c r="C86" t="s">
        <v>33</v>
      </c>
      <c r="D86" t="s">
        <v>26</v>
      </c>
      <c r="E86" t="s">
        <v>27</v>
      </c>
      <c r="F86">
        <v>4.2538999999999998</v>
      </c>
      <c r="G86">
        <v>2.3169</v>
      </c>
      <c r="H86">
        <v>3.8332000000000002</v>
      </c>
    </row>
    <row r="87" spans="2:8" x14ac:dyDescent="0.2">
      <c r="B87" t="s">
        <v>30</v>
      </c>
      <c r="C87" t="s">
        <v>33</v>
      </c>
      <c r="D87" t="s">
        <v>28</v>
      </c>
      <c r="E87" t="s">
        <v>29</v>
      </c>
      <c r="F87">
        <v>4.2515000000000001</v>
      </c>
      <c r="G87">
        <v>2.3424</v>
      </c>
      <c r="H87">
        <v>3.8525</v>
      </c>
    </row>
    <row r="88" spans="2:8" x14ac:dyDescent="0.2">
      <c r="B88" t="s">
        <v>30</v>
      </c>
      <c r="C88" t="s">
        <v>34</v>
      </c>
      <c r="D88" t="s">
        <v>6</v>
      </c>
      <c r="E88" t="s">
        <v>7</v>
      </c>
      <c r="F88">
        <v>4.3657000000000004</v>
      </c>
      <c r="G88">
        <v>2.4451000000000001</v>
      </c>
      <c r="H88">
        <v>3.8927</v>
      </c>
    </row>
    <row r="89" spans="2:8" x14ac:dyDescent="0.2">
      <c r="B89" t="s">
        <v>30</v>
      </c>
      <c r="C89" t="s">
        <v>34</v>
      </c>
      <c r="D89" t="s">
        <v>8</v>
      </c>
      <c r="E89" t="s">
        <v>9</v>
      </c>
      <c r="F89">
        <v>4.3952999999999998</v>
      </c>
      <c r="G89">
        <v>2.5064000000000002</v>
      </c>
      <c r="H89">
        <v>3.8772000000000002</v>
      </c>
    </row>
    <row r="90" spans="2:8" x14ac:dyDescent="0.2">
      <c r="B90" t="s">
        <v>30</v>
      </c>
      <c r="C90" t="s">
        <v>34</v>
      </c>
      <c r="D90" t="s">
        <v>10</v>
      </c>
      <c r="E90" t="s">
        <v>11</v>
      </c>
      <c r="F90">
        <v>4.5639000000000003</v>
      </c>
      <c r="G90">
        <v>2.6505999999999998</v>
      </c>
      <c r="H90">
        <v>3.9937</v>
      </c>
    </row>
    <row r="91" spans="2:8" x14ac:dyDescent="0.2">
      <c r="B91" t="s">
        <v>30</v>
      </c>
      <c r="C91" t="s">
        <v>34</v>
      </c>
      <c r="D91" t="s">
        <v>12</v>
      </c>
      <c r="E91" t="s">
        <v>13</v>
      </c>
      <c r="F91">
        <v>4.6788999999999996</v>
      </c>
      <c r="G91">
        <v>2.5118999999999998</v>
      </c>
      <c r="H91">
        <v>3.9996999999999998</v>
      </c>
    </row>
    <row r="92" spans="2:8" x14ac:dyDescent="0.2">
      <c r="B92" t="s">
        <v>30</v>
      </c>
      <c r="C92" t="s">
        <v>34</v>
      </c>
      <c r="D92" t="s">
        <v>14</v>
      </c>
      <c r="E92" t="s">
        <v>15</v>
      </c>
      <c r="F92">
        <v>4.3547000000000002</v>
      </c>
      <c r="G92">
        <v>2.4142000000000001</v>
      </c>
      <c r="H92">
        <v>3.851</v>
      </c>
    </row>
    <row r="93" spans="2:8" x14ac:dyDescent="0.2">
      <c r="B93" t="s">
        <v>30</v>
      </c>
      <c r="C93" t="s">
        <v>34</v>
      </c>
      <c r="D93" t="s">
        <v>16</v>
      </c>
      <c r="E93" t="s">
        <v>17</v>
      </c>
      <c r="F93">
        <v>4.2382999999999997</v>
      </c>
      <c r="G93">
        <v>2.1816</v>
      </c>
      <c r="H93">
        <v>3.7385999999999999</v>
      </c>
    </row>
    <row r="94" spans="2:8" x14ac:dyDescent="0.2">
      <c r="B94" t="s">
        <v>30</v>
      </c>
      <c r="C94" t="s">
        <v>34</v>
      </c>
      <c r="D94" t="s">
        <v>18</v>
      </c>
      <c r="E94" t="s">
        <v>19</v>
      </c>
      <c r="F94">
        <v>4.3085000000000004</v>
      </c>
      <c r="G94">
        <v>2.0661999999999998</v>
      </c>
      <c r="H94">
        <v>3.7976999999999999</v>
      </c>
    </row>
    <row r="95" spans="2:8" x14ac:dyDescent="0.2">
      <c r="B95" t="s">
        <v>30</v>
      </c>
      <c r="C95" t="s">
        <v>34</v>
      </c>
      <c r="D95" t="s">
        <v>20</v>
      </c>
      <c r="E95" t="s">
        <v>21</v>
      </c>
      <c r="F95">
        <v>4.4861000000000004</v>
      </c>
      <c r="G95">
        <v>2.2713000000000001</v>
      </c>
      <c r="H95">
        <v>3.9352</v>
      </c>
    </row>
    <row r="96" spans="2:8" x14ac:dyDescent="0.2">
      <c r="B96" t="s">
        <v>30</v>
      </c>
      <c r="C96" t="s">
        <v>34</v>
      </c>
      <c r="D96" t="s">
        <v>22</v>
      </c>
      <c r="E96" t="s">
        <v>23</v>
      </c>
      <c r="F96">
        <v>4.6022999999999996</v>
      </c>
      <c r="G96">
        <v>2.5169999999999999</v>
      </c>
      <c r="H96">
        <v>4.0837000000000003</v>
      </c>
    </row>
    <row r="97" spans="2:8" x14ac:dyDescent="0.2">
      <c r="B97" t="s">
        <v>30</v>
      </c>
      <c r="C97" t="s">
        <v>34</v>
      </c>
      <c r="D97" t="s">
        <v>24</v>
      </c>
      <c r="E97" t="s">
        <v>25</v>
      </c>
      <c r="F97">
        <v>4.8052999999999999</v>
      </c>
      <c r="G97">
        <v>2.7082000000000002</v>
      </c>
      <c r="H97">
        <v>4.3540999999999999</v>
      </c>
    </row>
    <row r="98" spans="2:8" x14ac:dyDescent="0.2">
      <c r="B98" t="s">
        <v>30</v>
      </c>
      <c r="C98" t="s">
        <v>34</v>
      </c>
      <c r="D98" t="s">
        <v>26</v>
      </c>
      <c r="E98" t="s">
        <v>27</v>
      </c>
      <c r="F98">
        <v>4.6064999999999996</v>
      </c>
      <c r="G98">
        <v>2.7681</v>
      </c>
      <c r="H98">
        <v>4.2096</v>
      </c>
    </row>
    <row r="99" spans="2:8" x14ac:dyDescent="0.2">
      <c r="B99" t="s">
        <v>30</v>
      </c>
      <c r="C99" t="s">
        <v>34</v>
      </c>
      <c r="D99" t="s">
        <v>28</v>
      </c>
      <c r="E99" t="s">
        <v>29</v>
      </c>
      <c r="F99">
        <v>4.6216999999999997</v>
      </c>
      <c r="G99">
        <v>2.7159</v>
      </c>
      <c r="H99">
        <v>4.2022000000000004</v>
      </c>
    </row>
    <row r="100" spans="2:8" x14ac:dyDescent="0.2">
      <c r="B100" t="s">
        <v>30</v>
      </c>
      <c r="C100" t="s">
        <v>35</v>
      </c>
      <c r="D100" t="s">
        <v>6</v>
      </c>
      <c r="E100" t="s">
        <v>7</v>
      </c>
      <c r="F100">
        <v>4.6924999999999999</v>
      </c>
      <c r="G100">
        <v>2.6255000000000002</v>
      </c>
      <c r="H100">
        <v>4.2301000000000002</v>
      </c>
    </row>
    <row r="101" spans="2:8" x14ac:dyDescent="0.2">
      <c r="B101" t="s">
        <v>30</v>
      </c>
      <c r="C101" t="s">
        <v>35</v>
      </c>
      <c r="D101" t="s">
        <v>8</v>
      </c>
      <c r="E101" t="s">
        <v>9</v>
      </c>
      <c r="F101">
        <v>4.8579999999999997</v>
      </c>
      <c r="G101">
        <v>2.62</v>
      </c>
      <c r="H101">
        <v>4.2972000000000001</v>
      </c>
    </row>
    <row r="102" spans="2:8" x14ac:dyDescent="0.2">
      <c r="B102" t="s">
        <v>30</v>
      </c>
      <c r="C102" t="s">
        <v>35</v>
      </c>
      <c r="D102" t="s">
        <v>10</v>
      </c>
      <c r="E102" t="s">
        <v>11</v>
      </c>
      <c r="F102">
        <v>4.7709999999999999</v>
      </c>
      <c r="G102">
        <v>2.617</v>
      </c>
      <c r="H102">
        <v>4.2769000000000004</v>
      </c>
    </row>
    <row r="103" spans="2:8" x14ac:dyDescent="0.2">
      <c r="B103" t="s">
        <v>30</v>
      </c>
      <c r="C103" t="s">
        <v>35</v>
      </c>
      <c r="D103" t="s">
        <v>12</v>
      </c>
      <c r="E103" t="s">
        <v>13</v>
      </c>
      <c r="F103">
        <v>4.6448999999999998</v>
      </c>
      <c r="G103">
        <v>2.5179999999999998</v>
      </c>
      <c r="H103">
        <v>4.1581999999999999</v>
      </c>
    </row>
    <row r="104" spans="2:8" x14ac:dyDescent="0.2">
      <c r="B104" t="s">
        <v>30</v>
      </c>
      <c r="C104" t="s">
        <v>35</v>
      </c>
      <c r="D104" t="s">
        <v>14</v>
      </c>
      <c r="E104" t="s">
        <v>15</v>
      </c>
      <c r="F104">
        <v>4.6416000000000004</v>
      </c>
      <c r="G104">
        <v>2.4009</v>
      </c>
      <c r="H104">
        <v>4.1535000000000002</v>
      </c>
    </row>
    <row r="105" spans="2:8" x14ac:dyDescent="0.2">
      <c r="B105" t="s">
        <v>30</v>
      </c>
      <c r="C105" t="s">
        <v>35</v>
      </c>
      <c r="D105" t="s">
        <v>16</v>
      </c>
      <c r="E105" t="s">
        <v>17</v>
      </c>
      <c r="F105">
        <v>4.7366999999999999</v>
      </c>
      <c r="G105">
        <v>2.4563999999999999</v>
      </c>
      <c r="H105">
        <v>4.2526999999999999</v>
      </c>
    </row>
    <row r="106" spans="2:8" x14ac:dyDescent="0.2">
      <c r="B106" t="s">
        <v>30</v>
      </c>
      <c r="C106" t="s">
        <v>35</v>
      </c>
      <c r="D106" t="s">
        <v>18</v>
      </c>
      <c r="E106" t="s">
        <v>19</v>
      </c>
      <c r="F106">
        <v>4.8602999999999996</v>
      </c>
      <c r="G106">
        <v>2.5586000000000002</v>
      </c>
      <c r="H106">
        <v>4.3585000000000003</v>
      </c>
    </row>
    <row r="107" spans="2:8" x14ac:dyDescent="0.2">
      <c r="B107" t="s">
        <v>30</v>
      </c>
      <c r="C107" t="s">
        <v>35</v>
      </c>
      <c r="D107" t="s">
        <v>20</v>
      </c>
      <c r="E107" t="s">
        <v>21</v>
      </c>
      <c r="F107">
        <v>4.8796999999999997</v>
      </c>
      <c r="G107">
        <v>2.5796999999999999</v>
      </c>
      <c r="H107">
        <v>4.3922999999999996</v>
      </c>
    </row>
    <row r="108" spans="2:8" x14ac:dyDescent="0.2">
      <c r="B108" t="s">
        <v>30</v>
      </c>
      <c r="C108" t="s">
        <v>35</v>
      </c>
      <c r="D108" t="s">
        <v>22</v>
      </c>
      <c r="E108" t="s">
        <v>23</v>
      </c>
      <c r="F108">
        <v>4.8971999999999998</v>
      </c>
      <c r="G108">
        <v>2.7338</v>
      </c>
      <c r="H108">
        <v>4.5387000000000004</v>
      </c>
    </row>
    <row r="109" spans="2:8" x14ac:dyDescent="0.2">
      <c r="B109" t="s">
        <v>30</v>
      </c>
      <c r="C109" t="s">
        <v>35</v>
      </c>
      <c r="D109" t="s">
        <v>24</v>
      </c>
      <c r="E109" t="s">
        <v>25</v>
      </c>
      <c r="F109">
        <v>4.8155000000000001</v>
      </c>
      <c r="G109">
        <v>2.6981000000000002</v>
      </c>
      <c r="H109">
        <v>4.4592000000000001</v>
      </c>
    </row>
    <row r="110" spans="2:8" x14ac:dyDescent="0.2">
      <c r="B110" t="s">
        <v>30</v>
      </c>
      <c r="C110" t="s">
        <v>35</v>
      </c>
      <c r="D110" t="s">
        <v>26</v>
      </c>
      <c r="E110" t="s">
        <v>27</v>
      </c>
      <c r="F110">
        <v>4.8102999999999998</v>
      </c>
      <c r="G110">
        <v>2.7147999999999999</v>
      </c>
      <c r="H110">
        <v>4.4600999999999997</v>
      </c>
    </row>
    <row r="111" spans="2:8" x14ac:dyDescent="0.2">
      <c r="B111" t="s">
        <v>30</v>
      </c>
      <c r="C111" t="s">
        <v>35</v>
      </c>
      <c r="D111" t="s">
        <v>28</v>
      </c>
      <c r="E111" t="s">
        <v>29</v>
      </c>
      <c r="F111">
        <v>4.8856999999999999</v>
      </c>
      <c r="G111">
        <v>3.0445000000000002</v>
      </c>
      <c r="H111">
        <v>4.5316000000000001</v>
      </c>
    </row>
    <row r="112" spans="2:8" x14ac:dyDescent="0.2">
      <c r="B112" t="s">
        <v>30</v>
      </c>
      <c r="C112" t="s">
        <v>36</v>
      </c>
      <c r="D112" t="s">
        <v>6</v>
      </c>
      <c r="E112" t="s">
        <v>7</v>
      </c>
      <c r="F112">
        <v>4.9954999999999998</v>
      </c>
      <c r="G112">
        <v>3.0182000000000002</v>
      </c>
      <c r="H112">
        <v>4.6622000000000003</v>
      </c>
    </row>
    <row r="113" spans="2:8" x14ac:dyDescent="0.2">
      <c r="B113" t="s">
        <v>30</v>
      </c>
      <c r="C113" t="s">
        <v>36</v>
      </c>
      <c r="D113" t="s">
        <v>8</v>
      </c>
      <c r="E113" t="s">
        <v>9</v>
      </c>
      <c r="F113">
        <v>5.0942999999999996</v>
      </c>
      <c r="G113">
        <v>2.8578999999999999</v>
      </c>
      <c r="H113">
        <v>4.7408000000000001</v>
      </c>
    </row>
    <row r="114" spans="2:8" x14ac:dyDescent="0.2">
      <c r="B114" t="s">
        <v>30</v>
      </c>
      <c r="C114" t="s">
        <v>36</v>
      </c>
      <c r="D114" t="s">
        <v>10</v>
      </c>
      <c r="E114" t="s">
        <v>11</v>
      </c>
      <c r="F114">
        <v>5.0896999999999997</v>
      </c>
      <c r="G114">
        <v>2.7866</v>
      </c>
      <c r="H114">
        <v>4.6327999999999996</v>
      </c>
    </row>
    <row r="115" spans="2:8" x14ac:dyDescent="0.2">
      <c r="B115" t="s">
        <v>30</v>
      </c>
      <c r="C115" t="s">
        <v>36</v>
      </c>
      <c r="D115" t="s">
        <v>12</v>
      </c>
      <c r="E115" t="s">
        <v>13</v>
      </c>
      <c r="F115">
        <v>5.0378999999999996</v>
      </c>
      <c r="G115">
        <v>2.7244000000000002</v>
      </c>
      <c r="H115">
        <v>4.3449</v>
      </c>
    </row>
    <row r="116" spans="2:8" x14ac:dyDescent="0.2">
      <c r="B116" t="s">
        <v>30</v>
      </c>
      <c r="C116" t="s">
        <v>36</v>
      </c>
      <c r="D116" t="s">
        <v>14</v>
      </c>
      <c r="E116" t="s">
        <v>15</v>
      </c>
      <c r="F116">
        <v>4.9867999999999997</v>
      </c>
      <c r="G116">
        <v>2.609</v>
      </c>
      <c r="H116">
        <v>4.3205</v>
      </c>
    </row>
    <row r="117" spans="2:8" x14ac:dyDescent="0.2">
      <c r="B117" t="s">
        <v>30</v>
      </c>
      <c r="C117" t="s">
        <v>36</v>
      </c>
      <c r="D117" t="s">
        <v>16</v>
      </c>
      <c r="E117" t="s">
        <v>17</v>
      </c>
      <c r="F117">
        <v>5.0723000000000003</v>
      </c>
      <c r="G117">
        <v>2.6004999999999998</v>
      </c>
      <c r="H117">
        <v>4.4393000000000002</v>
      </c>
    </row>
    <row r="118" spans="2:8" x14ac:dyDescent="0.2">
      <c r="B118" t="s">
        <v>30</v>
      </c>
      <c r="C118" t="s">
        <v>36</v>
      </c>
      <c r="D118" t="s">
        <v>18</v>
      </c>
      <c r="E118" t="s">
        <v>19</v>
      </c>
      <c r="F118">
        <v>5.0911999999999997</v>
      </c>
      <c r="G118">
        <v>2.6804999999999999</v>
      </c>
      <c r="H118">
        <v>4.4421999999999997</v>
      </c>
    </row>
    <row r="119" spans="2:8" x14ac:dyDescent="0.2">
      <c r="B119" t="s">
        <v>30</v>
      </c>
      <c r="C119" t="s">
        <v>36</v>
      </c>
      <c r="D119" t="s">
        <v>20</v>
      </c>
      <c r="E119" t="s">
        <v>21</v>
      </c>
      <c r="F119">
        <v>4.9981999999999998</v>
      </c>
      <c r="G119">
        <v>2.6227999999999998</v>
      </c>
      <c r="H119">
        <v>4.4340000000000002</v>
      </c>
    </row>
    <row r="120" spans="2:8" x14ac:dyDescent="0.2">
      <c r="B120" t="s">
        <v>30</v>
      </c>
      <c r="C120" t="s">
        <v>36</v>
      </c>
      <c r="D120" t="s">
        <v>22</v>
      </c>
      <c r="E120" t="s">
        <v>23</v>
      </c>
      <c r="F120">
        <v>4.9516999999999998</v>
      </c>
      <c r="G120">
        <v>2.5931000000000002</v>
      </c>
      <c r="H120">
        <v>4.3891999999999998</v>
      </c>
    </row>
    <row r="121" spans="2:8" x14ac:dyDescent="0.2">
      <c r="B121" t="s">
        <v>30</v>
      </c>
      <c r="C121" t="s">
        <v>36</v>
      </c>
      <c r="D121" t="s">
        <v>24</v>
      </c>
      <c r="E121" t="s">
        <v>25</v>
      </c>
      <c r="F121">
        <v>4.8257000000000003</v>
      </c>
      <c r="G121">
        <v>2.6103000000000001</v>
      </c>
      <c r="H121">
        <v>4.2956000000000003</v>
      </c>
    </row>
    <row r="122" spans="2:8" x14ac:dyDescent="0.2">
      <c r="B122" t="s">
        <v>30</v>
      </c>
      <c r="C122" t="s">
        <v>36</v>
      </c>
      <c r="D122" t="s">
        <v>26</v>
      </c>
      <c r="E122" t="s">
        <v>27</v>
      </c>
      <c r="F122">
        <v>4.6738999999999997</v>
      </c>
      <c r="G122">
        <v>2.4022000000000001</v>
      </c>
      <c r="H122">
        <v>4.1734999999999998</v>
      </c>
    </row>
    <row r="123" spans="2:8" x14ac:dyDescent="0.2">
      <c r="B123" t="s">
        <v>30</v>
      </c>
      <c r="C123" t="s">
        <v>36</v>
      </c>
      <c r="D123" t="s">
        <v>28</v>
      </c>
      <c r="E123" t="s">
        <v>29</v>
      </c>
      <c r="F123">
        <v>4.3478000000000003</v>
      </c>
      <c r="G123">
        <v>2.3485999999999998</v>
      </c>
      <c r="H123">
        <v>3.8835999999999999</v>
      </c>
    </row>
    <row r="124" spans="2:8" x14ac:dyDescent="0.2">
      <c r="B124" t="s">
        <v>30</v>
      </c>
      <c r="C124" t="s">
        <v>37</v>
      </c>
      <c r="D124" t="s">
        <v>6</v>
      </c>
      <c r="E124" t="s">
        <v>7</v>
      </c>
      <c r="F124">
        <v>4.1580000000000004</v>
      </c>
      <c r="G124">
        <v>2.1755</v>
      </c>
      <c r="H124">
        <v>3.6575000000000002</v>
      </c>
    </row>
    <row r="125" spans="2:8" x14ac:dyDescent="0.2">
      <c r="B125" t="s">
        <v>30</v>
      </c>
      <c r="C125" t="s">
        <v>37</v>
      </c>
      <c r="D125" t="s">
        <v>8</v>
      </c>
      <c r="E125" t="s">
        <v>9</v>
      </c>
      <c r="F125">
        <v>4.3587999999999996</v>
      </c>
      <c r="G125">
        <v>2.1494</v>
      </c>
      <c r="H125">
        <v>3.8271000000000002</v>
      </c>
    </row>
    <row r="126" spans="2:8" x14ac:dyDescent="0.2">
      <c r="B126" t="s">
        <v>30</v>
      </c>
      <c r="C126" t="s">
        <v>37</v>
      </c>
      <c r="D126" t="s">
        <v>10</v>
      </c>
      <c r="E126" t="s">
        <v>11</v>
      </c>
      <c r="F126">
        <v>4.4429999999999996</v>
      </c>
      <c r="G126">
        <v>2.3496999999999999</v>
      </c>
      <c r="H126">
        <v>3.8024</v>
      </c>
    </row>
    <row r="127" spans="2:8" x14ac:dyDescent="0.2">
      <c r="B127" t="s">
        <v>30</v>
      </c>
      <c r="C127" t="s">
        <v>37</v>
      </c>
      <c r="D127" t="s">
        <v>12</v>
      </c>
      <c r="E127" t="s">
        <v>13</v>
      </c>
      <c r="F127">
        <v>4.5266000000000002</v>
      </c>
      <c r="G127">
        <v>2.3170999999999999</v>
      </c>
      <c r="H127">
        <v>3.8717999999999999</v>
      </c>
    </row>
    <row r="128" spans="2:8" x14ac:dyDescent="0.2">
      <c r="B128" t="s">
        <v>30</v>
      </c>
      <c r="C128" t="s">
        <v>37</v>
      </c>
      <c r="D128" t="s">
        <v>14</v>
      </c>
      <c r="E128" t="s">
        <v>15</v>
      </c>
      <c r="F128">
        <v>4.7218</v>
      </c>
      <c r="G128">
        <v>2.3071999999999999</v>
      </c>
      <c r="H128">
        <v>4.0658000000000003</v>
      </c>
    </row>
    <row r="129" spans="2:8" x14ac:dyDescent="0.2">
      <c r="B129" t="s">
        <v>30</v>
      </c>
      <c r="C129" t="s">
        <v>37</v>
      </c>
      <c r="D129" t="s">
        <v>16</v>
      </c>
      <c r="E129" t="s">
        <v>17</v>
      </c>
      <c r="F129">
        <v>4.8090000000000002</v>
      </c>
      <c r="G129">
        <v>2.2109999999999999</v>
      </c>
      <c r="H129">
        <v>4.0382999999999996</v>
      </c>
    </row>
    <row r="130" spans="2:8" x14ac:dyDescent="0.2">
      <c r="B130" t="s">
        <v>30</v>
      </c>
      <c r="C130" t="s">
        <v>37</v>
      </c>
      <c r="D130" t="s">
        <v>18</v>
      </c>
      <c r="E130" t="s">
        <v>19</v>
      </c>
      <c r="F130">
        <v>4.7481999999999998</v>
      </c>
      <c r="G130">
        <v>2.1960999999999999</v>
      </c>
      <c r="H130">
        <v>3.9316</v>
      </c>
    </row>
    <row r="131" spans="2:8" x14ac:dyDescent="0.2">
      <c r="B131" t="s">
        <v>30</v>
      </c>
      <c r="C131" t="s">
        <v>37</v>
      </c>
      <c r="D131" t="s">
        <v>20</v>
      </c>
      <c r="E131" t="s">
        <v>21</v>
      </c>
      <c r="F131">
        <v>4.5675999999999997</v>
      </c>
      <c r="G131">
        <v>2.1654</v>
      </c>
      <c r="H131">
        <v>3.8399000000000001</v>
      </c>
    </row>
    <row r="132" spans="2:8" x14ac:dyDescent="0.2">
      <c r="B132" t="s">
        <v>30</v>
      </c>
      <c r="C132" t="s">
        <v>37</v>
      </c>
      <c r="D132" t="s">
        <v>22</v>
      </c>
      <c r="E132" t="s">
        <v>23</v>
      </c>
      <c r="F132">
        <v>4.5373000000000001</v>
      </c>
      <c r="G132">
        <v>2.1877</v>
      </c>
      <c r="H132">
        <v>3.9458000000000002</v>
      </c>
    </row>
    <row r="133" spans="2:8" x14ac:dyDescent="0.2">
      <c r="B133" t="s">
        <v>30</v>
      </c>
      <c r="C133" t="s">
        <v>37</v>
      </c>
      <c r="D133" t="s">
        <v>24</v>
      </c>
      <c r="E133" t="s">
        <v>25</v>
      </c>
      <c r="F133">
        <v>4.4612999999999996</v>
      </c>
      <c r="G133">
        <v>2.3163999999999998</v>
      </c>
      <c r="H133">
        <v>3.8862999999999999</v>
      </c>
    </row>
    <row r="134" spans="2:8" x14ac:dyDescent="0.2">
      <c r="B134" t="s">
        <v>30</v>
      </c>
      <c r="C134" t="s">
        <v>37</v>
      </c>
      <c r="D134" t="s">
        <v>26</v>
      </c>
      <c r="E134" t="s">
        <v>27</v>
      </c>
      <c r="F134">
        <v>4.3745000000000003</v>
      </c>
      <c r="G134">
        <v>2.2907000000000002</v>
      </c>
      <c r="H134">
        <v>3.7749999999999999</v>
      </c>
    </row>
    <row r="135" spans="2:8" x14ac:dyDescent="0.2">
      <c r="B135" t="s">
        <v>30</v>
      </c>
      <c r="C135" t="s">
        <v>37</v>
      </c>
      <c r="D135" t="s">
        <v>28</v>
      </c>
      <c r="E135" t="s">
        <v>29</v>
      </c>
      <c r="F135">
        <v>4.3339999999999996</v>
      </c>
      <c r="G135">
        <v>2.3172000000000001</v>
      </c>
      <c r="H135">
        <v>3.5855999999999999</v>
      </c>
    </row>
    <row r="136" spans="2:8" x14ac:dyDescent="0.2">
      <c r="B136" t="s">
        <v>30</v>
      </c>
      <c r="C136">
        <v>2016</v>
      </c>
      <c r="D136" t="s">
        <v>6</v>
      </c>
      <c r="E136" t="s">
        <v>7</v>
      </c>
      <c r="F136">
        <v>4.2712000000000003</v>
      </c>
      <c r="G136">
        <v>2.2566999999999999</v>
      </c>
      <c r="H136">
        <v>3.4331999999999998</v>
      </c>
    </row>
    <row r="137" spans="2:8" x14ac:dyDescent="0.2">
      <c r="B137" t="s">
        <v>30</v>
      </c>
      <c r="C137">
        <v>2016</v>
      </c>
      <c r="D137" t="s">
        <v>8</v>
      </c>
      <c r="E137" t="s">
        <v>9</v>
      </c>
      <c r="F137">
        <v>4.1288</v>
      </c>
      <c r="G137">
        <v>2.1646000000000001</v>
      </c>
      <c r="H137">
        <v>3.4428000000000001</v>
      </c>
    </row>
    <row r="138" spans="2:8" x14ac:dyDescent="0.2">
      <c r="B138" t="s">
        <v>30</v>
      </c>
      <c r="C138">
        <v>2016</v>
      </c>
      <c r="D138" t="s">
        <v>10</v>
      </c>
      <c r="E138" t="s">
        <v>11</v>
      </c>
      <c r="F138">
        <v>4.2793999999999999</v>
      </c>
      <c r="G138">
        <v>2.1444000000000001</v>
      </c>
      <c r="H138">
        <v>3.5710000000000002</v>
      </c>
    </row>
    <row r="139" spans="2:8" x14ac:dyDescent="0.2">
      <c r="B139" t="s">
        <v>30</v>
      </c>
      <c r="C139">
        <v>2016</v>
      </c>
      <c r="D139" t="s">
        <v>12</v>
      </c>
      <c r="E139" t="s">
        <v>13</v>
      </c>
      <c r="F139">
        <v>4.3715999999999999</v>
      </c>
      <c r="G139">
        <v>2.1560999999999999</v>
      </c>
      <c r="H139">
        <v>3.5916999999999999</v>
      </c>
    </row>
    <row r="140" spans="2:8" x14ac:dyDescent="0.2">
      <c r="B140" t="s">
        <v>30</v>
      </c>
      <c r="C140">
        <v>2016</v>
      </c>
      <c r="D140" t="s">
        <v>14</v>
      </c>
      <c r="E140" t="s">
        <v>15</v>
      </c>
      <c r="F140">
        <v>4.5010000000000003</v>
      </c>
      <c r="G140">
        <v>2.1907999999999999</v>
      </c>
      <c r="H140">
        <v>3.7847</v>
      </c>
    </row>
    <row r="141" spans="2:8" x14ac:dyDescent="0.2">
      <c r="B141" t="s">
        <v>30</v>
      </c>
      <c r="C141">
        <v>2016</v>
      </c>
      <c r="D141" t="s">
        <v>16</v>
      </c>
      <c r="E141" t="s">
        <v>17</v>
      </c>
      <c r="F141">
        <v>4.5191999999999997</v>
      </c>
      <c r="G141">
        <v>2.1991000000000001</v>
      </c>
      <c r="H141">
        <v>3.8734999999999999</v>
      </c>
    </row>
    <row r="142" spans="2:8" x14ac:dyDescent="0.2">
      <c r="B142" t="s">
        <v>30</v>
      </c>
      <c r="C142">
        <v>2016</v>
      </c>
      <c r="D142" t="s">
        <v>18</v>
      </c>
      <c r="E142" t="s">
        <v>19</v>
      </c>
      <c r="F142">
        <v>4.3917999999999999</v>
      </c>
      <c r="G142">
        <v>2.1989000000000001</v>
      </c>
      <c r="H142">
        <v>3.8161999999999998</v>
      </c>
    </row>
    <row r="143" spans="2:8" x14ac:dyDescent="0.2">
      <c r="B143" t="s">
        <v>30</v>
      </c>
      <c r="C143">
        <v>2016</v>
      </c>
      <c r="D143" t="s">
        <v>20</v>
      </c>
      <c r="E143" t="s">
        <v>21</v>
      </c>
      <c r="F143">
        <v>4.4099000000000004</v>
      </c>
      <c r="G143">
        <v>2.133</v>
      </c>
      <c r="H143">
        <v>3.7658</v>
      </c>
    </row>
    <row r="144" spans="2:8" x14ac:dyDescent="0.2">
      <c r="B144" t="s">
        <v>30</v>
      </c>
      <c r="C144">
        <v>2016</v>
      </c>
      <c r="D144" t="s">
        <v>22</v>
      </c>
      <c r="E144" t="s">
        <v>23</v>
      </c>
      <c r="F144">
        <v>4.6772999999999998</v>
      </c>
      <c r="G144">
        <v>2.2782</v>
      </c>
      <c r="H144">
        <v>4.0206999999999997</v>
      </c>
    </row>
    <row r="145" spans="2:8" x14ac:dyDescent="0.2">
      <c r="B145" t="s">
        <v>30</v>
      </c>
      <c r="C145">
        <v>2016</v>
      </c>
      <c r="D145" t="s">
        <v>24</v>
      </c>
      <c r="E145" t="s">
        <v>25</v>
      </c>
      <c r="F145">
        <v>4.8548</v>
      </c>
      <c r="G145">
        <v>2.4226999999999999</v>
      </c>
      <c r="H145">
        <v>4.2343000000000002</v>
      </c>
    </row>
    <row r="146" spans="2:8" x14ac:dyDescent="0.2">
      <c r="B146" t="s">
        <v>30</v>
      </c>
      <c r="C146">
        <v>2016</v>
      </c>
      <c r="D146" t="s">
        <v>26</v>
      </c>
      <c r="E146" t="s">
        <v>27</v>
      </c>
      <c r="F146">
        <v>4.8525</v>
      </c>
      <c r="G146">
        <v>2.5259</v>
      </c>
      <c r="H146">
        <v>4.2160000000000002</v>
      </c>
    </row>
    <row r="147" spans="2:8" x14ac:dyDescent="0.2">
      <c r="B147" t="s">
        <v>30</v>
      </c>
      <c r="C147">
        <v>2016</v>
      </c>
      <c r="D147" t="s">
        <v>28</v>
      </c>
      <c r="E147" t="s">
        <v>29</v>
      </c>
      <c r="F147">
        <v>5.1151</v>
      </c>
      <c r="G147">
        <v>2.5922000000000001</v>
      </c>
      <c r="H147">
        <v>4.4715999999999996</v>
      </c>
    </row>
    <row r="148" spans="2:8" x14ac:dyDescent="0.2">
      <c r="B148" t="s">
        <v>30</v>
      </c>
      <c r="C148">
        <v>2017</v>
      </c>
      <c r="D148" t="s">
        <v>6</v>
      </c>
      <c r="E148" t="s">
        <v>7</v>
      </c>
      <c r="F148">
        <v>5.3414000000000001</v>
      </c>
      <c r="G148">
        <v>2.7879999999999998</v>
      </c>
      <c r="H148">
        <v>4.6859999999999999</v>
      </c>
    </row>
    <row r="149" spans="2:8" x14ac:dyDescent="0.2">
      <c r="B149" t="s">
        <v>30</v>
      </c>
      <c r="C149">
        <v>2017</v>
      </c>
      <c r="D149" t="s">
        <v>8</v>
      </c>
      <c r="E149" t="s">
        <v>9</v>
      </c>
      <c r="F149">
        <v>5.3662999999999998</v>
      </c>
      <c r="G149">
        <v>2.9517000000000002</v>
      </c>
      <c r="H149">
        <v>4.6951000000000001</v>
      </c>
    </row>
    <row r="150" spans="2:8" x14ac:dyDescent="0.2">
      <c r="B150" t="s">
        <v>30</v>
      </c>
      <c r="C150">
        <v>2017</v>
      </c>
      <c r="D150" t="s">
        <v>10</v>
      </c>
      <c r="E150" t="s">
        <v>11</v>
      </c>
      <c r="F150">
        <v>5.2134</v>
      </c>
      <c r="G150">
        <v>2.8763000000000001</v>
      </c>
      <c r="H150">
        <v>4.5799000000000003</v>
      </c>
    </row>
    <row r="151" spans="2:8" x14ac:dyDescent="0.2">
      <c r="B151" t="s">
        <v>30</v>
      </c>
      <c r="C151">
        <v>2017</v>
      </c>
      <c r="D151" t="s">
        <v>12</v>
      </c>
      <c r="E151" t="s">
        <v>13</v>
      </c>
      <c r="F151">
        <v>5.3254999999999999</v>
      </c>
      <c r="G151">
        <v>2.649</v>
      </c>
      <c r="H151">
        <v>4.6193999999999997</v>
      </c>
    </row>
    <row r="152" spans="2:8" x14ac:dyDescent="0.2">
      <c r="B152" t="s">
        <v>30</v>
      </c>
      <c r="C152">
        <v>2017</v>
      </c>
      <c r="D152" t="s">
        <v>14</v>
      </c>
      <c r="E152" t="s">
        <v>15</v>
      </c>
      <c r="F152">
        <v>5.1631999999999998</v>
      </c>
      <c r="G152">
        <v>2.5558000000000001</v>
      </c>
      <c r="H152">
        <v>4.5129000000000001</v>
      </c>
    </row>
    <row r="153" spans="2:8" x14ac:dyDescent="0.2">
      <c r="B153" t="s">
        <v>30</v>
      </c>
      <c r="C153">
        <v>2017</v>
      </c>
      <c r="D153" t="s">
        <v>16</v>
      </c>
      <c r="E153" t="s">
        <v>17</v>
      </c>
      <c r="F153">
        <v>5.0503999999999998</v>
      </c>
      <c r="G153">
        <v>2.5587</v>
      </c>
      <c r="H153">
        <v>4.4123000000000001</v>
      </c>
    </row>
    <row r="154" spans="2:8" x14ac:dyDescent="0.2">
      <c r="B154" t="s">
        <v>30</v>
      </c>
      <c r="C154">
        <v>2017</v>
      </c>
      <c r="D154" t="s">
        <v>18</v>
      </c>
      <c r="E154" t="s">
        <v>19</v>
      </c>
      <c r="F154">
        <v>5.0899000000000001</v>
      </c>
      <c r="G154">
        <v>2.5013999999999998</v>
      </c>
      <c r="H154">
        <v>4.4764999999999997</v>
      </c>
    </row>
    <row r="155" spans="2:8" x14ac:dyDescent="0.2">
      <c r="B155" t="s">
        <v>30</v>
      </c>
      <c r="C155">
        <v>2017</v>
      </c>
      <c r="D155" t="s">
        <v>20</v>
      </c>
      <c r="E155" t="s">
        <v>21</v>
      </c>
      <c r="F155">
        <v>5.2182000000000004</v>
      </c>
      <c r="G155">
        <v>2.7223000000000002</v>
      </c>
      <c r="H155">
        <v>4.5956999999999999</v>
      </c>
    </row>
    <row r="156" spans="2:8" x14ac:dyDescent="0.2">
      <c r="B156" t="s">
        <v>30</v>
      </c>
      <c r="C156">
        <v>2017</v>
      </c>
      <c r="D156" t="s">
        <v>22</v>
      </c>
      <c r="E156" t="s">
        <v>23</v>
      </c>
      <c r="F156">
        <v>5.2937000000000003</v>
      </c>
      <c r="G156">
        <v>2.8559000000000001</v>
      </c>
      <c r="H156">
        <v>4.6741000000000001</v>
      </c>
    </row>
    <row r="157" spans="2:8" x14ac:dyDescent="0.2">
      <c r="B157" t="s">
        <v>30</v>
      </c>
      <c r="C157">
        <v>2017</v>
      </c>
      <c r="D157" t="s">
        <v>24</v>
      </c>
      <c r="E157" t="s">
        <v>25</v>
      </c>
      <c r="F157">
        <v>5.3308</v>
      </c>
      <c r="G157">
        <v>3.0257000000000001</v>
      </c>
      <c r="H157">
        <v>4.8201999999999998</v>
      </c>
    </row>
    <row r="158" spans="2:8" x14ac:dyDescent="0.2">
      <c r="B158" t="s">
        <v>30</v>
      </c>
      <c r="C158">
        <v>2017</v>
      </c>
      <c r="D158" t="s">
        <v>26</v>
      </c>
      <c r="E158" t="s">
        <v>27</v>
      </c>
      <c r="F158">
        <v>5.6161000000000003</v>
      </c>
      <c r="G158">
        <v>3.1114999999999999</v>
      </c>
      <c r="H158">
        <v>5.0646000000000004</v>
      </c>
    </row>
    <row r="159" spans="2:8" x14ac:dyDescent="0.2">
      <c r="B159" t="s">
        <v>30</v>
      </c>
      <c r="C159">
        <v>2017</v>
      </c>
      <c r="D159" t="s">
        <v>28</v>
      </c>
      <c r="E159" t="s">
        <v>29</v>
      </c>
      <c r="F159">
        <v>5.6094999999999997</v>
      </c>
      <c r="G159">
        <v>3.1368</v>
      </c>
      <c r="H159">
        <v>5.1024000000000003</v>
      </c>
    </row>
    <row r="160" spans="2:8" x14ac:dyDescent="0.2">
      <c r="B160" t="s">
        <v>30</v>
      </c>
      <c r="C160">
        <v>2018</v>
      </c>
      <c r="D160" t="s">
        <v>6</v>
      </c>
      <c r="E160" t="s">
        <v>7</v>
      </c>
      <c r="F160">
        <v>5.6890000000000001</v>
      </c>
      <c r="G160">
        <v>3.1297999999999999</v>
      </c>
      <c r="H160">
        <v>5.1802999999999999</v>
      </c>
    </row>
    <row r="161" spans="2:8" x14ac:dyDescent="0.2">
      <c r="B161" t="s">
        <v>30</v>
      </c>
      <c r="C161">
        <v>2018</v>
      </c>
      <c r="D161" t="s">
        <v>8</v>
      </c>
      <c r="E161" t="s">
        <v>9</v>
      </c>
      <c r="F161">
        <v>5.6685999999999996</v>
      </c>
      <c r="G161">
        <v>2.99</v>
      </c>
      <c r="H161">
        <v>5.1349</v>
      </c>
    </row>
    <row r="162" spans="2:8" x14ac:dyDescent="0.2">
      <c r="B162" t="s">
        <v>30</v>
      </c>
      <c r="C162">
        <v>2018</v>
      </c>
      <c r="D162" t="s">
        <v>10</v>
      </c>
      <c r="E162" t="s">
        <v>11</v>
      </c>
      <c r="F162">
        <v>5.7582000000000004</v>
      </c>
      <c r="G162">
        <v>2.9140999999999999</v>
      </c>
      <c r="H162">
        <v>5.2229999999999999</v>
      </c>
    </row>
    <row r="163" spans="2:8" x14ac:dyDescent="0.2">
      <c r="B163" t="s">
        <v>30</v>
      </c>
      <c r="C163">
        <v>2018</v>
      </c>
      <c r="D163" t="s">
        <v>12</v>
      </c>
      <c r="E163" t="s">
        <v>13</v>
      </c>
      <c r="F163">
        <v>6.0494000000000003</v>
      </c>
      <c r="G163">
        <v>2.9826000000000001</v>
      </c>
      <c r="H163">
        <v>5.5347</v>
      </c>
    </row>
    <row r="164" spans="2:8" x14ac:dyDescent="0.2">
      <c r="B164" t="s">
        <v>30</v>
      </c>
      <c r="C164">
        <v>2018</v>
      </c>
      <c r="D164" t="s">
        <v>14</v>
      </c>
      <c r="E164" t="s">
        <v>15</v>
      </c>
      <c r="F164">
        <v>6.2031000000000001</v>
      </c>
      <c r="G164">
        <v>3.1221000000000001</v>
      </c>
      <c r="H164">
        <v>5.6866000000000003</v>
      </c>
    </row>
    <row r="165" spans="2:8" x14ac:dyDescent="0.2">
      <c r="B165" t="s">
        <v>30</v>
      </c>
      <c r="C165">
        <v>2018</v>
      </c>
      <c r="D165" t="s">
        <v>16</v>
      </c>
      <c r="E165" t="s">
        <v>17</v>
      </c>
      <c r="F165">
        <v>6.2832999999999997</v>
      </c>
      <c r="G165">
        <v>3.1825999999999999</v>
      </c>
      <c r="H165">
        <v>5.7422000000000004</v>
      </c>
    </row>
    <row r="166" spans="2:8" x14ac:dyDescent="0.2">
      <c r="B166" t="s">
        <v>30</v>
      </c>
      <c r="C166">
        <v>2018</v>
      </c>
      <c r="D166" t="s">
        <v>18</v>
      </c>
      <c r="E166" t="s">
        <v>19</v>
      </c>
      <c r="F166">
        <v>6.2832999999999997</v>
      </c>
      <c r="G166">
        <v>3.1863000000000001</v>
      </c>
      <c r="H166">
        <v>5.7427999999999999</v>
      </c>
    </row>
    <row r="167" spans="2:8" x14ac:dyDescent="0.2">
      <c r="B167" t="s">
        <v>30</v>
      </c>
      <c r="C167">
        <v>2018</v>
      </c>
      <c r="D167" t="s">
        <v>20</v>
      </c>
      <c r="E167" t="s">
        <v>21</v>
      </c>
      <c r="F167">
        <v>6.5956999999999999</v>
      </c>
      <c r="G167">
        <v>3.3795000000000002</v>
      </c>
      <c r="H167">
        <v>6.0298999999999996</v>
      </c>
    </row>
    <row r="168" spans="2:8" x14ac:dyDescent="0.2">
      <c r="B168" t="s">
        <v>30</v>
      </c>
      <c r="C168">
        <v>2018</v>
      </c>
      <c r="D168" t="s">
        <v>22</v>
      </c>
      <c r="E168" t="s">
        <v>23</v>
      </c>
      <c r="F168">
        <v>6.9359999999999999</v>
      </c>
      <c r="G168">
        <v>3.5960999999999999</v>
      </c>
      <c r="H168">
        <v>6.3541999999999996</v>
      </c>
    </row>
    <row r="169" spans="2:8" x14ac:dyDescent="0.2">
      <c r="B169" t="s">
        <v>30</v>
      </c>
      <c r="C169">
        <v>2018</v>
      </c>
      <c r="D169" t="s">
        <v>24</v>
      </c>
      <c r="E169" t="s">
        <v>25</v>
      </c>
      <c r="F169">
        <v>6.9889000000000001</v>
      </c>
      <c r="G169">
        <v>3.5861000000000001</v>
      </c>
      <c r="H169">
        <v>6.4111000000000002</v>
      </c>
    </row>
    <row r="170" spans="2:8" x14ac:dyDescent="0.2">
      <c r="B170" t="s">
        <v>30</v>
      </c>
      <c r="C170">
        <v>2018</v>
      </c>
      <c r="D170" t="s">
        <v>26</v>
      </c>
      <c r="E170" t="s">
        <v>27</v>
      </c>
      <c r="F170">
        <v>6.6003999999999996</v>
      </c>
      <c r="G170">
        <v>3.5699000000000001</v>
      </c>
      <c r="H170">
        <v>6.3893000000000004</v>
      </c>
    </row>
    <row r="171" spans="2:8" x14ac:dyDescent="0.2">
      <c r="B171" t="s">
        <v>30</v>
      </c>
      <c r="C171">
        <v>2018</v>
      </c>
      <c r="D171" t="s">
        <v>28</v>
      </c>
      <c r="E171" t="s">
        <v>29</v>
      </c>
      <c r="F171">
        <v>6.1220999999999997</v>
      </c>
      <c r="G171">
        <v>3.2519999999999998</v>
      </c>
      <c r="H171">
        <v>5.98</v>
      </c>
    </row>
    <row r="172" spans="2:8" x14ac:dyDescent="0.2">
      <c r="B172" t="s">
        <v>30</v>
      </c>
      <c r="C172">
        <v>2019</v>
      </c>
      <c r="D172" t="s">
        <v>6</v>
      </c>
      <c r="E172" t="s">
        <v>7</v>
      </c>
      <c r="F172">
        <v>6.1189</v>
      </c>
      <c r="G172">
        <v>3.2603</v>
      </c>
      <c r="H172">
        <v>5.9954999999999998</v>
      </c>
    </row>
    <row r="173" spans="2:8" x14ac:dyDescent="0.2">
      <c r="B173" t="s">
        <v>30</v>
      </c>
      <c r="C173">
        <v>2019</v>
      </c>
      <c r="D173" t="s">
        <v>8</v>
      </c>
      <c r="E173" t="s">
        <v>9</v>
      </c>
      <c r="F173">
        <v>6.2394999999999996</v>
      </c>
      <c r="G173">
        <v>3.3746999999999998</v>
      </c>
      <c r="H173">
        <v>6.1642000000000001</v>
      </c>
    </row>
    <row r="174" spans="2:8" x14ac:dyDescent="0.2">
      <c r="B174" t="s">
        <v>30</v>
      </c>
      <c r="C174">
        <v>2019</v>
      </c>
      <c r="D174" t="s">
        <v>10</v>
      </c>
      <c r="E174" t="s">
        <v>11</v>
      </c>
      <c r="F174">
        <v>6.6277999999999997</v>
      </c>
      <c r="G174">
        <v>3.5386000000000002</v>
      </c>
      <c r="H174">
        <v>6.4145000000000003</v>
      </c>
    </row>
    <row r="175" spans="2:8" x14ac:dyDescent="0.2">
      <c r="B175" t="s">
        <v>30</v>
      </c>
      <c r="C175">
        <v>2019</v>
      </c>
      <c r="D175" t="s">
        <v>12</v>
      </c>
      <c r="E175" t="s">
        <v>13</v>
      </c>
      <c r="F175">
        <v>7.0389999999999997</v>
      </c>
      <c r="G175">
        <v>3.5375000000000001</v>
      </c>
      <c r="H175">
        <v>6.4749999999999996</v>
      </c>
    </row>
    <row r="176" spans="2:8" x14ac:dyDescent="0.2">
      <c r="B176" t="s">
        <v>30</v>
      </c>
      <c r="C176">
        <v>2019</v>
      </c>
      <c r="D176" t="s">
        <v>14</v>
      </c>
      <c r="E176" t="s">
        <v>15</v>
      </c>
      <c r="F176">
        <v>7.1227</v>
      </c>
      <c r="G176">
        <v>3.5415000000000001</v>
      </c>
      <c r="H176">
        <v>6.5396999999999998</v>
      </c>
    </row>
    <row r="177" spans="2:8" x14ac:dyDescent="0.2">
      <c r="B177" t="s">
        <v>30</v>
      </c>
      <c r="C177">
        <v>2019</v>
      </c>
      <c r="D177" t="s">
        <v>16</v>
      </c>
      <c r="E177" t="s">
        <v>17</v>
      </c>
      <c r="F177">
        <v>6.9183000000000003</v>
      </c>
      <c r="G177">
        <v>3.4519000000000002</v>
      </c>
      <c r="H177">
        <v>6.4404000000000003</v>
      </c>
    </row>
    <row r="178" spans="2:8" x14ac:dyDescent="0.2">
      <c r="B178" t="s">
        <v>30</v>
      </c>
      <c r="C178">
        <v>2019</v>
      </c>
      <c r="D178" t="s">
        <v>18</v>
      </c>
      <c r="E178" t="s">
        <v>19</v>
      </c>
      <c r="F178">
        <v>7.0541999999999998</v>
      </c>
      <c r="G178">
        <v>3.2707999999999999</v>
      </c>
      <c r="H178">
        <v>6.5023</v>
      </c>
    </row>
    <row r="179" spans="2:8" x14ac:dyDescent="0.2">
      <c r="B179" t="s">
        <v>30</v>
      </c>
      <c r="C179">
        <v>2019</v>
      </c>
      <c r="D179" t="s">
        <v>20</v>
      </c>
      <c r="E179" t="s">
        <v>21</v>
      </c>
      <c r="F179">
        <v>6.7549999999999999</v>
      </c>
      <c r="G179">
        <v>3.0724999999999998</v>
      </c>
      <c r="H179">
        <v>6.298</v>
      </c>
    </row>
    <row r="180" spans="2:8" x14ac:dyDescent="0.2">
      <c r="B180" t="s">
        <v>30</v>
      </c>
      <c r="C180">
        <v>2019</v>
      </c>
      <c r="D180" t="s">
        <v>22</v>
      </c>
      <c r="E180" t="s">
        <v>23</v>
      </c>
      <c r="F180">
        <v>6.9490999999999996</v>
      </c>
      <c r="G180">
        <v>3.1324000000000001</v>
      </c>
      <c r="H180">
        <v>6.5057</v>
      </c>
    </row>
    <row r="181" spans="2:8" x14ac:dyDescent="0.2">
      <c r="B181" t="s">
        <v>30</v>
      </c>
      <c r="C181">
        <v>2019</v>
      </c>
      <c r="D181" t="s">
        <v>24</v>
      </c>
      <c r="E181" t="s">
        <v>25</v>
      </c>
      <c r="F181">
        <v>6.9353999999999996</v>
      </c>
      <c r="G181">
        <v>3.4253</v>
      </c>
      <c r="H181">
        <v>6.5739999999999998</v>
      </c>
    </row>
    <row r="182" spans="2:8" x14ac:dyDescent="0.2">
      <c r="B182" t="s">
        <v>30</v>
      </c>
      <c r="C182">
        <v>2019</v>
      </c>
      <c r="D182" t="s">
        <v>26</v>
      </c>
      <c r="E182" t="s">
        <v>27</v>
      </c>
      <c r="F182">
        <v>6.9375999999999998</v>
      </c>
      <c r="G182">
        <v>3.5375000000000001</v>
      </c>
      <c r="H182">
        <v>6.6201999999999996</v>
      </c>
    </row>
    <row r="183" spans="2:8" x14ac:dyDescent="0.2">
      <c r="B183" t="s">
        <v>30</v>
      </c>
      <c r="C183">
        <v>2019</v>
      </c>
      <c r="D183" t="s">
        <v>28</v>
      </c>
      <c r="E183" t="s">
        <v>29</v>
      </c>
      <c r="F183">
        <v>6.9832000000000001</v>
      </c>
      <c r="G183">
        <v>3.5773000000000001</v>
      </c>
      <c r="H183">
        <v>6.5974000000000004</v>
      </c>
    </row>
    <row r="184" spans="2:8" x14ac:dyDescent="0.2">
      <c r="B184" t="s">
        <v>30</v>
      </c>
      <c r="C184">
        <v>2020</v>
      </c>
      <c r="D184" t="s">
        <v>6</v>
      </c>
      <c r="E184" t="s">
        <v>7</v>
      </c>
      <c r="F184">
        <v>7.0743999999999998</v>
      </c>
      <c r="G184">
        <v>3.5712999999999999</v>
      </c>
      <c r="H184">
        <v>6.6277999999999997</v>
      </c>
    </row>
    <row r="185" spans="2:8" x14ac:dyDescent="0.2">
      <c r="B185" t="s">
        <v>30</v>
      </c>
      <c r="C185">
        <v>2020</v>
      </c>
      <c r="D185" t="s">
        <v>8</v>
      </c>
      <c r="E185" t="s">
        <v>9</v>
      </c>
      <c r="F185">
        <v>6.8140999999999998</v>
      </c>
      <c r="G185">
        <v>3.5607000000000002</v>
      </c>
      <c r="H185">
        <v>6.4562999999999997</v>
      </c>
    </row>
    <row r="186" spans="2:8" x14ac:dyDescent="0.2">
      <c r="B186" t="s">
        <v>30</v>
      </c>
      <c r="C186">
        <v>2020</v>
      </c>
      <c r="D186" t="s">
        <v>10</v>
      </c>
      <c r="E186" t="s">
        <v>11</v>
      </c>
      <c r="F186">
        <v>5.8388</v>
      </c>
      <c r="G186">
        <v>3.5293999999999999</v>
      </c>
      <c r="H186">
        <v>5.8166000000000002</v>
      </c>
    </row>
    <row r="187" spans="2:8" x14ac:dyDescent="0.2">
      <c r="B187" t="s">
        <v>30</v>
      </c>
      <c r="C187">
        <v>2020</v>
      </c>
      <c r="D187" t="s">
        <v>12</v>
      </c>
      <c r="E187" t="s">
        <v>13</v>
      </c>
      <c r="F187">
        <v>5.2363999999999997</v>
      </c>
      <c r="G187">
        <v>2.7978999999999998</v>
      </c>
      <c r="H187">
        <v>5.2778999999999998</v>
      </c>
    </row>
    <row r="188" spans="2:8" x14ac:dyDescent="0.2">
      <c r="B188" t="s">
        <v>30</v>
      </c>
      <c r="C188">
        <v>2020</v>
      </c>
      <c r="D188" t="s">
        <v>14</v>
      </c>
      <c r="E188" t="s">
        <v>15</v>
      </c>
      <c r="F188">
        <v>5.7314999999999996</v>
      </c>
      <c r="G188">
        <v>3.0682</v>
      </c>
      <c r="H188">
        <v>5.3998999999999997</v>
      </c>
    </row>
    <row r="189" spans="2:8" x14ac:dyDescent="0.2">
      <c r="B189" t="s">
        <v>30</v>
      </c>
      <c r="C189">
        <v>2020</v>
      </c>
      <c r="D189" t="s">
        <v>16</v>
      </c>
      <c r="E189" t="s">
        <v>17</v>
      </c>
      <c r="F189">
        <v>6.1642000000000001</v>
      </c>
      <c r="G189">
        <v>3.2483</v>
      </c>
      <c r="H189">
        <v>5.7500999999999998</v>
      </c>
    </row>
    <row r="190" spans="2:8" x14ac:dyDescent="0.2">
      <c r="B190" t="s">
        <v>30</v>
      </c>
      <c r="C190">
        <v>2020</v>
      </c>
      <c r="D190" t="s">
        <v>18</v>
      </c>
      <c r="E190" t="s">
        <v>19</v>
      </c>
      <c r="F190">
        <v>6.4291999999999998</v>
      </c>
      <c r="G190">
        <v>3.5537999999999998</v>
      </c>
      <c r="H190">
        <v>6.0076000000000001</v>
      </c>
    </row>
    <row r="191" spans="2:8" x14ac:dyDescent="0.2">
      <c r="B191" t="s">
        <v>30</v>
      </c>
      <c r="C191">
        <v>2020</v>
      </c>
      <c r="D191" t="s">
        <v>20</v>
      </c>
      <c r="E191" t="s">
        <v>21</v>
      </c>
      <c r="F191">
        <v>6.6360999999999999</v>
      </c>
      <c r="G191">
        <v>3.5689000000000002</v>
      </c>
      <c r="H191">
        <v>6.1638000000000002</v>
      </c>
    </row>
    <row r="192" spans="2:8" x14ac:dyDescent="0.2">
      <c r="B192" t="s">
        <v>30</v>
      </c>
      <c r="C192">
        <v>2020</v>
      </c>
      <c r="D192" t="s">
        <v>22</v>
      </c>
      <c r="E192" t="s">
        <v>23</v>
      </c>
      <c r="F192">
        <v>6.7812000000000001</v>
      </c>
      <c r="G192">
        <v>3.6631999999999998</v>
      </c>
      <c r="H192">
        <v>6.0171999999999999</v>
      </c>
    </row>
    <row r="193" spans="2:8" x14ac:dyDescent="0.2">
      <c r="B193" t="s">
        <v>30</v>
      </c>
      <c r="C193">
        <v>2020</v>
      </c>
      <c r="D193" t="s">
        <v>24</v>
      </c>
      <c r="E193" t="s">
        <v>25</v>
      </c>
      <c r="F193">
        <v>6.8609999999999998</v>
      </c>
      <c r="G193">
        <v>3.6389</v>
      </c>
      <c r="H193">
        <v>6.1753999999999998</v>
      </c>
    </row>
    <row r="194" spans="2:8" x14ac:dyDescent="0.2">
      <c r="B194" t="s">
        <v>30</v>
      </c>
      <c r="C194">
        <v>2020</v>
      </c>
      <c r="D194" t="s">
        <v>26</v>
      </c>
      <c r="E194" t="s">
        <v>27</v>
      </c>
      <c r="F194">
        <v>6.8620999999999999</v>
      </c>
      <c r="G194">
        <v>3.6168999999999998</v>
      </c>
      <c r="H194">
        <v>6.3964999999999996</v>
      </c>
    </row>
    <row r="195" spans="2:8" x14ac:dyDescent="0.2">
      <c r="B195" t="s">
        <v>30</v>
      </c>
      <c r="C195">
        <v>2020</v>
      </c>
      <c r="D195" t="s">
        <v>28</v>
      </c>
      <c r="E195" t="s">
        <v>29</v>
      </c>
      <c r="F195">
        <v>7.2220000000000004</v>
      </c>
      <c r="G195">
        <v>3.6088</v>
      </c>
      <c r="H195">
        <v>6.6961000000000004</v>
      </c>
    </row>
    <row r="196" spans="2:8" x14ac:dyDescent="0.2">
      <c r="B196" t="s">
        <v>30</v>
      </c>
      <c r="C196">
        <v>2021</v>
      </c>
      <c r="D196" t="s">
        <v>6</v>
      </c>
      <c r="E196" t="s">
        <v>7</v>
      </c>
      <c r="F196">
        <v>7.3154000000000003</v>
      </c>
      <c r="G196">
        <v>3.6225999999999998</v>
      </c>
      <c r="H196">
        <v>6.7183000000000002</v>
      </c>
    </row>
    <row r="197" spans="2:8" x14ac:dyDescent="0.2">
      <c r="B197" t="s">
        <v>30</v>
      </c>
      <c r="C197">
        <v>2021</v>
      </c>
      <c r="D197" t="s">
        <v>8</v>
      </c>
      <c r="E197" t="s">
        <v>9</v>
      </c>
      <c r="F197">
        <v>7.3312999999999997</v>
      </c>
      <c r="G197">
        <v>3.6208</v>
      </c>
      <c r="H197">
        <v>6.7321999999999997</v>
      </c>
    </row>
    <row r="198" spans="2:8" x14ac:dyDescent="0.2">
      <c r="B198" t="s">
        <v>30</v>
      </c>
      <c r="C198">
        <v>2021</v>
      </c>
      <c r="D198" t="s">
        <v>10</v>
      </c>
      <c r="E198" t="s">
        <v>11</v>
      </c>
      <c r="F198">
        <v>7.2633999999999999</v>
      </c>
      <c r="G198">
        <v>3.6331000000000002</v>
      </c>
      <c r="H198">
        <v>6.6519000000000004</v>
      </c>
    </row>
    <row r="199" spans="2:8" x14ac:dyDescent="0.2">
      <c r="B199" t="s">
        <v>30</v>
      </c>
      <c r="C199">
        <v>2021</v>
      </c>
      <c r="D199" t="s">
        <v>12</v>
      </c>
      <c r="E199" t="s">
        <v>13</v>
      </c>
      <c r="F199">
        <v>7.1609999999999996</v>
      </c>
      <c r="G199">
        <v>3.6873999999999998</v>
      </c>
      <c r="H199">
        <v>6.5347999999999997</v>
      </c>
    </row>
    <row r="200" spans="2:8" x14ac:dyDescent="0.2">
      <c r="B200" t="s">
        <v>30</v>
      </c>
      <c r="C200">
        <v>2021</v>
      </c>
      <c r="D200" t="s">
        <v>14</v>
      </c>
      <c r="E200" t="s">
        <v>15</v>
      </c>
      <c r="F200">
        <v>7.4123999999999999</v>
      </c>
      <c r="G200">
        <v>3.8003</v>
      </c>
      <c r="H200">
        <v>6.8316999999999997</v>
      </c>
    </row>
    <row r="201" spans="2:8" x14ac:dyDescent="0.2">
      <c r="B201" t="s">
        <v>30</v>
      </c>
      <c r="C201">
        <v>2021</v>
      </c>
      <c r="D201" t="s">
        <v>16</v>
      </c>
      <c r="E201" t="s">
        <v>17</v>
      </c>
      <c r="F201">
        <v>7.8231000000000002</v>
      </c>
      <c r="G201">
        <v>4.0218999999999996</v>
      </c>
      <c r="H201">
        <v>7.3236999999999997</v>
      </c>
    </row>
    <row r="202" spans="2:8" x14ac:dyDescent="0.2">
      <c r="B202" t="s">
        <v>30</v>
      </c>
      <c r="C202">
        <v>2021</v>
      </c>
      <c r="D202" t="s">
        <v>18</v>
      </c>
      <c r="E202" t="s">
        <v>19</v>
      </c>
      <c r="F202">
        <v>7.8396999999999997</v>
      </c>
      <c r="G202">
        <v>4.4221000000000004</v>
      </c>
      <c r="H202">
        <v>7.3287000000000004</v>
      </c>
    </row>
    <row r="203" spans="2:8" x14ac:dyDescent="0.2">
      <c r="B203" t="s">
        <v>30</v>
      </c>
      <c r="C203">
        <v>2021</v>
      </c>
      <c r="D203" t="s">
        <v>20</v>
      </c>
      <c r="E203" t="s">
        <v>21</v>
      </c>
      <c r="F203">
        <v>7.8413000000000004</v>
      </c>
      <c r="G203">
        <v>4.5537999999999998</v>
      </c>
      <c r="H203">
        <v>7.3712999999999997</v>
      </c>
    </row>
    <row r="204" spans="2:8" x14ac:dyDescent="0.2">
      <c r="B204" t="s">
        <v>30</v>
      </c>
      <c r="C204">
        <v>2021</v>
      </c>
      <c r="D204" t="s">
        <v>22</v>
      </c>
      <c r="E204" t="s">
        <v>23</v>
      </c>
      <c r="F204">
        <v>7.8536000000000001</v>
      </c>
      <c r="G204">
        <v>4.6341999999999999</v>
      </c>
      <c r="H204">
        <v>7.3836000000000004</v>
      </c>
    </row>
    <row r="205" spans="2:8" x14ac:dyDescent="0.2">
      <c r="B205" t="s">
        <v>30</v>
      </c>
      <c r="C205">
        <v>2021</v>
      </c>
      <c r="D205" t="s">
        <v>24</v>
      </c>
      <c r="E205" t="s">
        <v>25</v>
      </c>
      <c r="F205">
        <v>8.0417000000000005</v>
      </c>
      <c r="G205">
        <v>5.5271999999999997</v>
      </c>
      <c r="H205">
        <v>7.8731999999999998</v>
      </c>
    </row>
    <row r="206" spans="2:8" x14ac:dyDescent="0.2">
      <c r="B206" t="s">
        <v>30</v>
      </c>
      <c r="C206">
        <v>2021</v>
      </c>
      <c r="D206" t="s">
        <v>26</v>
      </c>
      <c r="E206" t="s">
        <v>27</v>
      </c>
      <c r="F206">
        <v>8.6952999999999996</v>
      </c>
      <c r="G206">
        <v>6.6074999999999999</v>
      </c>
      <c r="H206">
        <v>8.6708999999999996</v>
      </c>
    </row>
    <row r="207" spans="2:8" x14ac:dyDescent="0.2">
      <c r="B207" t="s">
        <v>30</v>
      </c>
      <c r="C207">
        <v>2021</v>
      </c>
      <c r="D207" t="s">
        <v>28</v>
      </c>
      <c r="E207" t="s">
        <v>29</v>
      </c>
      <c r="F207">
        <v>10.7986</v>
      </c>
      <c r="G207">
        <v>7.9447000000000001</v>
      </c>
      <c r="H207">
        <v>10.6783</v>
      </c>
    </row>
    <row r="208" spans="2:8" x14ac:dyDescent="0.2">
      <c r="B208" t="s">
        <v>30</v>
      </c>
      <c r="C208">
        <v>2022</v>
      </c>
      <c r="D208" t="s">
        <v>6</v>
      </c>
      <c r="E208" t="s">
        <v>7</v>
      </c>
      <c r="F208">
        <v>13.7117</v>
      </c>
      <c r="G208">
        <v>8.8086000000000002</v>
      </c>
      <c r="H208">
        <v>13.8452</v>
      </c>
    </row>
    <row r="209" spans="2:8" x14ac:dyDescent="0.2">
      <c r="B209" t="s">
        <v>30</v>
      </c>
      <c r="C209">
        <v>2022</v>
      </c>
      <c r="D209" t="s">
        <v>8</v>
      </c>
      <c r="E209" t="s">
        <v>9</v>
      </c>
      <c r="F209">
        <v>15.243399999999999</v>
      </c>
      <c r="G209">
        <v>9.3051999999999992</v>
      </c>
      <c r="H209">
        <v>15.510400000000001</v>
      </c>
    </row>
    <row r="210" spans="2:8" x14ac:dyDescent="0.2">
      <c r="B210" t="s">
        <v>30</v>
      </c>
      <c r="C210">
        <v>2022</v>
      </c>
      <c r="D210" t="s">
        <v>10</v>
      </c>
      <c r="E210" t="s">
        <v>11</v>
      </c>
      <c r="F210">
        <v>18.9636</v>
      </c>
      <c r="G210">
        <v>10.638299999999999</v>
      </c>
      <c r="H210">
        <v>20.578399999999998</v>
      </c>
    </row>
    <row r="211" spans="2:8" x14ac:dyDescent="0.2">
      <c r="B211" t="s">
        <v>30</v>
      </c>
      <c r="C211">
        <v>2022</v>
      </c>
      <c r="D211" t="s">
        <v>12</v>
      </c>
      <c r="E211" t="s">
        <v>13</v>
      </c>
      <c r="F211">
        <v>19.1755</v>
      </c>
      <c r="G211">
        <v>11.4589</v>
      </c>
      <c r="H211">
        <v>21.499099999999999</v>
      </c>
    </row>
    <row r="212" spans="2:8" x14ac:dyDescent="0.2">
      <c r="B212" t="s">
        <v>30</v>
      </c>
      <c r="C212">
        <v>2022</v>
      </c>
      <c r="D212" t="s">
        <v>14</v>
      </c>
      <c r="E212" t="s">
        <v>15</v>
      </c>
      <c r="F212">
        <v>21.5153</v>
      </c>
      <c r="G212">
        <v>10.820600000000001</v>
      </c>
      <c r="H212">
        <v>22.208600000000001</v>
      </c>
    </row>
    <row r="213" spans="2:8" x14ac:dyDescent="0.2">
      <c r="B213" t="s">
        <v>30</v>
      </c>
      <c r="C213">
        <v>2022</v>
      </c>
      <c r="D213" t="s">
        <v>16</v>
      </c>
      <c r="E213" t="s">
        <v>17</v>
      </c>
      <c r="F213">
        <v>27.082100000000001</v>
      </c>
      <c r="G213">
        <v>11.5877</v>
      </c>
      <c r="H213">
        <v>27.9772</v>
      </c>
    </row>
    <row r="214" spans="2:8" x14ac:dyDescent="0.2">
      <c r="B214" t="s">
        <v>30</v>
      </c>
      <c r="C214">
        <v>2022</v>
      </c>
      <c r="D214" t="s">
        <v>18</v>
      </c>
      <c r="E214" t="s">
        <v>19</v>
      </c>
      <c r="F214">
        <v>24.605399999999999</v>
      </c>
      <c r="G214">
        <v>10.416499999999999</v>
      </c>
      <c r="H214">
        <v>26.0259</v>
      </c>
    </row>
    <row r="215" spans="2:8" x14ac:dyDescent="0.2">
      <c r="B215" t="s">
        <v>30</v>
      </c>
      <c r="C215">
        <v>2022</v>
      </c>
      <c r="D215" t="s">
        <v>20</v>
      </c>
      <c r="E215" t="s">
        <v>21</v>
      </c>
      <c r="F215">
        <v>20.991299999999999</v>
      </c>
      <c r="G215">
        <v>10.820399999999999</v>
      </c>
      <c r="H215">
        <v>24.061199999999999</v>
      </c>
    </row>
    <row r="216" spans="2:8" x14ac:dyDescent="0.2">
      <c r="B216" t="s">
        <v>30</v>
      </c>
      <c r="C216">
        <v>2022</v>
      </c>
      <c r="D216" t="s">
        <v>22</v>
      </c>
      <c r="E216" t="s">
        <v>23</v>
      </c>
      <c r="F216">
        <v>19.3904</v>
      </c>
      <c r="G216">
        <v>10.4931</v>
      </c>
      <c r="H216">
        <v>24.848700000000001</v>
      </c>
    </row>
    <row r="217" spans="2:8" x14ac:dyDescent="0.2">
      <c r="B217" t="s">
        <v>30</v>
      </c>
      <c r="C217">
        <v>2022</v>
      </c>
      <c r="D217" t="s">
        <v>24</v>
      </c>
      <c r="E217" t="s">
        <v>25</v>
      </c>
      <c r="F217">
        <v>20.474699999999999</v>
      </c>
      <c r="G217">
        <v>9.7642000000000007</v>
      </c>
      <c r="H217">
        <v>26.2623</v>
      </c>
    </row>
    <row r="218" spans="2:8" x14ac:dyDescent="0.2">
      <c r="B218" t="s">
        <v>30</v>
      </c>
      <c r="C218">
        <v>2022</v>
      </c>
      <c r="D218" t="s">
        <v>26</v>
      </c>
      <c r="E218" t="s">
        <v>27</v>
      </c>
      <c r="F218">
        <v>21.828199999999999</v>
      </c>
      <c r="G218">
        <v>10.2521</v>
      </c>
      <c r="H218">
        <v>25.423300000000001</v>
      </c>
    </row>
    <row r="219" spans="2:8" x14ac:dyDescent="0.2">
      <c r="B219" t="s">
        <v>30</v>
      </c>
      <c r="C219">
        <v>2022</v>
      </c>
      <c r="D219" t="s">
        <v>28</v>
      </c>
      <c r="E219" t="s">
        <v>29</v>
      </c>
      <c r="F219">
        <v>18.798400000000001</v>
      </c>
      <c r="G219">
        <v>10.2782</v>
      </c>
      <c r="H219">
        <v>22.2562</v>
      </c>
    </row>
    <row r="220" spans="2:8" x14ac:dyDescent="0.2">
      <c r="B220" t="s">
        <v>30</v>
      </c>
      <c r="C220">
        <v>2023</v>
      </c>
      <c r="D220" t="s">
        <v>6</v>
      </c>
      <c r="E220" t="s">
        <v>7</v>
      </c>
      <c r="F220">
        <v>20.308199999999999</v>
      </c>
      <c r="G220">
        <v>10.332000000000001</v>
      </c>
      <c r="H220">
        <v>22.938099999999999</v>
      </c>
    </row>
    <row r="221" spans="2:8" x14ac:dyDescent="0.2">
      <c r="B221" t="s">
        <v>30</v>
      </c>
      <c r="C221">
        <v>2023</v>
      </c>
      <c r="D221" t="s">
        <v>8</v>
      </c>
      <c r="E221" t="s">
        <v>9</v>
      </c>
      <c r="F221">
        <v>20.969799999999999</v>
      </c>
      <c r="G221">
        <v>11.527699999999999</v>
      </c>
      <c r="H221">
        <v>21.481000000000002</v>
      </c>
    </row>
    <row r="222" spans="2:8" x14ac:dyDescent="0.2">
      <c r="B222" t="s">
        <v>30</v>
      </c>
      <c r="C222">
        <v>2023</v>
      </c>
      <c r="D222" t="s">
        <v>10</v>
      </c>
      <c r="E222" t="s">
        <v>11</v>
      </c>
      <c r="F222">
        <v>20.9145</v>
      </c>
      <c r="G222">
        <v>11.5853</v>
      </c>
      <c r="H222">
        <v>21.2818</v>
      </c>
    </row>
    <row r="223" spans="2:8" x14ac:dyDescent="0.2">
      <c r="B223" t="s">
        <v>30</v>
      </c>
      <c r="C223">
        <v>2023</v>
      </c>
      <c r="D223" t="s">
        <v>12</v>
      </c>
      <c r="E223" t="s">
        <v>13</v>
      </c>
      <c r="F223">
        <v>22.412500000000001</v>
      </c>
      <c r="G223">
        <v>9.9308999999999994</v>
      </c>
      <c r="H223">
        <v>21.116099999999999</v>
      </c>
    </row>
    <row r="224" spans="2:8" x14ac:dyDescent="0.2">
      <c r="B224" t="s">
        <v>30</v>
      </c>
      <c r="C224">
        <v>2023</v>
      </c>
      <c r="D224" t="s">
        <v>14</v>
      </c>
      <c r="E224" t="s">
        <v>15</v>
      </c>
      <c r="F224">
        <v>20.4481</v>
      </c>
      <c r="G224">
        <v>10.1846</v>
      </c>
      <c r="H224">
        <v>19.3325</v>
      </c>
    </row>
    <row r="225" spans="2:8" x14ac:dyDescent="0.2">
      <c r="B225" t="s">
        <v>30</v>
      </c>
      <c r="C225">
        <v>2023</v>
      </c>
      <c r="D225" t="s">
        <v>16</v>
      </c>
      <c r="E225" t="s">
        <v>17</v>
      </c>
      <c r="F225">
        <v>23.407900000000001</v>
      </c>
      <c r="G225">
        <v>10.3407</v>
      </c>
      <c r="H225">
        <v>22.070900000000002</v>
      </c>
    </row>
    <row r="226" spans="2:8" x14ac:dyDescent="0.2">
      <c r="B226" t="s">
        <v>30</v>
      </c>
      <c r="C226">
        <v>2023</v>
      </c>
      <c r="D226" t="s">
        <v>18</v>
      </c>
      <c r="E226" t="s">
        <v>19</v>
      </c>
      <c r="F226">
        <v>30.639399999999998</v>
      </c>
      <c r="G226">
        <v>11.9725</v>
      </c>
      <c r="H226">
        <v>29.824200000000001</v>
      </c>
    </row>
    <row r="227" spans="2:8" x14ac:dyDescent="0.2">
      <c r="B227" t="s">
        <v>30</v>
      </c>
      <c r="C227">
        <v>2023</v>
      </c>
      <c r="D227" t="s">
        <v>20</v>
      </c>
      <c r="E227" t="s">
        <v>21</v>
      </c>
      <c r="F227">
        <v>37.369300000000003</v>
      </c>
      <c r="G227">
        <v>15.778</v>
      </c>
      <c r="H227">
        <v>37.900399999999998</v>
      </c>
    </row>
    <row r="228" spans="2:8" x14ac:dyDescent="0.2">
      <c r="B228" t="s">
        <v>30</v>
      </c>
      <c r="C228">
        <v>2023</v>
      </c>
      <c r="D228" t="s">
        <v>22</v>
      </c>
      <c r="E228" t="s">
        <v>23</v>
      </c>
      <c r="F228">
        <v>38.249000000000002</v>
      </c>
      <c r="G228">
        <v>17.118400000000001</v>
      </c>
      <c r="H228">
        <v>39.655299999999997</v>
      </c>
    </row>
    <row r="229" spans="2:8" x14ac:dyDescent="0.2">
      <c r="B229" t="s">
        <v>30</v>
      </c>
      <c r="C229">
        <v>2023</v>
      </c>
      <c r="D229" t="s">
        <v>24</v>
      </c>
      <c r="E229" t="s">
        <v>25</v>
      </c>
      <c r="F229">
        <v>35.120899999999999</v>
      </c>
      <c r="G229">
        <v>17.915299999999998</v>
      </c>
      <c r="H229">
        <v>39.494399999999999</v>
      </c>
    </row>
    <row r="230" spans="2:8" x14ac:dyDescent="0.2">
      <c r="B230" t="s">
        <v>30</v>
      </c>
      <c r="C230">
        <v>2023</v>
      </c>
      <c r="D230" t="s">
        <v>26</v>
      </c>
      <c r="E230" t="s">
        <v>27</v>
      </c>
      <c r="F230">
        <v>35.237200000000001</v>
      </c>
      <c r="G230">
        <v>17.938500000000001</v>
      </c>
      <c r="H230">
        <v>38.3827</v>
      </c>
    </row>
    <row r="231" spans="2:8" x14ac:dyDescent="0.2">
      <c r="B231" t="s">
        <v>30</v>
      </c>
      <c r="C231">
        <v>2023</v>
      </c>
      <c r="D231" t="s">
        <v>28</v>
      </c>
      <c r="E231" t="s">
        <v>29</v>
      </c>
      <c r="F231">
        <v>34.527999999999999</v>
      </c>
      <c r="G231">
        <v>17.954499999999999</v>
      </c>
      <c r="H231">
        <v>37.005099999999999</v>
      </c>
    </row>
    <row r="232" spans="2:8" x14ac:dyDescent="0.2">
      <c r="B232" t="s">
        <v>30</v>
      </c>
      <c r="C232">
        <v>2024</v>
      </c>
      <c r="D232" t="s">
        <v>6</v>
      </c>
      <c r="E232" t="s">
        <v>7</v>
      </c>
      <c r="F232">
        <v>37.563800000000001</v>
      </c>
      <c r="G232">
        <v>19.3262</v>
      </c>
      <c r="H232">
        <v>39.793500000000002</v>
      </c>
    </row>
    <row r="233" spans="2:8" x14ac:dyDescent="0.2">
      <c r="B233" t="s">
        <v>30</v>
      </c>
      <c r="C233">
        <v>2024</v>
      </c>
      <c r="D233" t="s">
        <v>8</v>
      </c>
      <c r="E233" t="s">
        <v>9</v>
      </c>
      <c r="F233">
        <v>40.773600000000002</v>
      </c>
      <c r="G233">
        <v>19.859400000000001</v>
      </c>
      <c r="H233">
        <v>43.096800000000002</v>
      </c>
    </row>
    <row r="234" spans="2:8" x14ac:dyDescent="0.2">
      <c r="B234" t="s">
        <v>30</v>
      </c>
      <c r="C234">
        <v>2024</v>
      </c>
      <c r="D234" t="s">
        <v>10</v>
      </c>
      <c r="E234" t="s">
        <v>11</v>
      </c>
      <c r="F234">
        <v>42.353999999999999</v>
      </c>
      <c r="G234">
        <v>21.352699999999999</v>
      </c>
      <c r="H234">
        <v>42.056800000000003</v>
      </c>
    </row>
    <row r="235" spans="2:8" x14ac:dyDescent="0.2">
      <c r="B235" t="s">
        <v>30</v>
      </c>
      <c r="C235">
        <v>2024</v>
      </c>
      <c r="D235" t="s">
        <v>12</v>
      </c>
      <c r="E235" t="s">
        <v>13</v>
      </c>
      <c r="F235">
        <v>44.424700000000001</v>
      </c>
      <c r="G235">
        <v>21.8202</v>
      </c>
      <c r="H235">
        <v>42.676299999999998</v>
      </c>
    </row>
    <row r="236" spans="2:8" x14ac:dyDescent="0.2">
      <c r="B236" t="s">
        <v>30</v>
      </c>
      <c r="C236">
        <v>2024</v>
      </c>
      <c r="D236" t="s">
        <v>14</v>
      </c>
      <c r="E236" t="s">
        <v>15</v>
      </c>
      <c r="F236">
        <v>43.7941</v>
      </c>
      <c r="G236">
        <v>20.508800000000001</v>
      </c>
      <c r="H236">
        <v>41.285400000000003</v>
      </c>
    </row>
    <row r="237" spans="2:8" x14ac:dyDescent="0.2">
      <c r="B237" t="s">
        <v>30</v>
      </c>
      <c r="C237">
        <v>2024</v>
      </c>
      <c r="D237" t="s">
        <v>16</v>
      </c>
      <c r="E237" t="s">
        <v>17</v>
      </c>
      <c r="F237">
        <v>41.7851</v>
      </c>
      <c r="G237">
        <v>19.6676</v>
      </c>
      <c r="H237">
        <v>41.4054</v>
      </c>
    </row>
    <row r="238" spans="2:8" x14ac:dyDescent="0.2">
      <c r="B238" t="s">
        <v>30</v>
      </c>
      <c r="C238">
        <v>2024</v>
      </c>
      <c r="D238" t="s">
        <v>18</v>
      </c>
      <c r="E238" t="s">
        <v>19</v>
      </c>
      <c r="F238">
        <v>45.625500000000002</v>
      </c>
      <c r="G238">
        <v>22.476800000000001</v>
      </c>
      <c r="H238">
        <v>45.181100000000001</v>
      </c>
    </row>
    <row r="239" spans="2:8" x14ac:dyDescent="0.2">
      <c r="B239" t="s">
        <v>30</v>
      </c>
      <c r="C239">
        <v>2024</v>
      </c>
      <c r="D239" t="s">
        <v>20</v>
      </c>
      <c r="E239" t="s">
        <v>21</v>
      </c>
      <c r="F239">
        <v>44.801000000000002</v>
      </c>
      <c r="G239">
        <v>22.715</v>
      </c>
      <c r="H239">
        <v>44.255099999999999</v>
      </c>
    </row>
    <row r="240" spans="2:8" x14ac:dyDescent="0.2">
      <c r="B240" t="s">
        <v>30</v>
      </c>
      <c r="C240">
        <v>2024</v>
      </c>
      <c r="D240" t="s">
        <v>22</v>
      </c>
      <c r="E240" t="s">
        <v>23</v>
      </c>
      <c r="F240">
        <v>42.704900000000002</v>
      </c>
      <c r="G240">
        <v>24.6431</v>
      </c>
      <c r="H240">
        <v>42.8018</v>
      </c>
    </row>
    <row r="241" spans="2:8" x14ac:dyDescent="0.2">
      <c r="B241" t="s">
        <v>30</v>
      </c>
      <c r="C241">
        <v>2024</v>
      </c>
      <c r="D241" t="s">
        <v>24</v>
      </c>
      <c r="E241" t="s">
        <v>25</v>
      </c>
      <c r="F241">
        <v>44.076500000000003</v>
      </c>
      <c r="G241">
        <v>24.7209</v>
      </c>
      <c r="H241">
        <v>43.411499999999997</v>
      </c>
    </row>
    <row r="242" spans="2:8" x14ac:dyDescent="0.2">
      <c r="B242" t="s">
        <v>30</v>
      </c>
      <c r="C242">
        <v>2024</v>
      </c>
      <c r="D242" t="s">
        <v>26</v>
      </c>
      <c r="E242" t="s">
        <v>27</v>
      </c>
      <c r="F242">
        <v>43.384500000000003</v>
      </c>
      <c r="G242">
        <v>25.535799999999998</v>
      </c>
      <c r="H242">
        <v>43.567100000000003</v>
      </c>
    </row>
    <row r="243" spans="2:8" x14ac:dyDescent="0.2">
      <c r="B243" t="s">
        <v>30</v>
      </c>
      <c r="C243">
        <v>2024</v>
      </c>
      <c r="D243" t="s">
        <v>28</v>
      </c>
      <c r="E243" t="s">
        <v>29</v>
      </c>
      <c r="F243">
        <v>43.391100000000002</v>
      </c>
      <c r="G243">
        <v>25.507200000000001</v>
      </c>
      <c r="H243">
        <v>44.173000000000002</v>
      </c>
    </row>
    <row r="244" spans="2:8" x14ac:dyDescent="0.2">
      <c r="B244" t="s">
        <v>30</v>
      </c>
      <c r="C244">
        <v>2025</v>
      </c>
      <c r="D244" t="s">
        <v>6</v>
      </c>
      <c r="E244" t="s">
        <v>7</v>
      </c>
      <c r="F244">
        <v>46.079900000000002</v>
      </c>
      <c r="G244">
        <v>25.688600000000001</v>
      </c>
      <c r="H244">
        <v>46.720999999999997</v>
      </c>
    </row>
    <row r="245" spans="2:8" x14ac:dyDescent="0.2">
      <c r="B245" t="s">
        <v>30</v>
      </c>
      <c r="C245">
        <v>2025</v>
      </c>
      <c r="D245" t="s">
        <v>8</v>
      </c>
      <c r="E245" t="s">
        <v>9</v>
      </c>
      <c r="F245">
        <v>47.1813</v>
      </c>
      <c r="G245">
        <v>26.771000000000001</v>
      </c>
      <c r="H245">
        <v>47.351700000000001</v>
      </c>
    </row>
    <row r="246" spans="2:8" x14ac:dyDescent="0.2">
      <c r="B246" t="s">
        <v>30</v>
      </c>
      <c r="C246">
        <v>2025</v>
      </c>
      <c r="D246" t="s">
        <v>10</v>
      </c>
      <c r="E246" t="s">
        <v>11</v>
      </c>
      <c r="F246">
        <v>45.718000000000004</v>
      </c>
      <c r="G246">
        <v>26.911000000000001</v>
      </c>
      <c r="H246">
        <v>46.3962</v>
      </c>
    </row>
    <row r="247" spans="2:8" x14ac:dyDescent="0.2">
      <c r="B247" t="s">
        <v>30</v>
      </c>
      <c r="C247">
        <v>2025</v>
      </c>
      <c r="D247" t="s">
        <v>12</v>
      </c>
      <c r="E247" t="s">
        <v>13</v>
      </c>
      <c r="F247">
        <v>46.136299999999999</v>
      </c>
      <c r="G247">
        <v>26.6065</v>
      </c>
      <c r="H247">
        <v>45.842599999999997</v>
      </c>
    </row>
    <row r="248" spans="2:8" x14ac:dyDescent="0.2">
      <c r="B248" t="s">
        <v>30</v>
      </c>
      <c r="C248">
        <v>2025</v>
      </c>
      <c r="D248" t="s">
        <v>14</v>
      </c>
      <c r="E248" t="s">
        <v>15</v>
      </c>
      <c r="F248">
        <v>46.953600000000002</v>
      </c>
      <c r="G248">
        <v>25.387</v>
      </c>
      <c r="H248">
        <v>46.066299999999998</v>
      </c>
    </row>
    <row r="249" spans="2:8" x14ac:dyDescent="0.2">
      <c r="B249" t="s">
        <v>30</v>
      </c>
      <c r="C249">
        <v>2025</v>
      </c>
      <c r="D249" t="s">
        <v>16</v>
      </c>
      <c r="E249" t="s">
        <v>17</v>
      </c>
      <c r="F249">
        <v>49.265999999999998</v>
      </c>
      <c r="G249">
        <v>24.325700000000001</v>
      </c>
      <c r="H249">
        <v>49.358699999999999</v>
      </c>
    </row>
    <row r="250" spans="2:8" x14ac:dyDescent="0.2">
      <c r="B250" t="s">
        <v>30</v>
      </c>
      <c r="C250">
        <v>2025</v>
      </c>
      <c r="D250" t="s">
        <v>18</v>
      </c>
      <c r="E250" t="s">
        <v>19</v>
      </c>
      <c r="F250">
        <v>51.946599999999997</v>
      </c>
      <c r="G250">
        <v>25.373699999999999</v>
      </c>
      <c r="H250">
        <v>53.776200000000003</v>
      </c>
    </row>
    <row r="251" spans="2:8" x14ac:dyDescent="0.2">
      <c r="B251" t="s">
        <v>30</v>
      </c>
      <c r="C251">
        <v>2025</v>
      </c>
      <c r="D251" t="s">
        <v>20</v>
      </c>
      <c r="E251" t="s">
        <v>21</v>
      </c>
      <c r="F251">
        <v>52.474899999999998</v>
      </c>
      <c r="G251">
        <v>25.713200000000001</v>
      </c>
      <c r="H251">
        <v>53.237900000000003</v>
      </c>
    </row>
    <row r="252" spans="2:8" x14ac:dyDescent="0.2">
      <c r="B252" t="s">
        <v>30</v>
      </c>
      <c r="C252">
        <v>2025</v>
      </c>
      <c r="D252" t="s">
        <v>22</v>
      </c>
      <c r="E252" t="s">
        <v>23</v>
      </c>
      <c r="F252">
        <v>54.019300000000001</v>
      </c>
      <c r="G252">
        <v>25.664300000000001</v>
      </c>
      <c r="H252">
        <v>54.812899999999999</v>
      </c>
    </row>
    <row r="253" spans="2:8" x14ac:dyDescent="0.2">
      <c r="B253" t="s">
        <v>30</v>
      </c>
      <c r="C253">
        <v>2025</v>
      </c>
      <c r="D253" t="s">
        <v>24</v>
      </c>
      <c r="E253" t="s">
        <v>25</v>
      </c>
      <c r="F253">
        <v>53.504100000000001</v>
      </c>
      <c r="G253">
        <v>26.907299999999999</v>
      </c>
      <c r="H253">
        <v>54.441099999999999</v>
      </c>
    </row>
    <row r="254" spans="2:8" x14ac:dyDescent="0.2">
      <c r="B254" t="s">
        <v>30</v>
      </c>
      <c r="C254">
        <v>2025</v>
      </c>
      <c r="D254" t="s">
        <v>26</v>
      </c>
      <c r="E254" t="s">
        <v>27</v>
      </c>
      <c r="F254">
        <v>55.258099999999999</v>
      </c>
      <c r="G254">
        <v>26.920500000000001</v>
      </c>
      <c r="H254">
        <v>58.0045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190-B5CF-B74C-B1AB-C1AD9BF3BE16}">
  <dimension ref="B6:AF83"/>
  <sheetViews>
    <sheetView zoomScale="75" workbookViewId="0">
      <selection activeCell="AB83" sqref="AB83"/>
    </sheetView>
  </sheetViews>
  <sheetFormatPr baseColWidth="10" defaultRowHeight="16" x14ac:dyDescent="0.2"/>
  <sheetData>
    <row r="6" spans="2:32" x14ac:dyDescent="0.2">
      <c r="M6" t="s">
        <v>38</v>
      </c>
      <c r="O6" t="s">
        <v>39</v>
      </c>
      <c r="P6" t="s">
        <v>40</v>
      </c>
      <c r="Q6" t="s">
        <v>41</v>
      </c>
    </row>
    <row r="7" spans="2:32" x14ac:dyDescent="0.2">
      <c r="B7" t="s">
        <v>42</v>
      </c>
      <c r="C7" s="1" t="s">
        <v>43</v>
      </c>
      <c r="D7" s="2" t="s">
        <v>44</v>
      </c>
      <c r="E7" s="3" t="s">
        <v>45</v>
      </c>
      <c r="F7" s="4">
        <v>3.3279196717571722</v>
      </c>
      <c r="G7" s="5">
        <v>0.1</v>
      </c>
      <c r="M7" t="s">
        <v>0</v>
      </c>
    </row>
    <row r="8" spans="2:32" x14ac:dyDescent="0.2">
      <c r="B8" t="s">
        <v>46</v>
      </c>
      <c r="C8" s="1" t="s">
        <v>47</v>
      </c>
      <c r="D8" s="6" t="s">
        <v>48</v>
      </c>
      <c r="E8" s="1" t="s">
        <v>49</v>
      </c>
      <c r="F8" s="4">
        <v>1.9658391536728812</v>
      </c>
      <c r="G8" s="5">
        <v>0.1</v>
      </c>
      <c r="O8" t="s">
        <v>2</v>
      </c>
      <c r="P8" t="s">
        <v>3</v>
      </c>
      <c r="Q8" t="s">
        <v>4</v>
      </c>
      <c r="R8" t="s">
        <v>50</v>
      </c>
      <c r="U8" t="s">
        <v>2</v>
      </c>
      <c r="V8" t="s">
        <v>4</v>
      </c>
      <c r="Y8" t="s">
        <v>124</v>
      </c>
      <c r="AA8" t="s">
        <v>50</v>
      </c>
      <c r="AB8" t="s">
        <v>2</v>
      </c>
      <c r="AC8" t="s">
        <v>4</v>
      </c>
      <c r="AD8" t="s">
        <v>122</v>
      </c>
      <c r="AE8" t="s">
        <v>123</v>
      </c>
      <c r="AF8" t="s">
        <v>125</v>
      </c>
    </row>
    <row r="9" spans="2:32" x14ac:dyDescent="0.2">
      <c r="K9" t="s">
        <v>30</v>
      </c>
      <c r="L9">
        <v>2020</v>
      </c>
      <c r="M9" t="s">
        <v>6</v>
      </c>
      <c r="N9" t="str">
        <f t="shared" ref="N9:N72" si="0">L9&amp;" "&amp;M9</f>
        <v>2020 Ocak</v>
      </c>
      <c r="O9">
        <v>7.0743999999999998</v>
      </c>
      <c r="P9">
        <v>3.5712999999999999</v>
      </c>
      <c r="Q9">
        <v>6.6277999999999997</v>
      </c>
      <c r="R9">
        <v>446.45</v>
      </c>
      <c r="T9" t="s">
        <v>51</v>
      </c>
      <c r="U9">
        <f>O9/1.18-W9</f>
        <v>2.4952542372881359</v>
      </c>
      <c r="V9">
        <f>Q9/1.18-X9</f>
        <v>2.1167796610169489</v>
      </c>
      <c r="W9">
        <v>3.5</v>
      </c>
      <c r="X9">
        <v>3.5</v>
      </c>
      <c r="Y9" s="8">
        <v>5.93</v>
      </c>
      <c r="Z9" t="s">
        <v>51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</row>
    <row r="10" spans="2:32" x14ac:dyDescent="0.2">
      <c r="K10" t="s">
        <v>30</v>
      </c>
      <c r="L10">
        <v>2020</v>
      </c>
      <c r="M10" t="s">
        <v>8</v>
      </c>
      <c r="N10" t="str">
        <f t="shared" si="0"/>
        <v>2020 Şubat</v>
      </c>
      <c r="O10">
        <v>6.8140999999999998</v>
      </c>
      <c r="P10">
        <v>3.5607000000000002</v>
      </c>
      <c r="Q10">
        <v>6.4562999999999997</v>
      </c>
      <c r="R10">
        <v>448.02</v>
      </c>
      <c r="T10" t="s">
        <v>52</v>
      </c>
      <c r="U10">
        <f t="shared" ref="U10:U73" si="1">O10/1.18-W10</f>
        <v>2.1746610169491523</v>
      </c>
      <c r="V10">
        <f t="shared" ref="V10:V73" si="2">Q10/1.18-X10</f>
        <v>1.8714406779661013</v>
      </c>
      <c r="W10">
        <v>3.6</v>
      </c>
      <c r="X10">
        <v>3.6</v>
      </c>
      <c r="Y10" s="8">
        <v>6.06</v>
      </c>
      <c r="Z10" t="s">
        <v>52</v>
      </c>
      <c r="AA10">
        <f>100*R10/$R$9</f>
        <v>100.35166312017023</v>
      </c>
      <c r="AB10">
        <f>100*U10/$U$9</f>
        <v>87.151881537834512</v>
      </c>
      <c r="AC10">
        <f>100*V10/$V$9</f>
        <v>88.40980062454959</v>
      </c>
      <c r="AD10">
        <f>100*O10/$O$9</f>
        <v>96.320536017188729</v>
      </c>
      <c r="AE10">
        <f>100*Q10/$Q$9</f>
        <v>97.412414375810982</v>
      </c>
      <c r="AF10">
        <f>100*Y10/$Y$9</f>
        <v>102.19224283305228</v>
      </c>
    </row>
    <row r="11" spans="2:32" x14ac:dyDescent="0.2">
      <c r="K11" t="s">
        <v>30</v>
      </c>
      <c r="L11">
        <v>2020</v>
      </c>
      <c r="M11" t="s">
        <v>10</v>
      </c>
      <c r="N11" t="str">
        <f t="shared" si="0"/>
        <v>2020 Mart</v>
      </c>
      <c r="O11">
        <v>5.8388</v>
      </c>
      <c r="P11">
        <v>3.5293999999999999</v>
      </c>
      <c r="Q11">
        <v>5.8166000000000002</v>
      </c>
      <c r="R11">
        <v>450.58</v>
      </c>
      <c r="T11" t="s">
        <v>53</v>
      </c>
      <c r="U11">
        <f t="shared" si="1"/>
        <v>1.2481355932203391</v>
      </c>
      <c r="V11">
        <f t="shared" si="2"/>
        <v>1.2293220338983053</v>
      </c>
      <c r="W11">
        <v>3.7</v>
      </c>
      <c r="X11">
        <v>3.7</v>
      </c>
      <c r="Y11" s="8">
        <v>6.33</v>
      </c>
      <c r="Z11" t="s">
        <v>53</v>
      </c>
      <c r="AA11">
        <f t="shared" ref="AA11:AA74" si="3">100*R11/$R$9</f>
        <v>100.92507559637137</v>
      </c>
      <c r="AB11">
        <f t="shared" ref="AB11:AB74" si="4">100*U11/$U$9</f>
        <v>50.020377666077977</v>
      </c>
      <c r="AC11">
        <f t="shared" ref="AC11:AC74" si="5">100*V11/$V$9</f>
        <v>58.07510609336218</v>
      </c>
      <c r="AD11">
        <f t="shared" ref="AD11:AD74" si="6">100*O11/$O$9</f>
        <v>82.534207848015384</v>
      </c>
      <c r="AE11">
        <f t="shared" ref="AE11:AE74" si="7">100*Q11/$Q$9</f>
        <v>87.760644557771812</v>
      </c>
      <c r="AF11">
        <f t="shared" ref="AF11:AF74" si="8">100*Y11/$Y$9</f>
        <v>106.74536256323778</v>
      </c>
    </row>
    <row r="12" spans="2:32" x14ac:dyDescent="0.2">
      <c r="K12" t="s">
        <v>30</v>
      </c>
      <c r="L12">
        <v>2020</v>
      </c>
      <c r="M12" t="s">
        <v>12</v>
      </c>
      <c r="N12" t="str">
        <f t="shared" si="0"/>
        <v>2020 Nisan</v>
      </c>
      <c r="O12">
        <v>5.2363999999999997</v>
      </c>
      <c r="P12">
        <v>2.7978999999999998</v>
      </c>
      <c r="Q12">
        <v>5.2778999999999998</v>
      </c>
      <c r="R12">
        <v>454.43</v>
      </c>
      <c r="T12" t="s">
        <v>54</v>
      </c>
      <c r="U12">
        <f t="shared" si="1"/>
        <v>0.63762711864406807</v>
      </c>
      <c r="V12">
        <f t="shared" si="2"/>
        <v>0.67279661016949177</v>
      </c>
      <c r="W12">
        <v>3.8</v>
      </c>
      <c r="X12">
        <v>3.8</v>
      </c>
      <c r="Y12" s="8">
        <v>6.83</v>
      </c>
      <c r="Z12" t="s">
        <v>54</v>
      </c>
      <c r="AA12">
        <f t="shared" si="3"/>
        <v>101.78743420315826</v>
      </c>
      <c r="AB12">
        <f t="shared" si="4"/>
        <v>25.553593261785092</v>
      </c>
      <c r="AC12">
        <f t="shared" si="5"/>
        <v>31.783969893506299</v>
      </c>
      <c r="AD12">
        <f t="shared" si="6"/>
        <v>74.018998077575489</v>
      </c>
      <c r="AE12">
        <f t="shared" si="7"/>
        <v>79.63275898488186</v>
      </c>
      <c r="AF12">
        <f t="shared" si="8"/>
        <v>115.177065767285</v>
      </c>
    </row>
    <row r="13" spans="2:32" x14ac:dyDescent="0.2">
      <c r="K13" t="s">
        <v>30</v>
      </c>
      <c r="L13">
        <v>2020</v>
      </c>
      <c r="M13" t="s">
        <v>14</v>
      </c>
      <c r="N13" t="str">
        <f t="shared" si="0"/>
        <v>2020 Mayıs</v>
      </c>
      <c r="O13">
        <v>5.7314999999999996</v>
      </c>
      <c r="P13">
        <v>3.0682</v>
      </c>
      <c r="Q13">
        <v>5.3998999999999997</v>
      </c>
      <c r="R13">
        <v>460.62</v>
      </c>
      <c r="T13" t="s">
        <v>55</v>
      </c>
      <c r="U13">
        <f t="shared" si="1"/>
        <v>0.95720338983050857</v>
      </c>
      <c r="V13">
        <f t="shared" si="2"/>
        <v>0.67618644067796607</v>
      </c>
      <c r="W13">
        <v>3.9</v>
      </c>
      <c r="X13">
        <v>3.9</v>
      </c>
      <c r="Y13" s="8">
        <v>6.96</v>
      </c>
      <c r="Z13" t="s">
        <v>55</v>
      </c>
      <c r="AA13">
        <f t="shared" si="3"/>
        <v>103.17392765147274</v>
      </c>
      <c r="AB13">
        <f t="shared" si="4"/>
        <v>38.360956391794588</v>
      </c>
      <c r="AC13">
        <f t="shared" si="5"/>
        <v>31.944110817519419</v>
      </c>
      <c r="AD13">
        <f t="shared" si="6"/>
        <v>81.017471446341744</v>
      </c>
      <c r="AE13">
        <f t="shared" si="7"/>
        <v>81.473490449319542</v>
      </c>
      <c r="AF13">
        <f t="shared" si="8"/>
        <v>117.36930860033728</v>
      </c>
    </row>
    <row r="14" spans="2:32" x14ac:dyDescent="0.2">
      <c r="K14" t="s">
        <v>30</v>
      </c>
      <c r="L14">
        <v>2020</v>
      </c>
      <c r="M14" t="s">
        <v>16</v>
      </c>
      <c r="N14" t="str">
        <f t="shared" si="0"/>
        <v>2020 Haziran</v>
      </c>
      <c r="O14">
        <v>6.1642000000000001</v>
      </c>
      <c r="P14">
        <v>3.2483</v>
      </c>
      <c r="Q14">
        <v>5.7500999999999998</v>
      </c>
      <c r="R14">
        <v>465.84</v>
      </c>
      <c r="T14" t="s">
        <v>56</v>
      </c>
      <c r="U14">
        <f t="shared" si="1"/>
        <v>1.2238983050847461</v>
      </c>
      <c r="V14">
        <f t="shared" si="2"/>
        <v>0.87296610169491551</v>
      </c>
      <c r="W14">
        <v>4</v>
      </c>
      <c r="X14">
        <v>4</v>
      </c>
      <c r="Y14" s="8">
        <v>6.82</v>
      </c>
      <c r="Z14" t="s">
        <v>56</v>
      </c>
      <c r="AA14">
        <f t="shared" si="3"/>
        <v>104.34315152872662</v>
      </c>
      <c r="AB14">
        <f t="shared" si="4"/>
        <v>49.049042249694338</v>
      </c>
      <c r="AC14">
        <f t="shared" si="5"/>
        <v>41.240291456481714</v>
      </c>
      <c r="AD14">
        <f t="shared" si="6"/>
        <v>87.13389121338912</v>
      </c>
      <c r="AE14">
        <f t="shared" si="7"/>
        <v>86.757295030025048</v>
      </c>
      <c r="AF14">
        <f t="shared" si="8"/>
        <v>115.00843170320405</v>
      </c>
    </row>
    <row r="15" spans="2:32" x14ac:dyDescent="0.2">
      <c r="K15" t="s">
        <v>30</v>
      </c>
      <c r="L15">
        <v>2020</v>
      </c>
      <c r="M15" t="s">
        <v>18</v>
      </c>
      <c r="N15" t="str">
        <f t="shared" si="0"/>
        <v>2020 Temmuz</v>
      </c>
      <c r="O15">
        <v>6.4291999999999998</v>
      </c>
      <c r="P15">
        <v>3.5537999999999998</v>
      </c>
      <c r="Q15">
        <v>6.0076000000000001</v>
      </c>
      <c r="R15">
        <v>468.56</v>
      </c>
      <c r="T15" t="s">
        <v>57</v>
      </c>
      <c r="U15">
        <f t="shared" si="1"/>
        <v>1.3484745762711867</v>
      </c>
      <c r="V15">
        <f t="shared" si="2"/>
        <v>0.99118644067796691</v>
      </c>
      <c r="W15">
        <v>4.0999999999999996</v>
      </c>
      <c r="X15">
        <v>4.0999999999999996</v>
      </c>
      <c r="Y15" s="8">
        <v>6.86</v>
      </c>
      <c r="Z15" t="s">
        <v>57</v>
      </c>
      <c r="AA15">
        <f t="shared" si="3"/>
        <v>104.95240228469034</v>
      </c>
      <c r="AB15">
        <f t="shared" si="4"/>
        <v>54.041570438799084</v>
      </c>
      <c r="AC15">
        <f t="shared" si="5"/>
        <v>46.825206181439711</v>
      </c>
      <c r="AD15">
        <f t="shared" si="6"/>
        <v>90.879791925817031</v>
      </c>
      <c r="AE15">
        <f t="shared" si="7"/>
        <v>90.642445457014404</v>
      </c>
      <c r="AF15">
        <f t="shared" si="8"/>
        <v>115.68296795952783</v>
      </c>
    </row>
    <row r="16" spans="2:32" x14ac:dyDescent="0.2">
      <c r="K16" t="s">
        <v>30</v>
      </c>
      <c r="L16">
        <v>2020</v>
      </c>
      <c r="M16" t="s">
        <v>20</v>
      </c>
      <c r="N16" t="str">
        <f t="shared" si="0"/>
        <v>2020 Ağustos</v>
      </c>
      <c r="O16">
        <v>6.6360999999999999</v>
      </c>
      <c r="P16">
        <v>3.5689000000000002</v>
      </c>
      <c r="Q16">
        <v>6.1638000000000002</v>
      </c>
      <c r="R16">
        <v>472.61</v>
      </c>
      <c r="T16" t="s">
        <v>58</v>
      </c>
      <c r="U16">
        <f t="shared" si="1"/>
        <v>1.423813559322034</v>
      </c>
      <c r="V16">
        <f t="shared" si="2"/>
        <v>1.0235593220338988</v>
      </c>
      <c r="W16">
        <v>4.2</v>
      </c>
      <c r="X16">
        <v>4.2</v>
      </c>
      <c r="Y16" s="8">
        <v>7.27</v>
      </c>
      <c r="Z16" t="s">
        <v>58</v>
      </c>
      <c r="AA16">
        <f t="shared" si="3"/>
        <v>105.85955874118042</v>
      </c>
      <c r="AB16">
        <f t="shared" si="4"/>
        <v>57.06086129601956</v>
      </c>
      <c r="AC16">
        <f t="shared" si="5"/>
        <v>48.3545520057651</v>
      </c>
      <c r="AD16">
        <f t="shared" si="6"/>
        <v>93.804421576388108</v>
      </c>
      <c r="AE16">
        <f t="shared" si="7"/>
        <v>92.999185250007542</v>
      </c>
      <c r="AF16">
        <f t="shared" si="8"/>
        <v>122.59696458684655</v>
      </c>
    </row>
    <row r="17" spans="11:32" x14ac:dyDescent="0.2">
      <c r="K17" t="s">
        <v>30</v>
      </c>
      <c r="L17">
        <v>2020</v>
      </c>
      <c r="M17" t="s">
        <v>22</v>
      </c>
      <c r="N17" t="str">
        <f t="shared" si="0"/>
        <v>2020 Eylül</v>
      </c>
      <c r="O17">
        <v>6.7812000000000001</v>
      </c>
      <c r="P17">
        <v>3.6631999999999998</v>
      </c>
      <c r="Q17">
        <v>6.0171999999999999</v>
      </c>
      <c r="R17">
        <v>477.21</v>
      </c>
      <c r="T17" t="s">
        <v>59</v>
      </c>
      <c r="U17">
        <f t="shared" si="1"/>
        <v>1.4467796610169499</v>
      </c>
      <c r="V17">
        <f t="shared" si="2"/>
        <v>0.79932203389830558</v>
      </c>
      <c r="W17">
        <v>4.3</v>
      </c>
      <c r="X17">
        <v>4.3</v>
      </c>
      <c r="Y17" s="8">
        <v>7.52</v>
      </c>
      <c r="Z17" t="s">
        <v>59</v>
      </c>
      <c r="AA17">
        <f t="shared" si="3"/>
        <v>106.88990928435436</v>
      </c>
      <c r="AB17">
        <f t="shared" si="4"/>
        <v>57.981252547208278</v>
      </c>
      <c r="AC17">
        <f t="shared" si="5"/>
        <v>37.761229882296448</v>
      </c>
      <c r="AD17">
        <f t="shared" si="6"/>
        <v>95.855478909872218</v>
      </c>
      <c r="AE17">
        <f t="shared" si="7"/>
        <v>90.787289900117699</v>
      </c>
      <c r="AF17">
        <f t="shared" si="8"/>
        <v>126.81281618887016</v>
      </c>
    </row>
    <row r="18" spans="11:32" x14ac:dyDescent="0.2">
      <c r="K18" t="s">
        <v>30</v>
      </c>
      <c r="L18">
        <v>2020</v>
      </c>
      <c r="M18" t="s">
        <v>24</v>
      </c>
      <c r="N18" t="str">
        <f t="shared" si="0"/>
        <v>2020 Ekim</v>
      </c>
      <c r="O18">
        <v>6.8609999999999998</v>
      </c>
      <c r="P18">
        <v>3.6389</v>
      </c>
      <c r="Q18">
        <v>6.1753999999999998</v>
      </c>
      <c r="R18">
        <v>487.38</v>
      </c>
      <c r="T18" t="s">
        <v>60</v>
      </c>
      <c r="U18">
        <f t="shared" si="1"/>
        <v>1.4144067796610171</v>
      </c>
      <c r="V18">
        <f t="shared" si="2"/>
        <v>0.83338983050847393</v>
      </c>
      <c r="W18">
        <v>4.4000000000000004</v>
      </c>
      <c r="X18">
        <v>4.4000000000000004</v>
      </c>
      <c r="Y18" s="8">
        <v>7.89</v>
      </c>
      <c r="Z18" t="s">
        <v>60</v>
      </c>
      <c r="AA18">
        <f t="shared" si="3"/>
        <v>109.16787994176279</v>
      </c>
      <c r="AB18">
        <f t="shared" si="4"/>
        <v>56.683874473576957</v>
      </c>
      <c r="AC18">
        <f t="shared" si="5"/>
        <v>39.370646168628362</v>
      </c>
      <c r="AD18">
        <f t="shared" si="6"/>
        <v>96.983489765916545</v>
      </c>
      <c r="AE18">
        <f t="shared" si="7"/>
        <v>93.174205618757355</v>
      </c>
      <c r="AF18">
        <f t="shared" si="8"/>
        <v>133.05227655986511</v>
      </c>
    </row>
    <row r="19" spans="11:32" x14ac:dyDescent="0.2">
      <c r="K19" t="s">
        <v>30</v>
      </c>
      <c r="L19">
        <v>2020</v>
      </c>
      <c r="M19" t="s">
        <v>26</v>
      </c>
      <c r="N19" t="str">
        <f t="shared" si="0"/>
        <v>2020 Kasım</v>
      </c>
      <c r="O19">
        <v>6.8620999999999999</v>
      </c>
      <c r="P19">
        <v>3.6168999999999998</v>
      </c>
      <c r="Q19">
        <v>6.3964999999999996</v>
      </c>
      <c r="R19">
        <v>498.58</v>
      </c>
      <c r="T19" t="s">
        <v>61</v>
      </c>
      <c r="U19">
        <f t="shared" si="1"/>
        <v>1.3153389830508475</v>
      </c>
      <c r="V19">
        <f t="shared" si="2"/>
        <v>0.92076271186440639</v>
      </c>
      <c r="W19">
        <v>4.5</v>
      </c>
      <c r="X19">
        <v>4.5</v>
      </c>
      <c r="Y19" s="8">
        <v>8.02</v>
      </c>
      <c r="Z19" t="s">
        <v>61</v>
      </c>
      <c r="AA19">
        <f t="shared" si="3"/>
        <v>111.67655952514279</v>
      </c>
      <c r="AB19">
        <f t="shared" si="4"/>
        <v>52.713625866050812</v>
      </c>
      <c r="AC19">
        <f t="shared" si="5"/>
        <v>43.498278485066841</v>
      </c>
      <c r="AD19">
        <f t="shared" si="6"/>
        <v>96.999038787741725</v>
      </c>
      <c r="AE19">
        <f t="shared" si="7"/>
        <v>96.510154198980061</v>
      </c>
      <c r="AF19">
        <f t="shared" si="8"/>
        <v>135.24451939291737</v>
      </c>
    </row>
    <row r="20" spans="11:32" x14ac:dyDescent="0.2">
      <c r="K20" t="s">
        <v>30</v>
      </c>
      <c r="L20">
        <v>2020</v>
      </c>
      <c r="M20" t="s">
        <v>28</v>
      </c>
      <c r="N20" t="str">
        <f t="shared" si="0"/>
        <v>2020 Aralık</v>
      </c>
      <c r="O20">
        <v>7.2220000000000004</v>
      </c>
      <c r="P20">
        <v>3.6088</v>
      </c>
      <c r="Q20">
        <v>6.6961000000000004</v>
      </c>
      <c r="R20">
        <v>504.81</v>
      </c>
      <c r="T20" t="s">
        <v>62</v>
      </c>
      <c r="U20">
        <f t="shared" si="1"/>
        <v>1.7870056497175151</v>
      </c>
      <c r="V20">
        <f t="shared" si="2"/>
        <v>1.3413276836158206</v>
      </c>
      <c r="W20" s="7">
        <v>4.333333333333333</v>
      </c>
      <c r="X20" s="7">
        <v>4.333333333333333</v>
      </c>
      <c r="Y20" s="8">
        <v>7.73</v>
      </c>
      <c r="Z20" t="s">
        <v>62</v>
      </c>
      <c r="AA20">
        <f t="shared" si="3"/>
        <v>113.07201254339792</v>
      </c>
      <c r="AB20">
        <f t="shared" si="4"/>
        <v>71.616175338495708</v>
      </c>
      <c r="AC20">
        <f t="shared" si="5"/>
        <v>63.366429124296126</v>
      </c>
      <c r="AD20">
        <f t="shared" si="6"/>
        <v>102.08639601945042</v>
      </c>
      <c r="AE20">
        <f t="shared" si="7"/>
        <v>101.03050786082864</v>
      </c>
      <c r="AF20">
        <f t="shared" si="8"/>
        <v>130.35413153457</v>
      </c>
    </row>
    <row r="21" spans="11:32" x14ac:dyDescent="0.2">
      <c r="K21" t="s">
        <v>30</v>
      </c>
      <c r="L21">
        <v>2021</v>
      </c>
      <c r="M21" t="s">
        <v>6</v>
      </c>
      <c r="N21" t="str">
        <f t="shared" si="0"/>
        <v>2021 Ocak</v>
      </c>
      <c r="O21">
        <v>7.3154000000000003</v>
      </c>
      <c r="P21">
        <v>3.6225999999999998</v>
      </c>
      <c r="Q21">
        <v>6.7183000000000002</v>
      </c>
      <c r="R21">
        <v>513.29999999999995</v>
      </c>
      <c r="T21" t="s">
        <v>63</v>
      </c>
      <c r="U21">
        <f t="shared" si="1"/>
        <v>2.0328248587570634</v>
      </c>
      <c r="V21">
        <f t="shared" si="2"/>
        <v>1.5268079096045204</v>
      </c>
      <c r="W21" s="7">
        <v>4.1666666666666661</v>
      </c>
      <c r="X21" s="7">
        <v>4.1666666666666661</v>
      </c>
      <c r="Y21" s="8">
        <v>7.41</v>
      </c>
      <c r="Z21" t="s">
        <v>63</v>
      </c>
      <c r="AA21">
        <f t="shared" si="3"/>
        <v>114.97368126329935</v>
      </c>
      <c r="AB21">
        <f t="shared" si="4"/>
        <v>81.46764479463846</v>
      </c>
      <c r="AC21">
        <f t="shared" si="5"/>
        <v>72.128806683214606</v>
      </c>
      <c r="AD21">
        <f t="shared" si="6"/>
        <v>103.40664932715143</v>
      </c>
      <c r="AE21">
        <f t="shared" si="7"/>
        <v>101.365460635505</v>
      </c>
      <c r="AF21">
        <f t="shared" si="8"/>
        <v>124.95784148397976</v>
      </c>
    </row>
    <row r="22" spans="11:32" x14ac:dyDescent="0.2">
      <c r="K22" t="s">
        <v>30</v>
      </c>
      <c r="L22">
        <v>2021</v>
      </c>
      <c r="M22" t="s">
        <v>8</v>
      </c>
      <c r="N22" t="str">
        <f t="shared" si="0"/>
        <v>2021 Şubat</v>
      </c>
      <c r="O22">
        <v>7.3312999999999997</v>
      </c>
      <c r="P22">
        <v>3.6208</v>
      </c>
      <c r="Q22">
        <v>6.7321999999999997</v>
      </c>
      <c r="R22">
        <v>517.96</v>
      </c>
      <c r="T22" t="s">
        <v>64</v>
      </c>
      <c r="U22">
        <f t="shared" si="1"/>
        <v>2.2129661016949163</v>
      </c>
      <c r="V22">
        <f t="shared" si="2"/>
        <v>1.7052542372881367</v>
      </c>
      <c r="W22" s="7">
        <v>3.9999999999999991</v>
      </c>
      <c r="X22" s="7">
        <v>3.9999999999999991</v>
      </c>
      <c r="Y22" s="8">
        <v>7.09</v>
      </c>
      <c r="Z22" t="s">
        <v>64</v>
      </c>
      <c r="AA22">
        <f t="shared" si="3"/>
        <v>116.01747116138425</v>
      </c>
      <c r="AB22">
        <f t="shared" si="4"/>
        <v>88.686999049042285</v>
      </c>
      <c r="AC22">
        <f t="shared" si="5"/>
        <v>80.558891824805897</v>
      </c>
      <c r="AD22">
        <f t="shared" si="6"/>
        <v>103.6314033698971</v>
      </c>
      <c r="AE22">
        <f t="shared" si="7"/>
        <v>101.57518331874832</v>
      </c>
      <c r="AF22">
        <f t="shared" si="8"/>
        <v>119.56155143338955</v>
      </c>
    </row>
    <row r="23" spans="11:32" x14ac:dyDescent="0.2">
      <c r="K23" t="s">
        <v>30</v>
      </c>
      <c r="L23">
        <v>2021</v>
      </c>
      <c r="M23" t="s">
        <v>10</v>
      </c>
      <c r="N23" t="str">
        <f t="shared" si="0"/>
        <v>2021 Mart</v>
      </c>
      <c r="O23">
        <v>7.2633999999999999</v>
      </c>
      <c r="P23">
        <v>3.6331000000000002</v>
      </c>
      <c r="Q23">
        <v>6.6519000000000004</v>
      </c>
      <c r="R23">
        <v>523.53</v>
      </c>
      <c r="T23" t="s">
        <v>65</v>
      </c>
      <c r="U23">
        <f t="shared" si="1"/>
        <v>2.3220903954802274</v>
      </c>
      <c r="V23">
        <f t="shared" si="2"/>
        <v>1.8038700564971766</v>
      </c>
      <c r="W23" s="7">
        <v>3.8333333333333321</v>
      </c>
      <c r="X23" s="7">
        <v>3.8333333333333321</v>
      </c>
      <c r="Y23" s="8">
        <v>7.64</v>
      </c>
      <c r="Z23" t="s">
        <v>65</v>
      </c>
      <c r="AA23">
        <f t="shared" si="3"/>
        <v>117.26509127561877</v>
      </c>
      <c r="AB23">
        <f t="shared" si="4"/>
        <v>93.060272607888479</v>
      </c>
      <c r="AC23">
        <f t="shared" si="5"/>
        <v>85.217658205887915</v>
      </c>
      <c r="AD23">
        <f t="shared" si="6"/>
        <v>102.67160465905236</v>
      </c>
      <c r="AE23">
        <f t="shared" si="7"/>
        <v>100.36361990404058</v>
      </c>
      <c r="AF23">
        <f t="shared" si="8"/>
        <v>128.8364249578415</v>
      </c>
    </row>
    <row r="24" spans="11:32" x14ac:dyDescent="0.2">
      <c r="K24" t="s">
        <v>30</v>
      </c>
      <c r="L24">
        <v>2021</v>
      </c>
      <c r="M24" t="s">
        <v>12</v>
      </c>
      <c r="N24" t="str">
        <f t="shared" si="0"/>
        <v>2021 Nisan</v>
      </c>
      <c r="O24">
        <v>7.1609999999999996</v>
      </c>
      <c r="P24">
        <v>3.6873999999999998</v>
      </c>
      <c r="Q24">
        <v>6.5347999999999997</v>
      </c>
      <c r="R24">
        <v>532.32000000000005</v>
      </c>
      <c r="T24" t="s">
        <v>66</v>
      </c>
      <c r="U24">
        <f t="shared" si="1"/>
        <v>2.4019774011299448</v>
      </c>
      <c r="V24">
        <f t="shared" si="2"/>
        <v>1.8712994350282504</v>
      </c>
      <c r="W24" s="7">
        <v>3.6666666666666652</v>
      </c>
      <c r="X24" s="7">
        <v>3.6666666666666652</v>
      </c>
      <c r="Y24" s="8">
        <v>8.17</v>
      </c>
      <c r="Z24" t="s">
        <v>66</v>
      </c>
      <c r="AA24">
        <f t="shared" si="3"/>
        <v>119.23395677007505</v>
      </c>
      <c r="AB24">
        <f t="shared" si="4"/>
        <v>96.261830367250866</v>
      </c>
      <c r="AC24">
        <f t="shared" si="5"/>
        <v>88.403128086049151</v>
      </c>
      <c r="AD24">
        <f t="shared" si="6"/>
        <v>101.22413208187265</v>
      </c>
      <c r="AE24">
        <f t="shared" si="7"/>
        <v>98.596819457436865</v>
      </c>
      <c r="AF24">
        <f t="shared" si="8"/>
        <v>137.77403035413155</v>
      </c>
    </row>
    <row r="25" spans="11:32" x14ac:dyDescent="0.2">
      <c r="K25" t="s">
        <v>30</v>
      </c>
      <c r="L25">
        <v>2021</v>
      </c>
      <c r="M25" t="s">
        <v>14</v>
      </c>
      <c r="N25" t="str">
        <f t="shared" si="0"/>
        <v>2021 Mayıs</v>
      </c>
      <c r="O25">
        <v>7.4123999999999999</v>
      </c>
      <c r="P25">
        <v>3.8003</v>
      </c>
      <c r="Q25">
        <v>6.8316999999999997</v>
      </c>
      <c r="R25">
        <v>537.04999999999995</v>
      </c>
      <c r="T25" t="s">
        <v>67</v>
      </c>
      <c r="U25">
        <f t="shared" si="1"/>
        <v>2.7816949152542394</v>
      </c>
      <c r="V25">
        <f t="shared" si="2"/>
        <v>2.2895762711864425</v>
      </c>
      <c r="W25" s="7">
        <v>3.4999999999999982</v>
      </c>
      <c r="X25" s="7">
        <v>3.4999999999999982</v>
      </c>
      <c r="Y25" s="8">
        <v>8.36</v>
      </c>
      <c r="Z25" t="s">
        <v>67</v>
      </c>
      <c r="AA25">
        <f t="shared" si="3"/>
        <v>120.29342591555604</v>
      </c>
      <c r="AB25">
        <f t="shared" si="4"/>
        <v>111.47941855726131</v>
      </c>
      <c r="AC25">
        <f t="shared" si="5"/>
        <v>108.16318360156947</v>
      </c>
      <c r="AD25">
        <f t="shared" si="6"/>
        <v>104.7777903426439</v>
      </c>
      <c r="AE25">
        <f t="shared" si="7"/>
        <v>103.07643561966263</v>
      </c>
      <c r="AF25">
        <f t="shared" si="8"/>
        <v>140.97807757166947</v>
      </c>
    </row>
    <row r="26" spans="11:32" x14ac:dyDescent="0.2">
      <c r="K26" t="s">
        <v>30</v>
      </c>
      <c r="L26">
        <v>2021</v>
      </c>
      <c r="M26" t="s">
        <v>16</v>
      </c>
      <c r="N26" t="str">
        <f t="shared" si="0"/>
        <v>2021 Haziran</v>
      </c>
      <c r="O26">
        <v>7.8231000000000002</v>
      </c>
      <c r="P26">
        <v>4.0218999999999996</v>
      </c>
      <c r="Q26">
        <v>7.3236999999999997</v>
      </c>
      <c r="R26">
        <v>547.48</v>
      </c>
      <c r="T26" t="s">
        <v>68</v>
      </c>
      <c r="U26">
        <f t="shared" si="1"/>
        <v>3.2964124293785337</v>
      </c>
      <c r="V26">
        <f t="shared" si="2"/>
        <v>2.8731920903954826</v>
      </c>
      <c r="W26" s="7">
        <v>3.3333333333333313</v>
      </c>
      <c r="X26" s="7">
        <v>3.3333333333333313</v>
      </c>
      <c r="Y26" s="8">
        <v>8.61</v>
      </c>
      <c r="Z26" t="s">
        <v>68</v>
      </c>
      <c r="AA26">
        <f t="shared" si="3"/>
        <v>122.62963377757868</v>
      </c>
      <c r="AB26">
        <f t="shared" si="4"/>
        <v>132.10727709097503</v>
      </c>
      <c r="AC26">
        <f t="shared" si="5"/>
        <v>135.73411268583033</v>
      </c>
      <c r="AD26">
        <f t="shared" si="6"/>
        <v>110.58322967318784</v>
      </c>
      <c r="AE26">
        <f t="shared" si="7"/>
        <v>110.49971332870636</v>
      </c>
      <c r="AF26">
        <f t="shared" si="8"/>
        <v>145.19392917369311</v>
      </c>
    </row>
    <row r="27" spans="11:32" x14ac:dyDescent="0.2">
      <c r="K27" t="s">
        <v>30</v>
      </c>
      <c r="L27">
        <v>2021</v>
      </c>
      <c r="M27" t="s">
        <v>18</v>
      </c>
      <c r="N27" t="str">
        <f t="shared" si="0"/>
        <v>2021 Temmuz</v>
      </c>
      <c r="O27">
        <v>7.8396999999999997</v>
      </c>
      <c r="P27">
        <v>4.4221000000000004</v>
      </c>
      <c r="Q27">
        <v>7.3287000000000004</v>
      </c>
      <c r="R27">
        <v>557.36</v>
      </c>
      <c r="T27" t="s">
        <v>69</v>
      </c>
      <c r="U27">
        <f t="shared" si="1"/>
        <v>3.4771468926553695</v>
      </c>
      <c r="V27">
        <f t="shared" si="2"/>
        <v>3.044096045197743</v>
      </c>
      <c r="W27" s="7">
        <v>3.1666666666666643</v>
      </c>
      <c r="X27" s="7">
        <v>3.1666666666666643</v>
      </c>
      <c r="Y27" s="8">
        <v>8.6300000000000008</v>
      </c>
      <c r="Z27" t="s">
        <v>69</v>
      </c>
      <c r="AA27">
        <f t="shared" si="3"/>
        <v>124.84264755291747</v>
      </c>
      <c r="AB27">
        <f t="shared" si="4"/>
        <v>139.35040528913652</v>
      </c>
      <c r="AC27">
        <f t="shared" si="5"/>
        <v>143.80788427149238</v>
      </c>
      <c r="AD27">
        <f t="shared" si="6"/>
        <v>110.81787854800406</v>
      </c>
      <c r="AE27">
        <f t="shared" si="7"/>
        <v>110.57515314282266</v>
      </c>
      <c r="AF27">
        <f t="shared" si="8"/>
        <v>145.531197301855</v>
      </c>
    </row>
    <row r="28" spans="11:32" x14ac:dyDescent="0.2">
      <c r="K28" t="s">
        <v>30</v>
      </c>
      <c r="L28">
        <v>2021</v>
      </c>
      <c r="M28" t="s">
        <v>20</v>
      </c>
      <c r="N28" t="str">
        <f t="shared" si="0"/>
        <v>2021 Ağustos</v>
      </c>
      <c r="O28">
        <v>7.8413000000000004</v>
      </c>
      <c r="P28">
        <v>4.5537999999999998</v>
      </c>
      <c r="Q28">
        <v>7.3712999999999997</v>
      </c>
      <c r="R28">
        <v>563.6</v>
      </c>
      <c r="T28" t="s">
        <v>70</v>
      </c>
      <c r="U28">
        <f t="shared" si="1"/>
        <v>3.6451694915254267</v>
      </c>
      <c r="V28">
        <f t="shared" si="2"/>
        <v>3.2468644067796637</v>
      </c>
      <c r="W28" s="7">
        <v>2.9999999999999973</v>
      </c>
      <c r="X28" s="7">
        <v>2.9999999999999973</v>
      </c>
      <c r="Y28" s="8">
        <v>8.49</v>
      </c>
      <c r="Z28" t="s">
        <v>70</v>
      </c>
      <c r="AA28">
        <f t="shared" si="3"/>
        <v>126.24034046365774</v>
      </c>
      <c r="AB28">
        <f t="shared" si="4"/>
        <v>146.08409183534857</v>
      </c>
      <c r="AC28">
        <f t="shared" si="5"/>
        <v>153.38698054287786</v>
      </c>
      <c r="AD28">
        <f t="shared" si="6"/>
        <v>110.84049530702251</v>
      </c>
      <c r="AE28">
        <f t="shared" si="7"/>
        <v>111.21790035909352</v>
      </c>
      <c r="AF28">
        <f t="shared" si="8"/>
        <v>143.17032040472176</v>
      </c>
    </row>
    <row r="29" spans="11:32" x14ac:dyDescent="0.2">
      <c r="K29" t="s">
        <v>30</v>
      </c>
      <c r="L29">
        <v>2021</v>
      </c>
      <c r="M29" t="s">
        <v>22</v>
      </c>
      <c r="N29" t="str">
        <f t="shared" si="0"/>
        <v>2021 Eylül</v>
      </c>
      <c r="O29">
        <v>7.8536000000000001</v>
      </c>
      <c r="P29">
        <v>4.6341999999999999</v>
      </c>
      <c r="Q29">
        <v>7.3836000000000004</v>
      </c>
      <c r="R29">
        <v>570.66</v>
      </c>
      <c r="T29" t="s">
        <v>71</v>
      </c>
      <c r="U29">
        <f t="shared" si="1"/>
        <v>3.8222598870056528</v>
      </c>
      <c r="V29">
        <f t="shared" si="2"/>
        <v>3.4239548022598907</v>
      </c>
      <c r="W29" s="7">
        <v>2.8333333333333304</v>
      </c>
      <c r="X29" s="7">
        <v>2.8333333333333304</v>
      </c>
      <c r="Y29" s="8">
        <v>8.5299999999999994</v>
      </c>
      <c r="Z29" t="s">
        <v>71</v>
      </c>
      <c r="AA29">
        <f t="shared" si="3"/>
        <v>127.82170455818121</v>
      </c>
      <c r="AB29">
        <f t="shared" si="4"/>
        <v>153.18118009328452</v>
      </c>
      <c r="AC29">
        <f t="shared" si="5"/>
        <v>161.75300931486393</v>
      </c>
      <c r="AD29">
        <f t="shared" si="6"/>
        <v>111.01436164197671</v>
      </c>
      <c r="AE29">
        <f t="shared" si="7"/>
        <v>111.40348230181962</v>
      </c>
      <c r="AF29">
        <f t="shared" si="8"/>
        <v>143.84485666104553</v>
      </c>
    </row>
    <row r="30" spans="11:32" x14ac:dyDescent="0.2">
      <c r="K30" t="s">
        <v>30</v>
      </c>
      <c r="L30">
        <v>2021</v>
      </c>
      <c r="M30" t="s">
        <v>24</v>
      </c>
      <c r="N30" t="str">
        <f t="shared" si="0"/>
        <v>2021 Ekim</v>
      </c>
      <c r="O30">
        <v>8.0417000000000005</v>
      </c>
      <c r="P30">
        <v>5.5271999999999997</v>
      </c>
      <c r="Q30">
        <v>7.8731999999999998</v>
      </c>
      <c r="R30">
        <v>584.32000000000005</v>
      </c>
      <c r="T30" t="s">
        <v>72</v>
      </c>
      <c r="U30">
        <f t="shared" si="1"/>
        <v>4.148333333333337</v>
      </c>
      <c r="V30">
        <f t="shared" si="2"/>
        <v>4.0055367231638455</v>
      </c>
      <c r="W30" s="7">
        <v>2.6666666666666634</v>
      </c>
      <c r="X30" s="7">
        <v>2.6666666666666634</v>
      </c>
      <c r="Y30" s="8">
        <v>9.16</v>
      </c>
      <c r="Z30" t="s">
        <v>72</v>
      </c>
      <c r="AA30">
        <f t="shared" si="3"/>
        <v>130.88139769291075</v>
      </c>
      <c r="AB30">
        <f t="shared" si="4"/>
        <v>166.24892451206824</v>
      </c>
      <c r="AC30">
        <f t="shared" si="5"/>
        <v>189.22785384471689</v>
      </c>
      <c r="AD30">
        <f t="shared" si="6"/>
        <v>113.67324437408121</v>
      </c>
      <c r="AE30">
        <f t="shared" si="7"/>
        <v>118.7905489000875</v>
      </c>
      <c r="AF30">
        <f t="shared" si="8"/>
        <v>154.46880269814503</v>
      </c>
    </row>
    <row r="31" spans="11:32" x14ac:dyDescent="0.2">
      <c r="K31" t="s">
        <v>30</v>
      </c>
      <c r="L31">
        <v>2021</v>
      </c>
      <c r="M31" t="s">
        <v>26</v>
      </c>
      <c r="N31" t="str">
        <f t="shared" si="0"/>
        <v>2021 Kasım</v>
      </c>
      <c r="O31">
        <v>8.6952999999999996</v>
      </c>
      <c r="P31">
        <v>6.6074999999999999</v>
      </c>
      <c r="Q31">
        <v>8.6708999999999996</v>
      </c>
      <c r="R31">
        <v>604.84</v>
      </c>
      <c r="T31" t="s">
        <v>73</v>
      </c>
      <c r="U31">
        <f t="shared" si="1"/>
        <v>4.8688983050847501</v>
      </c>
      <c r="V31">
        <f t="shared" si="2"/>
        <v>4.8482203389830545</v>
      </c>
      <c r="W31" s="7">
        <v>2.499999999999996</v>
      </c>
      <c r="X31" s="7">
        <v>2.499999999999996</v>
      </c>
      <c r="Y31" s="8">
        <v>10.54</v>
      </c>
      <c r="Z31" t="s">
        <v>73</v>
      </c>
      <c r="AA31">
        <f t="shared" si="3"/>
        <v>135.47765707246052</v>
      </c>
      <c r="AB31">
        <f t="shared" si="4"/>
        <v>195.12634152968363</v>
      </c>
      <c r="AC31">
        <f t="shared" si="5"/>
        <v>229.03755304668127</v>
      </c>
      <c r="AD31">
        <f t="shared" si="6"/>
        <v>122.91219043311094</v>
      </c>
      <c r="AE31">
        <f t="shared" si="7"/>
        <v>130.8262168442017</v>
      </c>
      <c r="AF31">
        <f t="shared" si="8"/>
        <v>177.74030354131534</v>
      </c>
    </row>
    <row r="32" spans="11:32" x14ac:dyDescent="0.2">
      <c r="K32" t="s">
        <v>30</v>
      </c>
      <c r="L32">
        <v>2021</v>
      </c>
      <c r="M32" t="s">
        <v>28</v>
      </c>
      <c r="N32" t="str">
        <f t="shared" si="0"/>
        <v>2021 Aralık</v>
      </c>
      <c r="O32">
        <v>10.7986</v>
      </c>
      <c r="P32">
        <v>7.9447000000000001</v>
      </c>
      <c r="Q32">
        <v>10.6783</v>
      </c>
      <c r="R32">
        <v>686.95</v>
      </c>
      <c r="T32" t="s">
        <v>74</v>
      </c>
      <c r="U32">
        <f t="shared" si="1"/>
        <v>6.1898174706649289</v>
      </c>
      <c r="V32">
        <f t="shared" si="2"/>
        <v>6.0878683181225561</v>
      </c>
      <c r="W32" s="7">
        <v>2.9615384615384621</v>
      </c>
      <c r="X32" s="7">
        <v>2.9615384615384621</v>
      </c>
      <c r="Y32" s="8">
        <v>13.55</v>
      </c>
      <c r="Z32" t="s">
        <v>74</v>
      </c>
      <c r="AA32">
        <f t="shared" si="3"/>
        <v>153.86941426811512</v>
      </c>
      <c r="AB32">
        <f t="shared" si="4"/>
        <v>248.06359921833362</v>
      </c>
      <c r="AC32">
        <f t="shared" si="5"/>
        <v>287.60047303165254</v>
      </c>
      <c r="AD32">
        <f t="shared" si="6"/>
        <v>152.64333371027934</v>
      </c>
      <c r="AE32">
        <f t="shared" si="7"/>
        <v>161.11379341561303</v>
      </c>
      <c r="AF32">
        <f t="shared" si="8"/>
        <v>228.49915682967961</v>
      </c>
    </row>
    <row r="33" spans="11:32" x14ac:dyDescent="0.2">
      <c r="K33" t="s">
        <v>30</v>
      </c>
      <c r="L33">
        <v>2022</v>
      </c>
      <c r="M33" t="s">
        <v>6</v>
      </c>
      <c r="N33" t="str">
        <f t="shared" si="0"/>
        <v>2022 Ocak</v>
      </c>
      <c r="O33">
        <v>13.7117</v>
      </c>
      <c r="P33">
        <v>8.8086000000000002</v>
      </c>
      <c r="Q33">
        <v>13.8452</v>
      </c>
      <c r="R33">
        <v>763.23</v>
      </c>
      <c r="T33" t="s">
        <v>75</v>
      </c>
      <c r="U33">
        <f t="shared" si="1"/>
        <v>8.1970078226857872</v>
      </c>
      <c r="V33">
        <f t="shared" si="2"/>
        <v>8.3101434159061291</v>
      </c>
      <c r="W33" s="7">
        <v>3.4230769230769242</v>
      </c>
      <c r="X33" s="7">
        <v>3.4230769230769242</v>
      </c>
      <c r="Y33" s="8">
        <v>13.54</v>
      </c>
      <c r="Z33" t="s">
        <v>75</v>
      </c>
      <c r="AA33">
        <f t="shared" si="3"/>
        <v>170.95531414492106</v>
      </c>
      <c r="AB33">
        <f t="shared" si="4"/>
        <v>328.50391355689538</v>
      </c>
      <c r="AC33">
        <f t="shared" si="5"/>
        <v>392.5842433649305</v>
      </c>
      <c r="AD33">
        <f t="shared" si="6"/>
        <v>193.82138414565193</v>
      </c>
      <c r="AE33">
        <f t="shared" si="7"/>
        <v>208.89586288059388</v>
      </c>
      <c r="AF33">
        <f t="shared" si="8"/>
        <v>228.33052276559866</v>
      </c>
    </row>
    <row r="34" spans="11:32" x14ac:dyDescent="0.2">
      <c r="K34" t="s">
        <v>30</v>
      </c>
      <c r="L34">
        <v>2022</v>
      </c>
      <c r="M34" t="s">
        <v>8</v>
      </c>
      <c r="N34" t="str">
        <f t="shared" si="0"/>
        <v>2022 Şubat</v>
      </c>
      <c r="O34">
        <v>15.243399999999999</v>
      </c>
      <c r="P34">
        <v>9.3051999999999992</v>
      </c>
      <c r="Q34">
        <v>15.510400000000001</v>
      </c>
      <c r="R34">
        <v>799.93</v>
      </c>
      <c r="T34" t="s">
        <v>76</v>
      </c>
      <c r="U34">
        <f t="shared" si="1"/>
        <v>9.0335202086049549</v>
      </c>
      <c r="V34">
        <f t="shared" si="2"/>
        <v>9.2597913950456316</v>
      </c>
      <c r="W34" s="7">
        <v>3.8846153846153859</v>
      </c>
      <c r="X34" s="7">
        <v>3.8846153846153859</v>
      </c>
      <c r="Y34" s="8">
        <v>13.65</v>
      </c>
      <c r="Z34" t="s">
        <v>76</v>
      </c>
      <c r="AA34">
        <f t="shared" si="3"/>
        <v>179.17571956546087</v>
      </c>
      <c r="AB34">
        <f t="shared" si="4"/>
        <v>362.0280480285914</v>
      </c>
      <c r="AC34">
        <f t="shared" si="5"/>
        <v>437.44710730057835</v>
      </c>
      <c r="AD34">
        <f t="shared" si="6"/>
        <v>215.47269026348525</v>
      </c>
      <c r="AE34">
        <f t="shared" si="7"/>
        <v>234.02033857388577</v>
      </c>
      <c r="AF34">
        <f t="shared" si="8"/>
        <v>230.18549747048905</v>
      </c>
    </row>
    <row r="35" spans="11:32" x14ac:dyDescent="0.2">
      <c r="K35" t="s">
        <v>30</v>
      </c>
      <c r="L35">
        <v>2022</v>
      </c>
      <c r="M35" t="s">
        <v>10</v>
      </c>
      <c r="N35" t="str">
        <f t="shared" si="0"/>
        <v>2022 Mart</v>
      </c>
      <c r="O35">
        <v>18.9636</v>
      </c>
      <c r="P35">
        <v>10.638299999999999</v>
      </c>
      <c r="Q35">
        <v>20.578399999999998</v>
      </c>
      <c r="R35">
        <v>843.64</v>
      </c>
      <c r="T35" t="s">
        <v>77</v>
      </c>
      <c r="U35">
        <f t="shared" si="1"/>
        <v>11.724693611473272</v>
      </c>
      <c r="V35">
        <f t="shared" si="2"/>
        <v>13.093168187744455</v>
      </c>
      <c r="W35" s="7">
        <v>4.3461538461538485</v>
      </c>
      <c r="X35" s="7">
        <v>4.3461538461538485</v>
      </c>
      <c r="Y35" s="8">
        <v>14.59</v>
      </c>
      <c r="Z35" t="s">
        <v>77</v>
      </c>
      <c r="AA35">
        <f t="shared" si="3"/>
        <v>188.96628961809833</v>
      </c>
      <c r="AB35">
        <f t="shared" si="4"/>
        <v>469.879719519714</v>
      </c>
      <c r="AC35">
        <f t="shared" si="5"/>
        <v>618.54185529419726</v>
      </c>
      <c r="AD35">
        <f t="shared" si="6"/>
        <v>268.05948207621844</v>
      </c>
      <c r="AE35">
        <f t="shared" si="7"/>
        <v>310.4861341621654</v>
      </c>
      <c r="AF35">
        <f t="shared" si="8"/>
        <v>246.03709949409782</v>
      </c>
    </row>
    <row r="36" spans="11:32" x14ac:dyDescent="0.2">
      <c r="K36" t="s">
        <v>30</v>
      </c>
      <c r="L36">
        <v>2022</v>
      </c>
      <c r="M36" t="s">
        <v>12</v>
      </c>
      <c r="N36" t="str">
        <f t="shared" si="0"/>
        <v>2022 Nisan</v>
      </c>
      <c r="O36">
        <v>19.1755</v>
      </c>
      <c r="P36">
        <v>11.4589</v>
      </c>
      <c r="Q36">
        <v>21.499099999999999</v>
      </c>
      <c r="R36">
        <v>904.79</v>
      </c>
      <c r="T36" t="s">
        <v>78</v>
      </c>
      <c r="U36">
        <f t="shared" si="1"/>
        <v>11.442731421121248</v>
      </c>
      <c r="V36">
        <f t="shared" si="2"/>
        <v>13.41188396349413</v>
      </c>
      <c r="W36" s="7">
        <v>4.8076923076923102</v>
      </c>
      <c r="X36" s="7">
        <v>4.8076923076923102</v>
      </c>
      <c r="Y36" s="8">
        <v>14.71</v>
      </c>
      <c r="Z36" t="s">
        <v>78</v>
      </c>
      <c r="AA36">
        <f t="shared" si="3"/>
        <v>202.66323216485608</v>
      </c>
      <c r="AB36">
        <f t="shared" si="4"/>
        <v>458.5797811752164</v>
      </c>
      <c r="AC36">
        <f t="shared" si="5"/>
        <v>633.59848974790123</v>
      </c>
      <c r="AD36">
        <f t="shared" si="6"/>
        <v>271.05478909872215</v>
      </c>
      <c r="AE36">
        <f t="shared" si="7"/>
        <v>324.37762153354055</v>
      </c>
      <c r="AF36">
        <f t="shared" si="8"/>
        <v>248.06070826306916</v>
      </c>
    </row>
    <row r="37" spans="11:32" x14ac:dyDescent="0.2">
      <c r="K37" t="s">
        <v>30</v>
      </c>
      <c r="L37">
        <v>2022</v>
      </c>
      <c r="M37" t="s">
        <v>14</v>
      </c>
      <c r="N37" t="str">
        <f t="shared" si="0"/>
        <v>2022 Mayıs</v>
      </c>
      <c r="O37">
        <v>21.5153</v>
      </c>
      <c r="P37">
        <v>10.820600000000001</v>
      </c>
      <c r="Q37">
        <v>22.208600000000001</v>
      </c>
      <c r="R37">
        <v>931.76</v>
      </c>
      <c r="T37" t="s">
        <v>79</v>
      </c>
      <c r="U37">
        <f t="shared" si="1"/>
        <v>12.96407431551499</v>
      </c>
      <c r="V37">
        <f t="shared" si="2"/>
        <v>13.551616688396349</v>
      </c>
      <c r="W37" s="7">
        <v>5.2692307692307718</v>
      </c>
      <c r="X37" s="7">
        <v>5.2692307692307718</v>
      </c>
      <c r="Y37" s="8">
        <v>15.65</v>
      </c>
      <c r="Z37" t="s">
        <v>79</v>
      </c>
      <c r="AA37">
        <f t="shared" si="3"/>
        <v>208.70422219733453</v>
      </c>
      <c r="AB37">
        <f t="shared" si="4"/>
        <v>519.54923557626978</v>
      </c>
      <c r="AC37">
        <f t="shared" si="5"/>
        <v>640.1996834137118</v>
      </c>
      <c r="AD37">
        <f t="shared" si="6"/>
        <v>304.12897206830263</v>
      </c>
      <c r="AE37">
        <f t="shared" si="7"/>
        <v>335.08253115664326</v>
      </c>
      <c r="AF37">
        <f t="shared" si="8"/>
        <v>263.91231028667789</v>
      </c>
    </row>
    <row r="38" spans="11:32" x14ac:dyDescent="0.2">
      <c r="K38" t="s">
        <v>30</v>
      </c>
      <c r="L38">
        <v>2022</v>
      </c>
      <c r="M38" t="s">
        <v>16</v>
      </c>
      <c r="N38" t="str">
        <f t="shared" si="0"/>
        <v>2022 Haziran</v>
      </c>
      <c r="O38">
        <v>27.082100000000001</v>
      </c>
      <c r="P38">
        <v>11.5877</v>
      </c>
      <c r="Q38">
        <v>27.9772</v>
      </c>
      <c r="R38">
        <v>977.9</v>
      </c>
      <c r="T38" t="s">
        <v>80</v>
      </c>
      <c r="U38">
        <f t="shared" si="1"/>
        <v>17.220162972620599</v>
      </c>
      <c r="V38">
        <f t="shared" si="2"/>
        <v>17.978722294654496</v>
      </c>
      <c r="W38" s="7">
        <v>5.7307692307692335</v>
      </c>
      <c r="X38" s="7">
        <v>5.7307692307692335</v>
      </c>
      <c r="Y38" s="8">
        <v>17</v>
      </c>
      <c r="Z38" t="s">
        <v>80</v>
      </c>
      <c r="AA38">
        <f t="shared" si="3"/>
        <v>219.03908612386607</v>
      </c>
      <c r="AB38">
        <f t="shared" si="4"/>
        <v>690.11657070005106</v>
      </c>
      <c r="AC38">
        <f t="shared" si="5"/>
        <v>849.34311424823079</v>
      </c>
      <c r="AD38">
        <f t="shared" si="6"/>
        <v>382.81833088318444</v>
      </c>
      <c r="AE38">
        <f t="shared" si="7"/>
        <v>422.11895349889858</v>
      </c>
      <c r="AF38">
        <f t="shared" si="8"/>
        <v>286.67790893760542</v>
      </c>
    </row>
    <row r="39" spans="11:32" x14ac:dyDescent="0.2">
      <c r="K39" t="s">
        <v>30</v>
      </c>
      <c r="L39">
        <v>2022</v>
      </c>
      <c r="M39" t="s">
        <v>18</v>
      </c>
      <c r="N39" t="str">
        <f t="shared" si="0"/>
        <v>2022 Temmuz</v>
      </c>
      <c r="O39">
        <v>24.605399999999999</v>
      </c>
      <c r="P39">
        <v>10.416499999999999</v>
      </c>
      <c r="Q39">
        <v>26.0259</v>
      </c>
      <c r="R39">
        <v>1001.03</v>
      </c>
      <c r="T39" t="s">
        <v>81</v>
      </c>
      <c r="U39">
        <f t="shared" si="1"/>
        <v>14.659726205997387</v>
      </c>
      <c r="V39">
        <f t="shared" si="2"/>
        <v>15.863539765319423</v>
      </c>
      <c r="W39" s="7">
        <v>6.1923076923076961</v>
      </c>
      <c r="X39" s="7">
        <v>6.1923076923076961</v>
      </c>
      <c r="Y39" s="8">
        <v>17.420000000000002</v>
      </c>
      <c r="Z39" t="s">
        <v>81</v>
      </c>
      <c r="AA39">
        <f t="shared" si="3"/>
        <v>224.21995744204278</v>
      </c>
      <c r="AB39">
        <f t="shared" si="4"/>
        <v>587.50431066013164</v>
      </c>
      <c r="AC39">
        <f t="shared" si="5"/>
        <v>749.41856526050617</v>
      </c>
      <c r="AD39">
        <f t="shared" si="6"/>
        <v>347.80900147008936</v>
      </c>
      <c r="AE39">
        <f t="shared" si="7"/>
        <v>392.67781164187215</v>
      </c>
      <c r="AF39">
        <f t="shared" si="8"/>
        <v>293.76053962900511</v>
      </c>
    </row>
    <row r="40" spans="11:32" x14ac:dyDescent="0.2">
      <c r="K40" t="s">
        <v>30</v>
      </c>
      <c r="L40">
        <v>2022</v>
      </c>
      <c r="M40" t="s">
        <v>20</v>
      </c>
      <c r="N40" t="str">
        <f t="shared" si="0"/>
        <v>2022 Ağustos</v>
      </c>
      <c r="O40">
        <v>20.991299999999999</v>
      </c>
      <c r="P40">
        <v>10.820399999999999</v>
      </c>
      <c r="Q40">
        <v>24.061199999999999</v>
      </c>
      <c r="R40">
        <v>1015.65</v>
      </c>
      <c r="T40" t="s">
        <v>82</v>
      </c>
      <c r="U40">
        <f t="shared" si="1"/>
        <v>11.135391134289435</v>
      </c>
      <c r="V40">
        <f t="shared" si="2"/>
        <v>13.737001303780964</v>
      </c>
      <c r="W40" s="7">
        <v>6.6538461538461577</v>
      </c>
      <c r="X40" s="7">
        <v>6.6538461538461577</v>
      </c>
      <c r="Y40" s="8">
        <v>18.03</v>
      </c>
      <c r="Z40" t="s">
        <v>82</v>
      </c>
      <c r="AA40">
        <f t="shared" si="3"/>
        <v>227.49468025534776</v>
      </c>
      <c r="AB40">
        <f t="shared" si="4"/>
        <v>446.26278829172435</v>
      </c>
      <c r="AC40">
        <f t="shared" si="5"/>
        <v>648.9575441773377</v>
      </c>
      <c r="AD40">
        <f t="shared" si="6"/>
        <v>296.72198348976593</v>
      </c>
      <c r="AE40">
        <f t="shared" si="7"/>
        <v>363.03449108301396</v>
      </c>
      <c r="AF40">
        <f t="shared" si="8"/>
        <v>304.04721753794269</v>
      </c>
    </row>
    <row r="41" spans="11:32" x14ac:dyDescent="0.2">
      <c r="K41" t="s">
        <v>30</v>
      </c>
      <c r="L41">
        <v>2022</v>
      </c>
      <c r="M41" t="s">
        <v>22</v>
      </c>
      <c r="N41" t="str">
        <f t="shared" si="0"/>
        <v>2022 Eylül</v>
      </c>
      <c r="O41">
        <v>19.3904</v>
      </c>
      <c r="P41">
        <v>10.4931</v>
      </c>
      <c r="Q41">
        <v>24.848700000000001</v>
      </c>
      <c r="R41">
        <v>1046.8900000000001</v>
      </c>
      <c r="T41" t="s">
        <v>83</v>
      </c>
      <c r="U41">
        <f t="shared" si="1"/>
        <v>9.3171577574967372</v>
      </c>
      <c r="V41">
        <f t="shared" si="2"/>
        <v>13.942835723598431</v>
      </c>
      <c r="W41" s="7">
        <v>7.1153846153846203</v>
      </c>
      <c r="X41" s="7">
        <v>7.1153846153846203</v>
      </c>
      <c r="Y41" s="8">
        <v>18.309999999999999</v>
      </c>
      <c r="Z41" t="s">
        <v>83</v>
      </c>
      <c r="AA41">
        <f t="shared" si="3"/>
        <v>234.49210437898984</v>
      </c>
      <c r="AB41">
        <f t="shared" si="4"/>
        <v>373.39512817029441</v>
      </c>
      <c r="AC41">
        <f t="shared" si="5"/>
        <v>658.6814858614041</v>
      </c>
      <c r="AD41">
        <f t="shared" si="6"/>
        <v>274.09250254438541</v>
      </c>
      <c r="AE41">
        <f t="shared" si="7"/>
        <v>374.91626180633091</v>
      </c>
      <c r="AF41">
        <f t="shared" si="8"/>
        <v>308.76897133220911</v>
      </c>
    </row>
    <row r="42" spans="11:32" x14ac:dyDescent="0.2">
      <c r="K42" t="s">
        <v>30</v>
      </c>
      <c r="L42">
        <v>2022</v>
      </c>
      <c r="M42" t="s">
        <v>24</v>
      </c>
      <c r="N42" t="str">
        <f t="shared" si="0"/>
        <v>2022 Ekim</v>
      </c>
      <c r="O42">
        <v>20.474699999999999</v>
      </c>
      <c r="P42">
        <v>9.7642000000000007</v>
      </c>
      <c r="Q42">
        <v>26.2623</v>
      </c>
      <c r="R42">
        <v>1084</v>
      </c>
      <c r="T42" t="s">
        <v>84</v>
      </c>
      <c r="U42">
        <f t="shared" si="1"/>
        <v>9.774517601043021</v>
      </c>
      <c r="V42">
        <f t="shared" si="2"/>
        <v>14.679263363754886</v>
      </c>
      <c r="W42" s="7">
        <v>7.576923076923082</v>
      </c>
      <c r="X42" s="7">
        <v>7.576923076923082</v>
      </c>
      <c r="Y42" s="8">
        <v>18.600000000000001</v>
      </c>
      <c r="Z42" t="s">
        <v>84</v>
      </c>
      <c r="AA42">
        <f t="shared" si="3"/>
        <v>242.80434539142121</v>
      </c>
      <c r="AB42">
        <f t="shared" si="4"/>
        <v>391.72431630317772</v>
      </c>
      <c r="AC42">
        <f t="shared" si="5"/>
        <v>693.47148567662623</v>
      </c>
      <c r="AD42">
        <f t="shared" si="6"/>
        <v>289.41959742168945</v>
      </c>
      <c r="AE42">
        <f t="shared" si="7"/>
        <v>396.24460605329068</v>
      </c>
      <c r="AF42">
        <f t="shared" si="8"/>
        <v>313.65935919055653</v>
      </c>
    </row>
    <row r="43" spans="11:32" x14ac:dyDescent="0.2">
      <c r="K43" t="s">
        <v>30</v>
      </c>
      <c r="L43">
        <v>2022</v>
      </c>
      <c r="M43" t="s">
        <v>26</v>
      </c>
      <c r="N43" t="str">
        <f t="shared" si="0"/>
        <v>2022 Kasım</v>
      </c>
      <c r="O43">
        <v>21.828199999999999</v>
      </c>
      <c r="P43">
        <v>10.2521</v>
      </c>
      <c r="Q43">
        <v>25.423300000000001</v>
      </c>
      <c r="R43">
        <v>1115.26</v>
      </c>
      <c r="T43" t="s">
        <v>85</v>
      </c>
      <c r="U43">
        <f t="shared" si="1"/>
        <v>10.460013037809642</v>
      </c>
      <c r="V43">
        <f t="shared" si="2"/>
        <v>13.506707953063881</v>
      </c>
      <c r="W43" s="7">
        <v>8.0384615384615437</v>
      </c>
      <c r="X43" s="7">
        <v>8.0384615384615437</v>
      </c>
      <c r="Y43" s="8">
        <v>18.62</v>
      </c>
      <c r="Z43" t="s">
        <v>85</v>
      </c>
      <c r="AA43">
        <f t="shared" si="3"/>
        <v>249.80624930003361</v>
      </c>
      <c r="AB43">
        <f t="shared" si="4"/>
        <v>419.19628394971392</v>
      </c>
      <c r="AC43">
        <f t="shared" si="5"/>
        <v>638.07812413385307</v>
      </c>
      <c r="AD43">
        <f t="shared" si="6"/>
        <v>308.55196200384484</v>
      </c>
      <c r="AE43">
        <f t="shared" si="7"/>
        <v>383.58580524457591</v>
      </c>
      <c r="AF43">
        <f t="shared" si="8"/>
        <v>313.99662731871842</v>
      </c>
    </row>
    <row r="44" spans="11:32" x14ac:dyDescent="0.2">
      <c r="K44" t="s">
        <v>30</v>
      </c>
      <c r="L44">
        <v>2022</v>
      </c>
      <c r="M44" t="s">
        <v>28</v>
      </c>
      <c r="N44" t="str">
        <f t="shared" si="0"/>
        <v>2022 Aralık</v>
      </c>
      <c r="O44">
        <v>18.798400000000001</v>
      </c>
      <c r="P44">
        <v>10.2782</v>
      </c>
      <c r="Q44">
        <v>22.2562</v>
      </c>
      <c r="R44">
        <v>1128.45</v>
      </c>
      <c r="T44" t="s">
        <v>86</v>
      </c>
      <c r="U44">
        <f t="shared" si="1"/>
        <v>7.4308474576271131</v>
      </c>
      <c r="V44">
        <f t="shared" si="2"/>
        <v>10.361186440677958</v>
      </c>
      <c r="W44" s="7">
        <v>8.5000000000000071</v>
      </c>
      <c r="X44" s="7">
        <v>8.5000000000000071</v>
      </c>
      <c r="Y44" s="8">
        <v>18.670000000000002</v>
      </c>
      <c r="Z44" t="s">
        <v>86</v>
      </c>
      <c r="AA44">
        <f t="shared" si="3"/>
        <v>252.76066748796057</v>
      </c>
      <c r="AB44">
        <f t="shared" si="4"/>
        <v>297.79921206357807</v>
      </c>
      <c r="AC44">
        <f t="shared" si="5"/>
        <v>489.47874129233696</v>
      </c>
      <c r="AD44">
        <f t="shared" si="6"/>
        <v>265.72430170756536</v>
      </c>
      <c r="AE44">
        <f t="shared" si="7"/>
        <v>335.80071818703038</v>
      </c>
      <c r="AF44">
        <f t="shared" si="8"/>
        <v>314.83979763912316</v>
      </c>
    </row>
    <row r="45" spans="11:32" x14ac:dyDescent="0.2">
      <c r="K45" t="s">
        <v>30</v>
      </c>
      <c r="L45">
        <v>2023</v>
      </c>
      <c r="M45" t="s">
        <v>6</v>
      </c>
      <c r="N45" t="str">
        <f t="shared" si="0"/>
        <v>2023 Ocak</v>
      </c>
      <c r="O45">
        <v>20.308199999999999</v>
      </c>
      <c r="P45">
        <v>10.332000000000001</v>
      </c>
      <c r="Q45">
        <v>22.938099999999999</v>
      </c>
      <c r="R45">
        <v>1203.48</v>
      </c>
      <c r="T45" t="s">
        <v>87</v>
      </c>
      <c r="U45">
        <f t="shared" si="1"/>
        <v>7.9376117103235728</v>
      </c>
      <c r="V45">
        <f t="shared" si="2"/>
        <v>10.166340523882894</v>
      </c>
      <c r="W45" s="7">
        <v>9.2727272727272734</v>
      </c>
      <c r="X45" s="7">
        <v>9.2727272727272734</v>
      </c>
      <c r="Y45" s="8">
        <v>18.79</v>
      </c>
      <c r="Z45" t="s">
        <v>87</v>
      </c>
      <c r="AA45">
        <f t="shared" si="3"/>
        <v>269.56658080412143</v>
      </c>
      <c r="AB45">
        <f t="shared" si="4"/>
        <v>318.10833508293081</v>
      </c>
      <c r="AC45">
        <f t="shared" si="5"/>
        <v>480.27391377139151</v>
      </c>
      <c r="AD45">
        <f t="shared" si="6"/>
        <v>287.06604093633382</v>
      </c>
      <c r="AE45">
        <f t="shared" si="7"/>
        <v>346.08920003621114</v>
      </c>
      <c r="AF45">
        <f t="shared" si="8"/>
        <v>316.86340640809448</v>
      </c>
    </row>
    <row r="46" spans="11:32" x14ac:dyDescent="0.2">
      <c r="K46" t="s">
        <v>30</v>
      </c>
      <c r="L46">
        <v>2023</v>
      </c>
      <c r="M46" t="s">
        <v>8</v>
      </c>
      <c r="N46" t="str">
        <f t="shared" si="0"/>
        <v>2023 Şubat</v>
      </c>
      <c r="O46">
        <v>20.969799999999999</v>
      </c>
      <c r="P46">
        <v>11.527699999999999</v>
      </c>
      <c r="Q46">
        <v>21.481000000000002</v>
      </c>
      <c r="R46">
        <v>1241.33</v>
      </c>
      <c r="T46" t="s">
        <v>88</v>
      </c>
      <c r="U46">
        <f t="shared" si="1"/>
        <v>7.725562403697996</v>
      </c>
      <c r="V46">
        <f t="shared" si="2"/>
        <v>8.1587827426810478</v>
      </c>
      <c r="W46" s="7">
        <v>10.045454545454547</v>
      </c>
      <c r="X46" s="7">
        <v>10.045454545454547</v>
      </c>
      <c r="Y46" s="8">
        <v>18.86</v>
      </c>
      <c r="Z46" t="s">
        <v>88</v>
      </c>
      <c r="AA46">
        <f t="shared" si="3"/>
        <v>278.0445738604547</v>
      </c>
      <c r="AB46">
        <f t="shared" si="4"/>
        <v>309.61023082338113</v>
      </c>
      <c r="AC46">
        <f t="shared" si="5"/>
        <v>385.43372713442375</v>
      </c>
      <c r="AD46">
        <f t="shared" si="6"/>
        <v>296.41807079045572</v>
      </c>
      <c r="AE46">
        <f t="shared" si="7"/>
        <v>324.10452940643961</v>
      </c>
      <c r="AF46">
        <f t="shared" si="8"/>
        <v>318.04384485666105</v>
      </c>
    </row>
    <row r="47" spans="11:32" x14ac:dyDescent="0.2">
      <c r="K47" t="s">
        <v>30</v>
      </c>
      <c r="L47">
        <v>2023</v>
      </c>
      <c r="M47" t="s">
        <v>10</v>
      </c>
      <c r="N47" t="str">
        <f t="shared" si="0"/>
        <v>2023 Mart</v>
      </c>
      <c r="O47">
        <v>20.9145</v>
      </c>
      <c r="P47">
        <v>11.5853</v>
      </c>
      <c r="Q47">
        <v>21.2818</v>
      </c>
      <c r="R47">
        <v>1269.75</v>
      </c>
      <c r="T47" t="s">
        <v>89</v>
      </c>
      <c r="U47">
        <f t="shared" si="1"/>
        <v>6.9059707241910608</v>
      </c>
      <c r="V47">
        <f t="shared" si="2"/>
        <v>7.217241910631742</v>
      </c>
      <c r="W47" s="7">
        <v>10.81818181818182</v>
      </c>
      <c r="X47" s="7">
        <v>10.81818181818182</v>
      </c>
      <c r="Y47" s="8">
        <v>19</v>
      </c>
      <c r="Z47" t="s">
        <v>89</v>
      </c>
      <c r="AA47">
        <f t="shared" si="3"/>
        <v>284.41034830328147</v>
      </c>
      <c r="AB47">
        <f t="shared" si="4"/>
        <v>276.76421187832671</v>
      </c>
      <c r="AC47">
        <f t="shared" si="5"/>
        <v>340.95385757648558</v>
      </c>
      <c r="AD47">
        <f t="shared" si="6"/>
        <v>295.63637905688114</v>
      </c>
      <c r="AE47">
        <f t="shared" si="7"/>
        <v>321.09900721204622</v>
      </c>
      <c r="AF47">
        <f t="shared" si="8"/>
        <v>320.40472175379426</v>
      </c>
    </row>
    <row r="48" spans="11:32" x14ac:dyDescent="0.2">
      <c r="K48" t="s">
        <v>30</v>
      </c>
      <c r="L48">
        <v>2023</v>
      </c>
      <c r="M48" t="s">
        <v>12</v>
      </c>
      <c r="N48" t="str">
        <f t="shared" si="0"/>
        <v>2023 Nisan</v>
      </c>
      <c r="O48">
        <v>22.412500000000001</v>
      </c>
      <c r="P48">
        <v>9.9308999999999994</v>
      </c>
      <c r="Q48">
        <v>21.116099999999999</v>
      </c>
      <c r="R48">
        <v>1300.04</v>
      </c>
      <c r="T48" t="s">
        <v>90</v>
      </c>
      <c r="U48">
        <f t="shared" si="1"/>
        <v>7.4027349768875208</v>
      </c>
      <c r="V48">
        <f t="shared" si="2"/>
        <v>6.3040909090909079</v>
      </c>
      <c r="W48" s="7">
        <v>11.590909090909092</v>
      </c>
      <c r="X48" s="7">
        <v>11.590909090909092</v>
      </c>
      <c r="Y48" s="8">
        <v>19.34</v>
      </c>
      <c r="Z48" t="s">
        <v>90</v>
      </c>
      <c r="AA48">
        <f t="shared" si="3"/>
        <v>291.19498264083325</v>
      </c>
      <c r="AB48">
        <f t="shared" si="4"/>
        <v>296.67257413147917</v>
      </c>
      <c r="AC48">
        <f t="shared" si="5"/>
        <v>297.81516825715715</v>
      </c>
      <c r="AD48">
        <f t="shared" si="6"/>
        <v>316.81131968788873</v>
      </c>
      <c r="AE48">
        <f t="shared" si="7"/>
        <v>318.59893177223216</v>
      </c>
      <c r="AF48">
        <f t="shared" si="8"/>
        <v>326.13827993254637</v>
      </c>
    </row>
    <row r="49" spans="11:32" x14ac:dyDescent="0.2">
      <c r="K49" t="s">
        <v>30</v>
      </c>
      <c r="L49">
        <v>2023</v>
      </c>
      <c r="M49" t="s">
        <v>14</v>
      </c>
      <c r="N49" t="str">
        <f t="shared" si="0"/>
        <v>2023 Mayıs</v>
      </c>
      <c r="O49">
        <v>20.4481</v>
      </c>
      <c r="P49">
        <v>10.1846</v>
      </c>
      <c r="Q49">
        <v>19.3325</v>
      </c>
      <c r="R49">
        <v>1300.5999999999999</v>
      </c>
      <c r="T49" t="s">
        <v>91</v>
      </c>
      <c r="U49">
        <f t="shared" si="1"/>
        <v>4.9652619414483805</v>
      </c>
      <c r="V49">
        <f t="shared" si="2"/>
        <v>4.0198382126348218</v>
      </c>
      <c r="W49" s="7">
        <v>12.363636363636365</v>
      </c>
      <c r="X49" s="7">
        <v>12.363636363636365</v>
      </c>
      <c r="Y49" s="8">
        <v>19.72</v>
      </c>
      <c r="Z49" t="s">
        <v>91</v>
      </c>
      <c r="AA49">
        <f t="shared" si="3"/>
        <v>291.32041662000222</v>
      </c>
      <c r="AB49">
        <f t="shared" si="4"/>
        <v>198.98821800397664</v>
      </c>
      <c r="AC49">
        <f t="shared" si="5"/>
        <v>189.90347869761752</v>
      </c>
      <c r="AD49">
        <f t="shared" si="6"/>
        <v>289.04359380300804</v>
      </c>
      <c r="AE49">
        <f t="shared" si="7"/>
        <v>291.68804128066631</v>
      </c>
      <c r="AF49">
        <f t="shared" si="8"/>
        <v>332.54637436762226</v>
      </c>
    </row>
    <row r="50" spans="11:32" x14ac:dyDescent="0.2">
      <c r="K50" t="s">
        <v>30</v>
      </c>
      <c r="L50">
        <v>2023</v>
      </c>
      <c r="M50" t="s">
        <v>16</v>
      </c>
      <c r="N50" t="str">
        <f t="shared" si="0"/>
        <v>2023 Haziran</v>
      </c>
      <c r="O50">
        <v>23.407900000000001</v>
      </c>
      <c r="P50">
        <v>10.3407</v>
      </c>
      <c r="Q50">
        <v>22.070900000000002</v>
      </c>
      <c r="R50">
        <v>1351.59</v>
      </c>
      <c r="T50" t="s">
        <v>92</v>
      </c>
      <c r="U50">
        <f t="shared" si="1"/>
        <v>6.7008397534668713</v>
      </c>
      <c r="V50">
        <f t="shared" si="2"/>
        <v>5.5677889060092465</v>
      </c>
      <c r="W50" s="7">
        <v>13.136363636363638</v>
      </c>
      <c r="X50" s="7">
        <v>13.136363636363638</v>
      </c>
      <c r="Y50" s="8">
        <v>23.11</v>
      </c>
      <c r="Z50" t="s">
        <v>92</v>
      </c>
      <c r="AA50">
        <f t="shared" si="3"/>
        <v>302.74162840183669</v>
      </c>
      <c r="AB50">
        <f t="shared" si="4"/>
        <v>268.54336737844409</v>
      </c>
      <c r="AC50">
        <f t="shared" si="5"/>
        <v>263.03110373492319</v>
      </c>
      <c r="AD50">
        <f t="shared" si="6"/>
        <v>330.88177089223115</v>
      </c>
      <c r="AE50">
        <f t="shared" si="7"/>
        <v>333.00491867588045</v>
      </c>
      <c r="AF50">
        <f t="shared" si="8"/>
        <v>389.71332209106242</v>
      </c>
    </row>
    <row r="51" spans="11:32" x14ac:dyDescent="0.2">
      <c r="K51" t="s">
        <v>30</v>
      </c>
      <c r="L51">
        <v>2023</v>
      </c>
      <c r="M51" t="s">
        <v>18</v>
      </c>
      <c r="N51" t="str">
        <f t="shared" si="0"/>
        <v>2023 Temmuz</v>
      </c>
      <c r="O51">
        <v>30.639399999999998</v>
      </c>
      <c r="P51">
        <v>11.9725</v>
      </c>
      <c r="Q51">
        <v>29.824200000000001</v>
      </c>
      <c r="R51">
        <v>1479.84</v>
      </c>
      <c r="T51" t="s">
        <v>93</v>
      </c>
      <c r="U51">
        <f t="shared" si="1"/>
        <v>12.056502311248074</v>
      </c>
      <c r="V51">
        <f t="shared" si="2"/>
        <v>11.365654853620956</v>
      </c>
      <c r="W51" s="7">
        <v>13.90909090909091</v>
      </c>
      <c r="X51" s="7">
        <v>13.90909090909091</v>
      </c>
      <c r="Y51" s="8">
        <v>26.47</v>
      </c>
      <c r="Z51" t="s">
        <v>93</v>
      </c>
      <c r="AA51">
        <f t="shared" si="3"/>
        <v>331.46824952402284</v>
      </c>
      <c r="AB51">
        <f t="shared" si="4"/>
        <v>483.1773103950797</v>
      </c>
      <c r="AC51">
        <f t="shared" si="5"/>
        <v>536.93140873059212</v>
      </c>
      <c r="AD51">
        <f t="shared" si="6"/>
        <v>433.10245391835355</v>
      </c>
      <c r="AE51">
        <f t="shared" si="7"/>
        <v>449.98642083345908</v>
      </c>
      <c r="AF51">
        <f t="shared" si="8"/>
        <v>446.37436762225974</v>
      </c>
    </row>
    <row r="52" spans="11:32" x14ac:dyDescent="0.2">
      <c r="K52" t="s">
        <v>30</v>
      </c>
      <c r="L52">
        <v>2023</v>
      </c>
      <c r="M52" t="s">
        <v>20</v>
      </c>
      <c r="N52" t="str">
        <f t="shared" si="0"/>
        <v>2023 Ağustos</v>
      </c>
      <c r="O52">
        <v>37.369300000000003</v>
      </c>
      <c r="P52">
        <v>15.778</v>
      </c>
      <c r="Q52">
        <v>37.900399999999998</v>
      </c>
      <c r="R52">
        <v>1614.31</v>
      </c>
      <c r="T52" t="s">
        <v>94</v>
      </c>
      <c r="U52">
        <f t="shared" si="1"/>
        <v>16.987080123266566</v>
      </c>
      <c r="V52">
        <f t="shared" si="2"/>
        <v>17.437164869029271</v>
      </c>
      <c r="W52" s="7">
        <v>14.681818181818183</v>
      </c>
      <c r="X52" s="7">
        <v>14.681818181818183</v>
      </c>
      <c r="Y52" s="8">
        <v>27</v>
      </c>
      <c r="Z52" t="s">
        <v>94</v>
      </c>
      <c r="AA52">
        <f t="shared" si="3"/>
        <v>361.58808377197897</v>
      </c>
      <c r="AB52">
        <f t="shared" si="4"/>
        <v>680.77552457052514</v>
      </c>
      <c r="AC52">
        <f t="shared" si="5"/>
        <v>823.7590898172208</v>
      </c>
      <c r="AD52">
        <f t="shared" si="6"/>
        <v>528.23278299219726</v>
      </c>
      <c r="AE52">
        <f t="shared" si="7"/>
        <v>571.83982618666835</v>
      </c>
      <c r="AF52">
        <f t="shared" si="8"/>
        <v>455.31197301854979</v>
      </c>
    </row>
    <row r="53" spans="11:32" x14ac:dyDescent="0.2">
      <c r="K53" t="s">
        <v>30</v>
      </c>
      <c r="L53">
        <v>2023</v>
      </c>
      <c r="M53" t="s">
        <v>22</v>
      </c>
      <c r="N53" t="str">
        <f t="shared" si="0"/>
        <v>2023 Eylül</v>
      </c>
      <c r="O53">
        <v>38.249000000000002</v>
      </c>
      <c r="P53">
        <v>17.118400000000001</v>
      </c>
      <c r="Q53">
        <v>39.655299999999997</v>
      </c>
      <c r="R53">
        <v>1691.04</v>
      </c>
      <c r="T53" t="s">
        <v>95</v>
      </c>
      <c r="U53">
        <f t="shared" si="1"/>
        <v>16.959861325115565</v>
      </c>
      <c r="V53">
        <f t="shared" si="2"/>
        <v>18.151640986132509</v>
      </c>
      <c r="W53" s="7">
        <v>15.454545454545457</v>
      </c>
      <c r="X53" s="7">
        <v>15.454545454545457</v>
      </c>
      <c r="Y53" s="8">
        <v>26.99</v>
      </c>
      <c r="Z53" t="s">
        <v>95</v>
      </c>
      <c r="AA53">
        <f t="shared" si="3"/>
        <v>378.77477881061708</v>
      </c>
      <c r="AB53">
        <f t="shared" si="4"/>
        <v>679.68470193032078</v>
      </c>
      <c r="AC53">
        <f t="shared" si="5"/>
        <v>857.51206516279774</v>
      </c>
      <c r="AD53">
        <f t="shared" si="6"/>
        <v>540.66775981001922</v>
      </c>
      <c r="AE53">
        <f t="shared" si="7"/>
        <v>598.31769214520659</v>
      </c>
      <c r="AF53">
        <f t="shared" si="8"/>
        <v>455.14333895446885</v>
      </c>
    </row>
    <row r="54" spans="11:32" x14ac:dyDescent="0.2">
      <c r="K54" t="s">
        <v>30</v>
      </c>
      <c r="L54">
        <v>2023</v>
      </c>
      <c r="M54" t="s">
        <v>24</v>
      </c>
      <c r="N54" t="str">
        <f t="shared" si="0"/>
        <v>2023 Ekim</v>
      </c>
      <c r="O54">
        <v>35.120899999999999</v>
      </c>
      <c r="P54">
        <v>17.915299999999998</v>
      </c>
      <c r="Q54">
        <v>39.494399999999999</v>
      </c>
      <c r="R54">
        <v>1749.11</v>
      </c>
      <c r="T54" t="s">
        <v>96</v>
      </c>
      <c r="U54">
        <f t="shared" si="1"/>
        <v>13.536201848998456</v>
      </c>
      <c r="V54">
        <f t="shared" si="2"/>
        <v>17.24255778120185</v>
      </c>
      <c r="W54" s="7">
        <v>16.22727272727273</v>
      </c>
      <c r="X54" s="7">
        <v>16.22727272727273</v>
      </c>
      <c r="Y54" s="8">
        <v>27.85</v>
      </c>
      <c r="Z54" t="s">
        <v>96</v>
      </c>
      <c r="AA54">
        <f t="shared" si="3"/>
        <v>391.78183447194533</v>
      </c>
      <c r="AB54">
        <f t="shared" si="4"/>
        <v>542.4778624445787</v>
      </c>
      <c r="AC54">
        <f t="shared" si="5"/>
        <v>814.56554495228534</v>
      </c>
      <c r="AD54">
        <f t="shared" si="6"/>
        <v>496.45058238154468</v>
      </c>
      <c r="AE54">
        <f t="shared" si="7"/>
        <v>595.89003892694416</v>
      </c>
      <c r="AF54">
        <f t="shared" si="8"/>
        <v>469.64586846543006</v>
      </c>
    </row>
    <row r="55" spans="11:32" x14ac:dyDescent="0.2">
      <c r="K55" t="s">
        <v>30</v>
      </c>
      <c r="L55">
        <v>2023</v>
      </c>
      <c r="M55" t="s">
        <v>26</v>
      </c>
      <c r="N55" t="str">
        <f t="shared" si="0"/>
        <v>2023 Kasım</v>
      </c>
      <c r="O55">
        <v>35.237200000000001</v>
      </c>
      <c r="P55">
        <v>17.938500000000001</v>
      </c>
      <c r="Q55">
        <v>38.3827</v>
      </c>
      <c r="R55">
        <v>1806.5</v>
      </c>
      <c r="T55" t="s">
        <v>97</v>
      </c>
      <c r="U55">
        <f t="shared" si="1"/>
        <v>12.862033898305086</v>
      </c>
      <c r="V55">
        <f t="shared" si="2"/>
        <v>15.527711864406779</v>
      </c>
      <c r="W55" s="7">
        <v>17.000000000000004</v>
      </c>
      <c r="X55" s="7">
        <v>17.000000000000004</v>
      </c>
      <c r="Y55" s="8">
        <v>28.64</v>
      </c>
      <c r="Z55" t="s">
        <v>97</v>
      </c>
      <c r="AA55">
        <f t="shared" si="3"/>
        <v>404.63657744428269</v>
      </c>
      <c r="AB55">
        <f t="shared" si="4"/>
        <v>515.45985599782637</v>
      </c>
      <c r="AC55">
        <f t="shared" si="5"/>
        <v>733.55352710385137</v>
      </c>
      <c r="AD55">
        <f t="shared" si="6"/>
        <v>498.09453805269709</v>
      </c>
      <c r="AE55">
        <f t="shared" si="7"/>
        <v>579.11675065632642</v>
      </c>
      <c r="AF55">
        <f t="shared" si="8"/>
        <v>482.96795952782463</v>
      </c>
    </row>
    <row r="56" spans="11:32" x14ac:dyDescent="0.2">
      <c r="K56" t="s">
        <v>30</v>
      </c>
      <c r="L56">
        <v>2023</v>
      </c>
      <c r="M56" t="s">
        <v>28</v>
      </c>
      <c r="N56" t="str">
        <f t="shared" si="0"/>
        <v>2023 Aralık</v>
      </c>
      <c r="O56">
        <v>34.527999999999999</v>
      </c>
      <c r="P56">
        <v>17.954499999999999</v>
      </c>
      <c r="Q56">
        <v>37.005099999999999</v>
      </c>
      <c r="R56">
        <v>1859.38</v>
      </c>
      <c r="T56" t="s">
        <v>98</v>
      </c>
      <c r="U56">
        <f t="shared" si="1"/>
        <v>11.677683615819209</v>
      </c>
      <c r="V56">
        <f t="shared" si="2"/>
        <v>13.776920903954803</v>
      </c>
      <c r="W56" s="7">
        <v>17.583333333333332</v>
      </c>
      <c r="X56" s="7">
        <v>17.583333333333332</v>
      </c>
      <c r="Y56" s="8">
        <v>29.07</v>
      </c>
      <c r="Z56" t="s">
        <v>98</v>
      </c>
      <c r="AA56">
        <f t="shared" si="3"/>
        <v>416.48112890581251</v>
      </c>
      <c r="AB56">
        <f t="shared" si="4"/>
        <v>467.99574333197478</v>
      </c>
      <c r="AC56">
        <f t="shared" si="5"/>
        <v>650.8434088664693</v>
      </c>
      <c r="AD56">
        <f t="shared" si="6"/>
        <v>488.06965961777672</v>
      </c>
      <c r="AE56">
        <f t="shared" si="7"/>
        <v>558.33157307100396</v>
      </c>
      <c r="AF56">
        <f t="shared" si="8"/>
        <v>490.21922428330527</v>
      </c>
    </row>
    <row r="57" spans="11:32" x14ac:dyDescent="0.2">
      <c r="K57" t="s">
        <v>30</v>
      </c>
      <c r="L57">
        <v>2024</v>
      </c>
      <c r="M57" t="s">
        <v>6</v>
      </c>
      <c r="N57" t="str">
        <f t="shared" si="0"/>
        <v>2024 Ocak</v>
      </c>
      <c r="O57">
        <v>37.563800000000001</v>
      </c>
      <c r="P57">
        <v>19.3262</v>
      </c>
      <c r="Q57">
        <v>39.793500000000002</v>
      </c>
      <c r="R57">
        <v>1984.02</v>
      </c>
      <c r="T57" t="s">
        <v>99</v>
      </c>
      <c r="U57">
        <f t="shared" si="1"/>
        <v>13.667062146892661</v>
      </c>
      <c r="V57">
        <f t="shared" si="2"/>
        <v>15.556638418079103</v>
      </c>
      <c r="W57" s="7">
        <v>18.166666666666664</v>
      </c>
      <c r="X57" s="7">
        <v>18.166666666666664</v>
      </c>
      <c r="Y57" s="8">
        <v>30.05</v>
      </c>
      <c r="Z57" t="s">
        <v>99</v>
      </c>
      <c r="AA57">
        <f t="shared" si="3"/>
        <v>444.39914884085567</v>
      </c>
      <c r="AB57">
        <f t="shared" si="4"/>
        <v>547.72222976950616</v>
      </c>
      <c r="AC57">
        <f t="shared" si="5"/>
        <v>734.9200629887639</v>
      </c>
      <c r="AD57">
        <f t="shared" si="6"/>
        <v>530.98213276037552</v>
      </c>
      <c r="AE57">
        <f t="shared" si="7"/>
        <v>600.40284860738109</v>
      </c>
      <c r="AF57">
        <f t="shared" si="8"/>
        <v>506.74536256323779</v>
      </c>
    </row>
    <row r="58" spans="11:32" x14ac:dyDescent="0.2">
      <c r="K58" t="s">
        <v>30</v>
      </c>
      <c r="L58">
        <v>2024</v>
      </c>
      <c r="M58" t="s">
        <v>8</v>
      </c>
      <c r="N58" t="str">
        <f t="shared" si="0"/>
        <v>2024 Şubat</v>
      </c>
      <c r="O58">
        <v>40.773600000000002</v>
      </c>
      <c r="P58">
        <v>19.859400000000001</v>
      </c>
      <c r="Q58">
        <v>43.096800000000002</v>
      </c>
      <c r="R58">
        <v>2073.88</v>
      </c>
      <c r="T58" t="s">
        <v>100</v>
      </c>
      <c r="U58">
        <f t="shared" si="1"/>
        <v>15.803898305084751</v>
      </c>
      <c r="V58">
        <f t="shared" si="2"/>
        <v>17.77271186440678</v>
      </c>
      <c r="W58" s="7">
        <v>18.75</v>
      </c>
      <c r="X58" s="7">
        <v>18.75</v>
      </c>
      <c r="Y58" s="8">
        <v>30.76</v>
      </c>
      <c r="Z58" t="s">
        <v>100</v>
      </c>
      <c r="AA58">
        <f t="shared" si="3"/>
        <v>464.52682271250978</v>
      </c>
      <c r="AB58">
        <f t="shared" si="4"/>
        <v>633.35823936965096</v>
      </c>
      <c r="AC58">
        <f t="shared" si="5"/>
        <v>839.61085755464819</v>
      </c>
      <c r="AD58">
        <f t="shared" si="6"/>
        <v>576.35417844622873</v>
      </c>
      <c r="AE58">
        <f t="shared" si="7"/>
        <v>650.24291620145459</v>
      </c>
      <c r="AF58">
        <f t="shared" si="8"/>
        <v>518.71838111298484</v>
      </c>
    </row>
    <row r="59" spans="11:32" x14ac:dyDescent="0.2">
      <c r="K59" t="s">
        <v>30</v>
      </c>
      <c r="L59">
        <v>2024</v>
      </c>
      <c r="M59" t="s">
        <v>10</v>
      </c>
      <c r="N59" t="str">
        <f t="shared" si="0"/>
        <v>2024 Mart</v>
      </c>
      <c r="O59">
        <v>42.353999999999999</v>
      </c>
      <c r="P59">
        <v>21.352699999999999</v>
      </c>
      <c r="Q59">
        <v>42.056800000000003</v>
      </c>
      <c r="R59">
        <v>2139.4699999999998</v>
      </c>
      <c r="T59" t="s">
        <v>101</v>
      </c>
      <c r="U59">
        <f t="shared" si="1"/>
        <v>16.559887005649717</v>
      </c>
      <c r="V59">
        <f t="shared" si="2"/>
        <v>16.308022598870064</v>
      </c>
      <c r="W59" s="7">
        <v>19.333333333333332</v>
      </c>
      <c r="X59" s="7">
        <v>19.333333333333332</v>
      </c>
      <c r="Y59" s="8">
        <v>31.99</v>
      </c>
      <c r="Z59" t="s">
        <v>101</v>
      </c>
      <c r="AA59">
        <f t="shared" si="3"/>
        <v>479.21827752267887</v>
      </c>
      <c r="AB59">
        <f t="shared" si="4"/>
        <v>663.65530045736523</v>
      </c>
      <c r="AC59">
        <f t="shared" si="5"/>
        <v>770.41663330397455</v>
      </c>
      <c r="AD59">
        <f t="shared" si="6"/>
        <v>598.69388216668551</v>
      </c>
      <c r="AE59">
        <f t="shared" si="7"/>
        <v>634.55143486526458</v>
      </c>
      <c r="AF59">
        <f t="shared" si="8"/>
        <v>539.46037099494106</v>
      </c>
    </row>
    <row r="60" spans="11:32" x14ac:dyDescent="0.2">
      <c r="K60" t="s">
        <v>30</v>
      </c>
      <c r="L60">
        <v>2024</v>
      </c>
      <c r="M60" t="s">
        <v>12</v>
      </c>
      <c r="N60" t="str">
        <f t="shared" si="0"/>
        <v>2024 Nisan</v>
      </c>
      <c r="O60">
        <v>44.424700000000001</v>
      </c>
      <c r="P60">
        <v>21.8202</v>
      </c>
      <c r="Q60">
        <v>42.676299999999998</v>
      </c>
      <c r="R60">
        <v>2207.5</v>
      </c>
      <c r="T60" t="s">
        <v>102</v>
      </c>
      <c r="U60">
        <f t="shared" si="1"/>
        <v>17.731384180790968</v>
      </c>
      <c r="V60">
        <f t="shared" si="2"/>
        <v>16.249689265536723</v>
      </c>
      <c r="W60" s="7">
        <v>19.916666666666664</v>
      </c>
      <c r="X60" s="7">
        <v>19.916666666666664</v>
      </c>
      <c r="Y60" s="8">
        <v>32.33</v>
      </c>
      <c r="Z60" t="s">
        <v>102</v>
      </c>
      <c r="AA60">
        <f t="shared" si="3"/>
        <v>494.45626609922726</v>
      </c>
      <c r="AB60">
        <f t="shared" si="4"/>
        <v>710.60431100846836</v>
      </c>
      <c r="AC60">
        <f t="shared" si="5"/>
        <v>767.66087490324833</v>
      </c>
      <c r="AD60">
        <f t="shared" si="6"/>
        <v>627.96420897885343</v>
      </c>
      <c r="AE60">
        <f t="shared" si="7"/>
        <v>643.89842783427389</v>
      </c>
      <c r="AF60">
        <f t="shared" si="8"/>
        <v>545.19392917369316</v>
      </c>
    </row>
    <row r="61" spans="11:32" x14ac:dyDescent="0.2">
      <c r="K61" t="s">
        <v>30</v>
      </c>
      <c r="L61">
        <v>2024</v>
      </c>
      <c r="M61" t="s">
        <v>14</v>
      </c>
      <c r="N61" t="str">
        <f t="shared" si="0"/>
        <v>2024 Mayıs</v>
      </c>
      <c r="O61">
        <v>43.7941</v>
      </c>
      <c r="P61">
        <v>20.508800000000001</v>
      </c>
      <c r="Q61">
        <v>41.285400000000003</v>
      </c>
      <c r="R61">
        <v>2281.85</v>
      </c>
      <c r="T61" t="s">
        <v>103</v>
      </c>
      <c r="U61">
        <f t="shared" si="1"/>
        <v>16.613644067796614</v>
      </c>
      <c r="V61">
        <f t="shared" si="2"/>
        <v>14.48762711864407</v>
      </c>
      <c r="W61" s="7">
        <v>20.5</v>
      </c>
      <c r="X61" s="7">
        <v>20.5</v>
      </c>
      <c r="Y61" s="8">
        <v>32.25</v>
      </c>
      <c r="Z61" t="s">
        <v>103</v>
      </c>
      <c r="AA61">
        <f t="shared" si="3"/>
        <v>511.10986672639717</v>
      </c>
      <c r="AB61">
        <f t="shared" si="4"/>
        <v>665.80967259883175</v>
      </c>
      <c r="AC61">
        <f t="shared" si="5"/>
        <v>684.41828809352251</v>
      </c>
      <c r="AD61">
        <f t="shared" si="6"/>
        <v>619.05037883071361</v>
      </c>
      <c r="AE61">
        <f t="shared" si="7"/>
        <v>622.91258034340206</v>
      </c>
      <c r="AF61">
        <f t="shared" si="8"/>
        <v>543.84485666104558</v>
      </c>
    </row>
    <row r="62" spans="11:32" x14ac:dyDescent="0.2">
      <c r="K62" t="s">
        <v>30</v>
      </c>
      <c r="L62">
        <v>2024</v>
      </c>
      <c r="M62" t="s">
        <v>16</v>
      </c>
      <c r="N62" t="str">
        <f t="shared" si="0"/>
        <v>2024 Haziran</v>
      </c>
      <c r="O62">
        <v>41.7851</v>
      </c>
      <c r="P62">
        <v>19.6676</v>
      </c>
      <c r="Q62">
        <v>41.4054</v>
      </c>
      <c r="R62">
        <v>2319.29</v>
      </c>
      <c r="T62" t="s">
        <v>104</v>
      </c>
      <c r="U62">
        <f t="shared" si="1"/>
        <v>14.327768361581921</v>
      </c>
      <c r="V62">
        <f t="shared" si="2"/>
        <v>14.005988700564973</v>
      </c>
      <c r="W62" s="7">
        <v>21.083333333333332</v>
      </c>
      <c r="X62" s="7">
        <v>21.083333333333332</v>
      </c>
      <c r="Y62" s="8">
        <v>32.520000000000003</v>
      </c>
      <c r="Z62" t="s">
        <v>104</v>
      </c>
      <c r="AA62">
        <f t="shared" si="3"/>
        <v>519.49602419083885</v>
      </c>
      <c r="AB62">
        <f t="shared" si="4"/>
        <v>574.20074265271921</v>
      </c>
      <c r="AC62">
        <f t="shared" si="5"/>
        <v>661.66493180665668</v>
      </c>
      <c r="AD62">
        <f t="shared" si="6"/>
        <v>590.65221078819411</v>
      </c>
      <c r="AE62">
        <f t="shared" si="7"/>
        <v>624.72313588219322</v>
      </c>
      <c r="AF62">
        <f t="shared" si="8"/>
        <v>548.39797639123117</v>
      </c>
    </row>
    <row r="63" spans="11:32" x14ac:dyDescent="0.2">
      <c r="K63" t="s">
        <v>30</v>
      </c>
      <c r="L63">
        <v>2024</v>
      </c>
      <c r="M63" t="s">
        <v>18</v>
      </c>
      <c r="N63" t="str">
        <f t="shared" si="0"/>
        <v>2024 Temmuz</v>
      </c>
      <c r="O63">
        <v>45.625500000000002</v>
      </c>
      <c r="P63">
        <v>22.476800000000001</v>
      </c>
      <c r="Q63">
        <v>45.181100000000001</v>
      </c>
      <c r="R63">
        <v>2394.1</v>
      </c>
      <c r="T63" t="s">
        <v>105</v>
      </c>
      <c r="U63">
        <f t="shared" si="1"/>
        <v>16.999011299435033</v>
      </c>
      <c r="V63">
        <f t="shared" si="2"/>
        <v>16.622401129943505</v>
      </c>
      <c r="W63" s="7">
        <v>21.666666666666664</v>
      </c>
      <c r="X63" s="7">
        <v>21.666666666666664</v>
      </c>
      <c r="Y63" s="8">
        <v>32.89</v>
      </c>
      <c r="Z63" t="s">
        <v>105</v>
      </c>
      <c r="AA63">
        <f t="shared" si="3"/>
        <v>536.25265987232615</v>
      </c>
      <c r="AB63">
        <f t="shared" si="4"/>
        <v>681.25367930081973</v>
      </c>
      <c r="AC63">
        <f t="shared" si="5"/>
        <v>785.26836949849223</v>
      </c>
      <c r="AD63">
        <f t="shared" si="6"/>
        <v>644.93808662218703</v>
      </c>
      <c r="AE63">
        <f t="shared" si="7"/>
        <v>681.69075711397443</v>
      </c>
      <c r="AF63">
        <f t="shared" si="8"/>
        <v>554.637436762226</v>
      </c>
    </row>
    <row r="64" spans="11:32" x14ac:dyDescent="0.2">
      <c r="K64" t="s">
        <v>30</v>
      </c>
      <c r="L64">
        <v>2024</v>
      </c>
      <c r="M64" t="s">
        <v>20</v>
      </c>
      <c r="N64" t="str">
        <f t="shared" si="0"/>
        <v>2024 Ağustos</v>
      </c>
      <c r="O64">
        <v>44.801000000000002</v>
      </c>
      <c r="P64">
        <v>22.715</v>
      </c>
      <c r="Q64">
        <v>44.255099999999999</v>
      </c>
      <c r="R64">
        <v>2453.34</v>
      </c>
      <c r="T64" t="s">
        <v>106</v>
      </c>
      <c r="U64">
        <f t="shared" si="1"/>
        <v>15.71694915254238</v>
      </c>
      <c r="V64">
        <f t="shared" si="2"/>
        <v>15.254322033898308</v>
      </c>
      <c r="W64" s="7">
        <v>22.249999999999996</v>
      </c>
      <c r="X64" s="7">
        <v>22.249999999999996</v>
      </c>
      <c r="Y64" s="8">
        <v>33.619999999999997</v>
      </c>
      <c r="Z64" t="s">
        <v>106</v>
      </c>
      <c r="AA64">
        <f t="shared" si="3"/>
        <v>549.5217829544182</v>
      </c>
      <c r="AB64">
        <f t="shared" si="4"/>
        <v>629.87365847031674</v>
      </c>
      <c r="AC64">
        <f t="shared" si="5"/>
        <v>720.63816158219254</v>
      </c>
      <c r="AD64">
        <f t="shared" si="6"/>
        <v>633.28338799050107</v>
      </c>
      <c r="AE64">
        <f t="shared" si="7"/>
        <v>667.71930353963614</v>
      </c>
      <c r="AF64">
        <f t="shared" si="8"/>
        <v>566.94772344013484</v>
      </c>
    </row>
    <row r="65" spans="11:32" x14ac:dyDescent="0.2">
      <c r="K65" t="s">
        <v>30</v>
      </c>
      <c r="L65">
        <v>2024</v>
      </c>
      <c r="M65" t="s">
        <v>22</v>
      </c>
      <c r="N65" t="str">
        <f t="shared" si="0"/>
        <v>2024 Eylül</v>
      </c>
      <c r="O65">
        <v>42.704900000000002</v>
      </c>
      <c r="P65">
        <v>24.6431</v>
      </c>
      <c r="Q65">
        <v>42.8018</v>
      </c>
      <c r="R65">
        <v>2526.16</v>
      </c>
      <c r="T65" t="s">
        <v>107</v>
      </c>
      <c r="U65">
        <f t="shared" si="1"/>
        <v>13.357259887005661</v>
      </c>
      <c r="V65">
        <f t="shared" si="2"/>
        <v>13.439378531073451</v>
      </c>
      <c r="W65" s="7">
        <v>22.833333333333329</v>
      </c>
      <c r="X65" s="7">
        <v>22.833333333333329</v>
      </c>
      <c r="Y65" s="8">
        <v>34.03</v>
      </c>
      <c r="Z65" t="s">
        <v>107</v>
      </c>
      <c r="AA65">
        <f t="shared" si="3"/>
        <v>565.83268003135856</v>
      </c>
      <c r="AB65">
        <f t="shared" si="4"/>
        <v>535.30657066521803</v>
      </c>
      <c r="AC65">
        <f t="shared" si="5"/>
        <v>634.89737635786184</v>
      </c>
      <c r="AD65">
        <f t="shared" si="6"/>
        <v>603.65402012891548</v>
      </c>
      <c r="AE65">
        <f t="shared" si="7"/>
        <v>645.79196716859292</v>
      </c>
      <c r="AF65">
        <f t="shared" si="8"/>
        <v>573.86172006745369</v>
      </c>
    </row>
    <row r="66" spans="11:32" x14ac:dyDescent="0.2">
      <c r="K66" t="s">
        <v>30</v>
      </c>
      <c r="L66">
        <v>2024</v>
      </c>
      <c r="M66" t="s">
        <v>24</v>
      </c>
      <c r="N66" t="str">
        <f t="shared" si="0"/>
        <v>2024 Ekim</v>
      </c>
      <c r="O66">
        <v>44.076500000000003</v>
      </c>
      <c r="P66">
        <v>24.7209</v>
      </c>
      <c r="Q66">
        <v>43.411499999999997</v>
      </c>
      <c r="R66">
        <v>2598.91</v>
      </c>
      <c r="T66" t="s">
        <v>108</v>
      </c>
      <c r="U66">
        <f t="shared" si="1"/>
        <v>13.936299435028253</v>
      </c>
      <c r="V66">
        <f t="shared" si="2"/>
        <v>13.37274011299435</v>
      </c>
      <c r="W66" s="7">
        <v>23.416666666666664</v>
      </c>
      <c r="X66" s="7">
        <v>23.416666666666664</v>
      </c>
      <c r="Y66" s="8">
        <v>34.229999999999997</v>
      </c>
      <c r="Z66" t="s">
        <v>108</v>
      </c>
      <c r="AA66">
        <f t="shared" si="3"/>
        <v>582.12789786090264</v>
      </c>
      <c r="AB66">
        <f t="shared" si="4"/>
        <v>558.5122039577958</v>
      </c>
      <c r="AC66">
        <f t="shared" si="5"/>
        <v>631.74927269330351</v>
      </c>
      <c r="AD66">
        <f t="shared" si="6"/>
        <v>623.04223679746701</v>
      </c>
      <c r="AE66">
        <f t="shared" si="7"/>
        <v>654.9910981019342</v>
      </c>
      <c r="AF66">
        <f t="shared" si="8"/>
        <v>577.23440134907241</v>
      </c>
    </row>
    <row r="67" spans="11:32" x14ac:dyDescent="0.2">
      <c r="K67" t="s">
        <v>30</v>
      </c>
      <c r="L67">
        <v>2024</v>
      </c>
      <c r="M67" t="s">
        <v>26</v>
      </c>
      <c r="N67" t="str">
        <f t="shared" si="0"/>
        <v>2024 Kasım</v>
      </c>
      <c r="O67">
        <v>43.384500000000003</v>
      </c>
      <c r="P67">
        <v>25.535799999999998</v>
      </c>
      <c r="Q67">
        <v>43.567100000000003</v>
      </c>
      <c r="R67">
        <v>2657.23</v>
      </c>
      <c r="T67" t="s">
        <v>109</v>
      </c>
      <c r="U67">
        <f t="shared" si="1"/>
        <v>12.766525423728819</v>
      </c>
      <c r="V67">
        <f t="shared" si="2"/>
        <v>12.921271186440688</v>
      </c>
      <c r="W67" s="7">
        <v>23.999999999999996</v>
      </c>
      <c r="X67" s="7">
        <v>23.999999999999996</v>
      </c>
      <c r="Y67" s="8">
        <v>34.43</v>
      </c>
      <c r="Z67" t="s">
        <v>109</v>
      </c>
      <c r="AA67">
        <f t="shared" si="3"/>
        <v>595.19095083435991</v>
      </c>
      <c r="AB67">
        <f t="shared" si="4"/>
        <v>511.63225105284624</v>
      </c>
      <c r="AC67">
        <f t="shared" si="5"/>
        <v>610.42117063015507</v>
      </c>
      <c r="AD67">
        <f t="shared" si="6"/>
        <v>613.26048852199494</v>
      </c>
      <c r="AE67">
        <f t="shared" si="7"/>
        <v>657.33878511723356</v>
      </c>
      <c r="AF67">
        <f t="shared" si="8"/>
        <v>580.60708263069148</v>
      </c>
    </row>
    <row r="68" spans="11:32" x14ac:dyDescent="0.2">
      <c r="K68" t="s">
        <v>30</v>
      </c>
      <c r="L68">
        <v>2024</v>
      </c>
      <c r="M68" t="s">
        <v>28</v>
      </c>
      <c r="N68" t="str">
        <f t="shared" si="0"/>
        <v>2024 Aralık</v>
      </c>
      <c r="O68">
        <v>43.391100000000002</v>
      </c>
      <c r="P68">
        <v>25.507200000000001</v>
      </c>
      <c r="Q68">
        <v>44.173000000000002</v>
      </c>
      <c r="R68">
        <v>2684.55</v>
      </c>
      <c r="T68" t="s">
        <v>110</v>
      </c>
      <c r="U68">
        <f t="shared" si="1"/>
        <v>12.688785310734474</v>
      </c>
      <c r="V68">
        <f t="shared" si="2"/>
        <v>13.351412429378541</v>
      </c>
      <c r="W68" s="7">
        <v>24.083333333333329</v>
      </c>
      <c r="X68" s="7">
        <v>24.083333333333329</v>
      </c>
      <c r="Y68" s="8">
        <v>34.97</v>
      </c>
      <c r="Z68" t="s">
        <v>110</v>
      </c>
      <c r="AA68">
        <f t="shared" si="3"/>
        <v>601.31033710381905</v>
      </c>
      <c r="AB68">
        <f t="shared" si="4"/>
        <v>508.51673232803552</v>
      </c>
      <c r="AC68">
        <f t="shared" si="5"/>
        <v>630.74171937972142</v>
      </c>
      <c r="AD68">
        <f t="shared" si="6"/>
        <v>613.35378265294594</v>
      </c>
      <c r="AE68">
        <f t="shared" si="7"/>
        <v>666.48058179184648</v>
      </c>
      <c r="AF68">
        <f t="shared" si="8"/>
        <v>589.71332209106242</v>
      </c>
    </row>
    <row r="69" spans="11:32" x14ac:dyDescent="0.2">
      <c r="K69" t="s">
        <v>30</v>
      </c>
      <c r="L69">
        <v>2025</v>
      </c>
      <c r="M69" t="s">
        <v>6</v>
      </c>
      <c r="N69" t="str">
        <f t="shared" si="0"/>
        <v>2025 Ocak</v>
      </c>
      <c r="O69">
        <v>46.079900000000002</v>
      </c>
      <c r="P69">
        <v>25.688600000000001</v>
      </c>
      <c r="Q69">
        <v>46.720999999999997</v>
      </c>
      <c r="R69">
        <v>2819.65</v>
      </c>
      <c r="T69" t="s">
        <v>111</v>
      </c>
      <c r="U69">
        <f t="shared" si="1"/>
        <v>14.884096045197744</v>
      </c>
      <c r="V69">
        <f t="shared" si="2"/>
        <v>15.427401129943505</v>
      </c>
      <c r="W69" s="7">
        <v>24.166666666666664</v>
      </c>
      <c r="X69" s="7">
        <v>24.166666666666664</v>
      </c>
      <c r="Y69" s="8">
        <v>35.520000000000003</v>
      </c>
      <c r="Z69" t="s">
        <v>111</v>
      </c>
      <c r="AA69">
        <f t="shared" si="3"/>
        <v>631.57128457834028</v>
      </c>
      <c r="AB69">
        <f t="shared" si="4"/>
        <v>596.49617352714768</v>
      </c>
      <c r="AC69">
        <f t="shared" si="5"/>
        <v>728.81469026076297</v>
      </c>
      <c r="AD69">
        <f t="shared" si="6"/>
        <v>651.36124618342194</v>
      </c>
      <c r="AE69">
        <f t="shared" si="7"/>
        <v>704.92471106551193</v>
      </c>
      <c r="AF69">
        <f t="shared" si="8"/>
        <v>598.98819561551443</v>
      </c>
    </row>
    <row r="70" spans="11:32" x14ac:dyDescent="0.2">
      <c r="K70" t="s">
        <v>30</v>
      </c>
      <c r="L70">
        <v>2025</v>
      </c>
      <c r="M70" t="s">
        <v>8</v>
      </c>
      <c r="N70" t="str">
        <f t="shared" si="0"/>
        <v>2025 Şubat</v>
      </c>
      <c r="O70">
        <v>47.1813</v>
      </c>
      <c r="P70">
        <v>26.771000000000001</v>
      </c>
      <c r="Q70">
        <v>47.351700000000001</v>
      </c>
      <c r="R70">
        <v>2883.75</v>
      </c>
      <c r="T70" t="s">
        <v>112</v>
      </c>
      <c r="U70">
        <f t="shared" si="1"/>
        <v>15.734152542372886</v>
      </c>
      <c r="V70">
        <f t="shared" si="2"/>
        <v>15.878559322033905</v>
      </c>
      <c r="W70" s="7">
        <v>24.249999999999996</v>
      </c>
      <c r="X70" s="7">
        <v>24.249999999999996</v>
      </c>
      <c r="Y70" s="8">
        <v>36.159999999999997</v>
      </c>
      <c r="Z70" t="s">
        <v>112</v>
      </c>
      <c r="AA70">
        <f t="shared" si="3"/>
        <v>645.92899540822043</v>
      </c>
      <c r="AB70">
        <f t="shared" si="4"/>
        <v>630.56310283928826</v>
      </c>
      <c r="AC70">
        <f t="shared" si="5"/>
        <v>750.12811273921091</v>
      </c>
      <c r="AD70">
        <f t="shared" si="6"/>
        <v>666.93005767273553</v>
      </c>
      <c r="AE70">
        <f t="shared" si="7"/>
        <v>714.44068921814176</v>
      </c>
      <c r="AF70">
        <f t="shared" si="8"/>
        <v>609.78077571669473</v>
      </c>
    </row>
    <row r="71" spans="11:32" x14ac:dyDescent="0.2">
      <c r="K71" t="s">
        <v>30</v>
      </c>
      <c r="L71">
        <v>2025</v>
      </c>
      <c r="M71" t="s">
        <v>10</v>
      </c>
      <c r="N71" t="str">
        <f t="shared" si="0"/>
        <v>2025 Mart</v>
      </c>
      <c r="O71">
        <v>45.718000000000004</v>
      </c>
      <c r="P71">
        <v>26.911000000000001</v>
      </c>
      <c r="Q71">
        <v>46.3962</v>
      </c>
      <c r="R71">
        <v>2954.69</v>
      </c>
      <c r="T71" t="s">
        <v>113</v>
      </c>
      <c r="U71">
        <f t="shared" si="1"/>
        <v>14.410734463276842</v>
      </c>
      <c r="V71">
        <f t="shared" si="2"/>
        <v>14.985480225988706</v>
      </c>
      <c r="W71" s="7">
        <v>24.333333333333332</v>
      </c>
      <c r="X71" s="7">
        <v>24.333333333333332</v>
      </c>
      <c r="Y71" s="8">
        <v>37.04</v>
      </c>
      <c r="Z71" t="s">
        <v>113</v>
      </c>
      <c r="AA71">
        <f t="shared" si="3"/>
        <v>661.81879269795047</v>
      </c>
      <c r="AB71">
        <f t="shared" si="4"/>
        <v>577.52569850110967</v>
      </c>
      <c r="AC71">
        <f t="shared" si="5"/>
        <v>707.93765180025127</v>
      </c>
      <c r="AD71">
        <f t="shared" si="6"/>
        <v>646.2456180029402</v>
      </c>
      <c r="AE71">
        <f t="shared" si="7"/>
        <v>700.02414074051728</v>
      </c>
      <c r="AF71">
        <f t="shared" si="8"/>
        <v>624.6205733558179</v>
      </c>
    </row>
    <row r="72" spans="11:32" x14ac:dyDescent="0.2">
      <c r="K72" t="s">
        <v>30</v>
      </c>
      <c r="L72">
        <v>2025</v>
      </c>
      <c r="M72" t="s">
        <v>12</v>
      </c>
      <c r="N72" t="str">
        <f t="shared" si="0"/>
        <v>2025 Nisan</v>
      </c>
      <c r="O72">
        <v>46.136299999999999</v>
      </c>
      <c r="P72">
        <v>26.6065</v>
      </c>
      <c r="Q72">
        <v>45.842599999999997</v>
      </c>
      <c r="R72">
        <v>3043.23</v>
      </c>
      <c r="T72" t="s">
        <v>114</v>
      </c>
      <c r="U72">
        <f t="shared" si="1"/>
        <v>14.681892655367236</v>
      </c>
      <c r="V72">
        <f t="shared" si="2"/>
        <v>14.432994350282485</v>
      </c>
      <c r="W72" s="7">
        <v>24.416666666666664</v>
      </c>
      <c r="X72" s="7">
        <v>24.416666666666664</v>
      </c>
      <c r="Y72" s="8">
        <v>38.090000000000003</v>
      </c>
      <c r="Z72" t="s">
        <v>114</v>
      </c>
      <c r="AA72">
        <f t="shared" si="3"/>
        <v>681.65080076156346</v>
      </c>
      <c r="AB72">
        <f t="shared" si="4"/>
        <v>588.39265498347152</v>
      </c>
      <c r="AC72">
        <f t="shared" si="5"/>
        <v>681.83735020151062</v>
      </c>
      <c r="AD72">
        <f t="shared" si="6"/>
        <v>652.15848693882174</v>
      </c>
      <c r="AE72">
        <f t="shared" si="7"/>
        <v>691.6714445215606</v>
      </c>
      <c r="AF72">
        <f t="shared" si="8"/>
        <v>642.32715008431717</v>
      </c>
    </row>
    <row r="73" spans="11:32" x14ac:dyDescent="0.2">
      <c r="K73" t="s">
        <v>30</v>
      </c>
      <c r="L73">
        <v>2025</v>
      </c>
      <c r="M73" t="s">
        <v>14</v>
      </c>
      <c r="N73" t="str">
        <f t="shared" ref="N73:N79" si="9">L73&amp;" "&amp;M73</f>
        <v>2025 Mayıs</v>
      </c>
      <c r="O73">
        <v>46.953600000000002</v>
      </c>
      <c r="P73">
        <v>25.387</v>
      </c>
      <c r="Q73">
        <v>46.066299999999998</v>
      </c>
      <c r="R73">
        <v>3089.74</v>
      </c>
      <c r="T73" t="s">
        <v>115</v>
      </c>
      <c r="U73">
        <f t="shared" si="1"/>
        <v>15.291186440677972</v>
      </c>
      <c r="V73">
        <f t="shared" si="2"/>
        <v>14.539237288135599</v>
      </c>
      <c r="W73" s="7">
        <v>24.499999999999996</v>
      </c>
      <c r="X73" s="7">
        <v>24.499999999999996</v>
      </c>
      <c r="Y73" s="8">
        <v>38.76</v>
      </c>
      <c r="Z73" t="s">
        <v>115</v>
      </c>
      <c r="AA73">
        <f t="shared" si="3"/>
        <v>692.06854071004591</v>
      </c>
      <c r="AB73">
        <f t="shared" si="4"/>
        <v>612.81075940768937</v>
      </c>
      <c r="AC73">
        <f t="shared" si="5"/>
        <v>686.85643366162253</v>
      </c>
      <c r="AD73">
        <f t="shared" si="6"/>
        <v>663.71141015492492</v>
      </c>
      <c r="AE73">
        <f t="shared" si="7"/>
        <v>695.04662180512389</v>
      </c>
      <c r="AF73">
        <f t="shared" si="8"/>
        <v>653.62563237774032</v>
      </c>
    </row>
    <row r="74" spans="11:32" x14ac:dyDescent="0.2">
      <c r="K74" t="s">
        <v>30</v>
      </c>
      <c r="L74">
        <v>2025</v>
      </c>
      <c r="M74" t="s">
        <v>16</v>
      </c>
      <c r="N74" t="str">
        <f t="shared" si="9"/>
        <v>2025 Haziran</v>
      </c>
      <c r="O74">
        <v>49.265999999999998</v>
      </c>
      <c r="P74">
        <v>24.325700000000001</v>
      </c>
      <c r="Q74">
        <v>49.358699999999999</v>
      </c>
      <c r="R74">
        <v>3132.17</v>
      </c>
      <c r="T74" t="s">
        <v>116</v>
      </c>
      <c r="U74">
        <f t="shared" ref="U74:U79" si="10">O74/1.18-W74</f>
        <v>17.167514124293785</v>
      </c>
      <c r="V74">
        <f t="shared" ref="V74:V79" si="11">Q74/1.18-X74</f>
        <v>17.246073446327689</v>
      </c>
      <c r="W74" s="7">
        <v>24.583333333333332</v>
      </c>
      <c r="X74" s="7">
        <v>24.583333333333332</v>
      </c>
      <c r="Y74" s="8">
        <v>39.409999999999997</v>
      </c>
      <c r="Z74" t="s">
        <v>116</v>
      </c>
      <c r="AA74">
        <f t="shared" si="3"/>
        <v>701.57240452458279</v>
      </c>
      <c r="AB74">
        <f t="shared" si="4"/>
        <v>688.00661142054958</v>
      </c>
      <c r="AC74">
        <f t="shared" si="5"/>
        <v>814.73163050150833</v>
      </c>
      <c r="AD74">
        <f t="shared" si="6"/>
        <v>696.39828112631449</v>
      </c>
      <c r="AE74">
        <f t="shared" si="7"/>
        <v>744.72223060442377</v>
      </c>
      <c r="AF74">
        <f t="shared" si="8"/>
        <v>664.58684654300168</v>
      </c>
    </row>
    <row r="75" spans="11:32" x14ac:dyDescent="0.2">
      <c r="K75" t="s">
        <v>30</v>
      </c>
      <c r="L75">
        <v>2025</v>
      </c>
      <c r="M75" t="s">
        <v>18</v>
      </c>
      <c r="N75" t="str">
        <f t="shared" si="9"/>
        <v>2025 Temmuz</v>
      </c>
      <c r="O75">
        <v>51.946599999999997</v>
      </c>
      <c r="P75">
        <v>25.373699999999999</v>
      </c>
      <c r="Q75">
        <v>53.776200000000003</v>
      </c>
      <c r="R75">
        <v>3196.66</v>
      </c>
      <c r="T75" t="s">
        <v>117</v>
      </c>
      <c r="U75">
        <f t="shared" si="10"/>
        <v>19.35587570621469</v>
      </c>
      <c r="V75">
        <f t="shared" si="11"/>
        <v>20.906384180790965</v>
      </c>
      <c r="W75" s="7">
        <v>24.666666666666664</v>
      </c>
      <c r="X75" s="7">
        <v>24.666666666666664</v>
      </c>
      <c r="Y75" s="8">
        <v>40.18</v>
      </c>
      <c r="Z75" t="s">
        <v>117</v>
      </c>
      <c r="AA75">
        <f t="shared" ref="AA75:AA79" si="12">100*R75/$R$9</f>
        <v>716.01747116138426</v>
      </c>
      <c r="AB75">
        <f t="shared" ref="AB75:AB79" si="13">100*U75/$U$9</f>
        <v>775.7075578499298</v>
      </c>
      <c r="AC75">
        <f t="shared" ref="AC75:AC79" si="14">100*V75/$V$9</f>
        <v>987.65046574318762</v>
      </c>
      <c r="AD75">
        <f t="shared" ref="AD75:AD79" si="15">100*O75/$O$9</f>
        <v>734.28983376682118</v>
      </c>
      <c r="AE75">
        <f t="shared" ref="AE75:AE79" si="16">100*Q75/$Q$9</f>
        <v>811.3733063761731</v>
      </c>
      <c r="AF75">
        <f t="shared" ref="AF75:AF79" si="17">100*Y75/$Y$9</f>
        <v>677.57166947723442</v>
      </c>
    </row>
    <row r="76" spans="11:32" x14ac:dyDescent="0.2">
      <c r="K76" t="s">
        <v>30</v>
      </c>
      <c r="L76">
        <v>2025</v>
      </c>
      <c r="M76" t="s">
        <v>20</v>
      </c>
      <c r="N76" t="str">
        <f t="shared" si="9"/>
        <v>2025 Ağustos</v>
      </c>
      <c r="O76">
        <v>52.474899999999998</v>
      </c>
      <c r="P76">
        <v>25.713200000000001</v>
      </c>
      <c r="Q76">
        <v>53.237900000000003</v>
      </c>
      <c r="R76">
        <v>3261.72</v>
      </c>
      <c r="T76" t="s">
        <v>118</v>
      </c>
      <c r="U76">
        <f t="shared" si="10"/>
        <v>19.720254237288138</v>
      </c>
      <c r="V76">
        <f t="shared" si="11"/>
        <v>20.366864406779669</v>
      </c>
      <c r="W76" s="7">
        <v>24.75</v>
      </c>
      <c r="X76" s="7">
        <v>24.75</v>
      </c>
      <c r="Y76" s="8">
        <v>40.799999999999997</v>
      </c>
      <c r="Z76" t="s">
        <v>118</v>
      </c>
      <c r="AA76">
        <f t="shared" si="12"/>
        <v>730.59021166983985</v>
      </c>
      <c r="AB76">
        <f t="shared" si="13"/>
        <v>790.31041977992118</v>
      </c>
      <c r="AC76">
        <f t="shared" si="14"/>
        <v>962.16270317879776</v>
      </c>
      <c r="AD76">
        <f t="shared" si="15"/>
        <v>741.75760488521996</v>
      </c>
      <c r="AE76">
        <f t="shared" si="16"/>
        <v>803.25145598841243</v>
      </c>
      <c r="AF76">
        <f t="shared" si="17"/>
        <v>688.02698145025295</v>
      </c>
    </row>
    <row r="77" spans="11:32" x14ac:dyDescent="0.2">
      <c r="K77" t="s">
        <v>30</v>
      </c>
      <c r="L77">
        <v>2025</v>
      </c>
      <c r="M77" t="s">
        <v>22</v>
      </c>
      <c r="N77" t="str">
        <f t="shared" si="9"/>
        <v>2025 Eylül</v>
      </c>
      <c r="O77">
        <v>54.019300000000001</v>
      </c>
      <c r="P77">
        <v>25.664300000000001</v>
      </c>
      <c r="Q77">
        <v>54.812899999999999</v>
      </c>
      <c r="R77">
        <v>3367.22</v>
      </c>
      <c r="T77" t="s">
        <v>119</v>
      </c>
      <c r="U77">
        <f t="shared" si="10"/>
        <v>20.945734463276839</v>
      </c>
      <c r="V77">
        <f t="shared" si="11"/>
        <v>21.618276836158191</v>
      </c>
      <c r="W77" s="7">
        <v>24.833333333333332</v>
      </c>
      <c r="X77" s="7">
        <v>24.833333333333332</v>
      </c>
      <c r="Y77" s="8">
        <v>41.29</v>
      </c>
      <c r="Z77" t="s">
        <v>119</v>
      </c>
      <c r="AA77">
        <f t="shared" si="12"/>
        <v>754.22107738828538</v>
      </c>
      <c r="AB77">
        <f t="shared" si="13"/>
        <v>839.42285921296934</v>
      </c>
      <c r="AC77">
        <f t="shared" si="14"/>
        <v>1021.2813942936452</v>
      </c>
      <c r="AD77">
        <f t="shared" si="15"/>
        <v>763.58843152776217</v>
      </c>
      <c r="AE77">
        <f t="shared" si="16"/>
        <v>827.01499743504633</v>
      </c>
      <c r="AF77">
        <f t="shared" si="17"/>
        <v>696.29005059021927</v>
      </c>
    </row>
    <row r="78" spans="11:32" x14ac:dyDescent="0.2">
      <c r="K78" t="s">
        <v>30</v>
      </c>
      <c r="L78">
        <v>2025</v>
      </c>
      <c r="M78" t="s">
        <v>24</v>
      </c>
      <c r="N78" t="str">
        <f t="shared" si="9"/>
        <v>2025 Ekim</v>
      </c>
      <c r="O78">
        <v>53.504100000000001</v>
      </c>
      <c r="P78">
        <v>26.907299999999999</v>
      </c>
      <c r="Q78">
        <v>54.441099999999999</v>
      </c>
      <c r="R78">
        <v>3453.09</v>
      </c>
      <c r="T78" t="s">
        <v>120</v>
      </c>
      <c r="U78">
        <f t="shared" si="10"/>
        <v>20.425790960451984</v>
      </c>
      <c r="V78">
        <f t="shared" si="11"/>
        <v>21.219858757062148</v>
      </c>
      <c r="W78" s="7">
        <v>24.916666666666664</v>
      </c>
      <c r="X78" s="7">
        <v>24.916666666666664</v>
      </c>
      <c r="Y78" s="8">
        <v>41.81</v>
      </c>
      <c r="Z78" t="s">
        <v>120</v>
      </c>
      <c r="AA78">
        <f t="shared" si="12"/>
        <v>773.45503415836038</v>
      </c>
      <c r="AB78">
        <f t="shared" si="13"/>
        <v>818.58556355567646</v>
      </c>
      <c r="AC78">
        <f t="shared" si="14"/>
        <v>1002.4594976913019</v>
      </c>
      <c r="AD78">
        <f t="shared" si="15"/>
        <v>756.3058351238268</v>
      </c>
      <c r="AE78">
        <f t="shared" si="16"/>
        <v>821.4052928573584</v>
      </c>
      <c r="AF78">
        <f t="shared" si="17"/>
        <v>705.05902192242831</v>
      </c>
    </row>
    <row r="79" spans="11:32" x14ac:dyDescent="0.2">
      <c r="K79" t="s">
        <v>30</v>
      </c>
      <c r="L79">
        <v>2025</v>
      </c>
      <c r="M79" t="s">
        <v>26</v>
      </c>
      <c r="N79" t="str">
        <f t="shared" si="9"/>
        <v>2025 Kasım</v>
      </c>
      <c r="O79">
        <v>55.258099999999999</v>
      </c>
      <c r="P79">
        <v>26.920500000000001</v>
      </c>
      <c r="Q79">
        <v>58.0045</v>
      </c>
      <c r="R79">
        <v>3482.96</v>
      </c>
      <c r="T79" t="s">
        <v>121</v>
      </c>
      <c r="U79">
        <f t="shared" si="10"/>
        <v>21.828898305084749</v>
      </c>
      <c r="V79">
        <f t="shared" si="11"/>
        <v>24.15635593220339</v>
      </c>
      <c r="W79" s="7">
        <v>25</v>
      </c>
      <c r="X79" s="7">
        <v>25</v>
      </c>
      <c r="Y79" s="8">
        <v>42.26</v>
      </c>
      <c r="Z79" t="s">
        <v>121</v>
      </c>
      <c r="AA79">
        <f t="shared" si="12"/>
        <v>780.14559301153542</v>
      </c>
      <c r="AB79">
        <f t="shared" si="13"/>
        <v>874.81660100529825</v>
      </c>
      <c r="AC79">
        <f t="shared" si="14"/>
        <v>1141.1842421330773</v>
      </c>
      <c r="AD79">
        <f t="shared" si="15"/>
        <v>781.09945719778352</v>
      </c>
      <c r="AE79">
        <f t="shared" si="16"/>
        <v>875.16973958176163</v>
      </c>
      <c r="AF79">
        <f t="shared" si="17"/>
        <v>712.64755480607084</v>
      </c>
    </row>
    <row r="80" spans="11:32" x14ac:dyDescent="0.2">
      <c r="Y80" s="8"/>
      <c r="AA80" t="s">
        <v>50</v>
      </c>
      <c r="AB80" t="s">
        <v>2</v>
      </c>
      <c r="AC80" t="s">
        <v>4</v>
      </c>
      <c r="AD80" t="s">
        <v>122</v>
      </c>
      <c r="AE80" t="s">
        <v>123</v>
      </c>
      <c r="AF80" t="s">
        <v>125</v>
      </c>
    </row>
    <row r="81" spans="28:30" x14ac:dyDescent="0.2">
      <c r="AB81">
        <f>AB79/AD79</f>
        <v>1.1199810637991321</v>
      </c>
      <c r="AC81">
        <f>AC79/AE79</f>
        <v>1.3039576101870733</v>
      </c>
    </row>
    <row r="82" spans="28:30" x14ac:dyDescent="0.2">
      <c r="AB82" s="5">
        <v>0.3</v>
      </c>
      <c r="AC82" s="5">
        <v>0.3</v>
      </c>
    </row>
    <row r="83" spans="28:30" ht="17" thickBot="1" x14ac:dyDescent="0.25">
      <c r="AB83" s="10">
        <f>AB82*AD83/100</f>
        <v>9.9836999999999999E-3</v>
      </c>
      <c r="AC83" s="10">
        <f>AC82*AD83/100</f>
        <v>9.9836999999999999E-3</v>
      </c>
      <c r="AD83" s="9">
        <v>3.3279000000000001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2B3F-3B40-D340-8C44-66F6937B7190}">
  <dimension ref="B6:AM83"/>
  <sheetViews>
    <sheetView zoomScale="75" workbookViewId="0">
      <selection activeCell="AG1" activeCellId="3" sqref="Z1:Z1048576 AB1:AB1048576 AC1:AC1048576 AG1:AG1048576"/>
    </sheetView>
  </sheetViews>
  <sheetFormatPr baseColWidth="10" defaultRowHeight="16" x14ac:dyDescent="0.2"/>
  <sheetData>
    <row r="6" spans="2:39" x14ac:dyDescent="0.2">
      <c r="M6" t="s">
        <v>38</v>
      </c>
      <c r="O6" t="s">
        <v>39</v>
      </c>
      <c r="P6" t="s">
        <v>40</v>
      </c>
      <c r="Q6" t="s">
        <v>41</v>
      </c>
    </row>
    <row r="7" spans="2:39" x14ac:dyDescent="0.2">
      <c r="B7" t="s">
        <v>42</v>
      </c>
      <c r="C7" s="1" t="s">
        <v>43</v>
      </c>
      <c r="D7" s="2" t="s">
        <v>44</v>
      </c>
      <c r="E7" s="3" t="s">
        <v>45</v>
      </c>
      <c r="F7" s="4">
        <v>3.3279196717571722</v>
      </c>
      <c r="G7" s="5">
        <v>0.1</v>
      </c>
      <c r="M7" t="s">
        <v>0</v>
      </c>
    </row>
    <row r="8" spans="2:39" x14ac:dyDescent="0.2">
      <c r="B8" t="s">
        <v>46</v>
      </c>
      <c r="C8" s="1" t="s">
        <v>47</v>
      </c>
      <c r="D8" s="6" t="s">
        <v>48</v>
      </c>
      <c r="E8" s="1" t="s">
        <v>49</v>
      </c>
      <c r="F8" s="4">
        <v>1.9658391536728812</v>
      </c>
      <c r="G8" s="5">
        <v>0.1</v>
      </c>
      <c r="O8" t="s">
        <v>2</v>
      </c>
      <c r="P8" t="s">
        <v>3</v>
      </c>
      <c r="Q8" t="s">
        <v>4</v>
      </c>
      <c r="R8" t="s">
        <v>50</v>
      </c>
      <c r="U8" t="s">
        <v>2</v>
      </c>
      <c r="V8" t="s">
        <v>4</v>
      </c>
      <c r="Y8" t="s">
        <v>124</v>
      </c>
      <c r="AA8" t="s">
        <v>50</v>
      </c>
      <c r="AB8" t="s">
        <v>2</v>
      </c>
      <c r="AC8" t="s">
        <v>4</v>
      </c>
      <c r="AD8" t="s">
        <v>122</v>
      </c>
      <c r="AE8" t="s">
        <v>123</v>
      </c>
      <c r="AF8" t="s">
        <v>125</v>
      </c>
      <c r="AG8" t="s">
        <v>128</v>
      </c>
      <c r="AK8" t="s">
        <v>126</v>
      </c>
      <c r="AL8" t="s">
        <v>127</v>
      </c>
    </row>
    <row r="9" spans="2:39" x14ac:dyDescent="0.2">
      <c r="K9" t="s">
        <v>30</v>
      </c>
      <c r="L9">
        <v>2020</v>
      </c>
      <c r="M9" t="s">
        <v>6</v>
      </c>
      <c r="N9" t="str">
        <f t="shared" ref="N9:N72" si="0">L9&amp;" "&amp;M9</f>
        <v>2020 Ocak</v>
      </c>
      <c r="O9">
        <v>7.0743999999999998</v>
      </c>
      <c r="P9">
        <v>3.5712999999999999</v>
      </c>
      <c r="Q9">
        <v>6.6277999999999997</v>
      </c>
      <c r="R9">
        <v>446.45</v>
      </c>
      <c r="T9" t="s">
        <v>51</v>
      </c>
      <c r="U9">
        <f>O9/1.18-W9</f>
        <v>2.4952542372881359</v>
      </c>
      <c r="V9">
        <f>Q9/1.18-X9</f>
        <v>2.1167796610169489</v>
      </c>
      <c r="W9">
        <v>3.5</v>
      </c>
      <c r="X9">
        <v>3.5</v>
      </c>
      <c r="Y9" s="8">
        <v>5.93</v>
      </c>
      <c r="Z9" t="s">
        <v>51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K9" s="11">
        <v>43831</v>
      </c>
      <c r="AL9">
        <v>63.65</v>
      </c>
      <c r="AM9">
        <f>AL9*Y9</f>
        <v>377.44449999999995</v>
      </c>
    </row>
    <row r="10" spans="2:39" x14ac:dyDescent="0.2">
      <c r="K10" t="s">
        <v>30</v>
      </c>
      <c r="L10">
        <v>2020</v>
      </c>
      <c r="M10" t="s">
        <v>8</v>
      </c>
      <c r="N10" t="str">
        <f t="shared" si="0"/>
        <v>2020 Şubat</v>
      </c>
      <c r="O10">
        <v>6.8140999999999998</v>
      </c>
      <c r="P10">
        <v>3.5607000000000002</v>
      </c>
      <c r="Q10">
        <v>6.4562999999999997</v>
      </c>
      <c r="R10">
        <v>448.02</v>
      </c>
      <c r="T10" t="s">
        <v>52</v>
      </c>
      <c r="U10">
        <f t="shared" ref="U10:U73" si="1">O10/1.18-W10</f>
        <v>2.1746610169491523</v>
      </c>
      <c r="V10">
        <f t="shared" ref="V10:V73" si="2">Q10/1.18-X10</f>
        <v>1.8714406779661013</v>
      </c>
      <c r="W10">
        <v>3.6</v>
      </c>
      <c r="X10">
        <v>3.6</v>
      </c>
      <c r="Y10" s="8">
        <v>6.06</v>
      </c>
      <c r="Z10" t="s">
        <v>52</v>
      </c>
      <c r="AA10">
        <f>100*R10/$R$9</f>
        <v>100.35166312017023</v>
      </c>
      <c r="AB10">
        <f>100*U10/$U$9</f>
        <v>87.151881537834512</v>
      </c>
      <c r="AC10">
        <f>100*V10/$V$9</f>
        <v>88.40980062454959</v>
      </c>
      <c r="AD10">
        <f>100*O10/$O$9</f>
        <v>96.320536017188729</v>
      </c>
      <c r="AE10">
        <f>100*Q10/$Q$9</f>
        <v>97.412414375810982</v>
      </c>
      <c r="AF10">
        <f>100*Y10/$Y$9</f>
        <v>102.19224283305228</v>
      </c>
      <c r="AG10">
        <f>100*AM10/$AM$9</f>
        <v>89.364025704441303</v>
      </c>
      <c r="AK10" s="11">
        <v>43862</v>
      </c>
      <c r="AL10">
        <v>55.66</v>
      </c>
      <c r="AM10">
        <f t="shared" ref="AM10:AM73" si="3">AL10*Y10</f>
        <v>337.29959999999994</v>
      </c>
    </row>
    <row r="11" spans="2:39" x14ac:dyDescent="0.2">
      <c r="K11" t="s">
        <v>30</v>
      </c>
      <c r="L11">
        <v>2020</v>
      </c>
      <c r="M11" t="s">
        <v>10</v>
      </c>
      <c r="N11" t="str">
        <f t="shared" si="0"/>
        <v>2020 Mart</v>
      </c>
      <c r="O11">
        <v>5.8388</v>
      </c>
      <c r="P11">
        <v>3.5293999999999999</v>
      </c>
      <c r="Q11">
        <v>5.8166000000000002</v>
      </c>
      <c r="R11">
        <v>450.58</v>
      </c>
      <c r="T11" t="s">
        <v>53</v>
      </c>
      <c r="U11">
        <f t="shared" si="1"/>
        <v>1.2481355932203391</v>
      </c>
      <c r="V11">
        <f t="shared" si="2"/>
        <v>1.2293220338983053</v>
      </c>
      <c r="W11">
        <v>3.7</v>
      </c>
      <c r="X11">
        <v>3.7</v>
      </c>
      <c r="Y11" s="8">
        <v>6.33</v>
      </c>
      <c r="Z11" t="s">
        <v>53</v>
      </c>
      <c r="AA11">
        <f t="shared" ref="AA11:AA74" si="4">100*R11/$R$9</f>
        <v>100.92507559637137</v>
      </c>
      <c r="AB11">
        <f t="shared" ref="AB11:AB74" si="5">100*U11/$U$9</f>
        <v>50.020377666077977</v>
      </c>
      <c r="AC11">
        <f t="shared" ref="AC11:AC74" si="6">100*V11/$V$9</f>
        <v>58.07510609336218</v>
      </c>
      <c r="AD11">
        <f t="shared" ref="AD11:AD74" si="7">100*O11/$O$9</f>
        <v>82.534207848015384</v>
      </c>
      <c r="AE11">
        <f t="shared" ref="AE11:AE74" si="8">100*Q11/$Q$9</f>
        <v>87.760644557771812</v>
      </c>
      <c r="AF11">
        <f t="shared" ref="AF11:AF74" si="9">100*Y11/$Y$9</f>
        <v>106.74536256323778</v>
      </c>
      <c r="AG11">
        <f t="shared" ref="AG11:AG74" si="10">100*AM11/$AM$9</f>
        <v>53.682938816170335</v>
      </c>
      <c r="AK11" s="11">
        <v>43891</v>
      </c>
      <c r="AL11">
        <v>32.01</v>
      </c>
      <c r="AM11">
        <f t="shared" si="3"/>
        <v>202.6233</v>
      </c>
    </row>
    <row r="12" spans="2:39" x14ac:dyDescent="0.2">
      <c r="K12" t="s">
        <v>30</v>
      </c>
      <c r="L12">
        <v>2020</v>
      </c>
      <c r="M12" t="s">
        <v>12</v>
      </c>
      <c r="N12" t="str">
        <f t="shared" si="0"/>
        <v>2020 Nisan</v>
      </c>
      <c r="O12">
        <v>5.2363999999999997</v>
      </c>
      <c r="P12">
        <v>2.7978999999999998</v>
      </c>
      <c r="Q12">
        <v>5.2778999999999998</v>
      </c>
      <c r="R12">
        <v>454.43</v>
      </c>
      <c r="T12" t="s">
        <v>54</v>
      </c>
      <c r="U12">
        <f t="shared" si="1"/>
        <v>0.63762711864406807</v>
      </c>
      <c r="V12">
        <f t="shared" si="2"/>
        <v>0.67279661016949177</v>
      </c>
      <c r="W12">
        <v>3.8</v>
      </c>
      <c r="X12">
        <v>3.8</v>
      </c>
      <c r="Y12" s="8">
        <v>6.83</v>
      </c>
      <c r="Z12" t="s">
        <v>54</v>
      </c>
      <c r="AA12">
        <f t="shared" si="4"/>
        <v>101.78743420315826</v>
      </c>
      <c r="AB12">
        <f t="shared" si="5"/>
        <v>25.553593261785092</v>
      </c>
      <c r="AC12">
        <f t="shared" si="6"/>
        <v>31.783969893506299</v>
      </c>
      <c r="AD12">
        <f t="shared" si="7"/>
        <v>74.018998077575489</v>
      </c>
      <c r="AE12">
        <f t="shared" si="8"/>
        <v>79.63275898488186</v>
      </c>
      <c r="AF12">
        <f t="shared" si="9"/>
        <v>115.177065767285</v>
      </c>
      <c r="AG12">
        <f t="shared" si="10"/>
        <v>33.259300373962269</v>
      </c>
      <c r="AK12" s="11">
        <v>43922</v>
      </c>
      <c r="AL12">
        <v>18.38</v>
      </c>
      <c r="AM12">
        <f t="shared" si="3"/>
        <v>125.5354</v>
      </c>
    </row>
    <row r="13" spans="2:39" x14ac:dyDescent="0.2">
      <c r="K13" t="s">
        <v>30</v>
      </c>
      <c r="L13">
        <v>2020</v>
      </c>
      <c r="M13" t="s">
        <v>14</v>
      </c>
      <c r="N13" t="str">
        <f t="shared" si="0"/>
        <v>2020 Mayıs</v>
      </c>
      <c r="O13">
        <v>5.7314999999999996</v>
      </c>
      <c r="P13">
        <v>3.0682</v>
      </c>
      <c r="Q13">
        <v>5.3998999999999997</v>
      </c>
      <c r="R13">
        <v>460.62</v>
      </c>
      <c r="T13" t="s">
        <v>55</v>
      </c>
      <c r="U13">
        <f t="shared" si="1"/>
        <v>0.95720338983050857</v>
      </c>
      <c r="V13">
        <f t="shared" si="2"/>
        <v>0.67618644067796607</v>
      </c>
      <c r="W13">
        <v>3.9</v>
      </c>
      <c r="X13">
        <v>3.9</v>
      </c>
      <c r="Y13" s="8">
        <v>6.96</v>
      </c>
      <c r="Z13" t="s">
        <v>55</v>
      </c>
      <c r="AA13">
        <f t="shared" si="4"/>
        <v>103.17392765147274</v>
      </c>
      <c r="AB13">
        <f t="shared" si="5"/>
        <v>38.360956391794588</v>
      </c>
      <c r="AC13">
        <f t="shared" si="6"/>
        <v>31.944110817519419</v>
      </c>
      <c r="AD13">
        <f t="shared" si="7"/>
        <v>81.017471446341744</v>
      </c>
      <c r="AE13">
        <f t="shared" si="8"/>
        <v>81.473490449319542</v>
      </c>
      <c r="AF13">
        <f t="shared" si="9"/>
        <v>117.36930860033728</v>
      </c>
      <c r="AG13">
        <f t="shared" si="10"/>
        <v>54.176123906958516</v>
      </c>
      <c r="AK13" s="11">
        <v>43952</v>
      </c>
      <c r="AL13">
        <v>29.38</v>
      </c>
      <c r="AM13">
        <f t="shared" si="3"/>
        <v>204.48479999999998</v>
      </c>
    </row>
    <row r="14" spans="2:39" x14ac:dyDescent="0.2">
      <c r="K14" t="s">
        <v>30</v>
      </c>
      <c r="L14">
        <v>2020</v>
      </c>
      <c r="M14" t="s">
        <v>16</v>
      </c>
      <c r="N14" t="str">
        <f t="shared" si="0"/>
        <v>2020 Haziran</v>
      </c>
      <c r="O14">
        <v>6.1642000000000001</v>
      </c>
      <c r="P14">
        <v>3.2483</v>
      </c>
      <c r="Q14">
        <v>5.7500999999999998</v>
      </c>
      <c r="R14">
        <v>465.84</v>
      </c>
      <c r="T14" t="s">
        <v>56</v>
      </c>
      <c r="U14">
        <f t="shared" si="1"/>
        <v>1.2238983050847461</v>
      </c>
      <c r="V14">
        <f t="shared" si="2"/>
        <v>0.87296610169491551</v>
      </c>
      <c r="W14">
        <v>4</v>
      </c>
      <c r="X14">
        <v>4</v>
      </c>
      <c r="Y14" s="8">
        <v>6.82</v>
      </c>
      <c r="Z14" t="s">
        <v>56</v>
      </c>
      <c r="AA14">
        <f t="shared" si="4"/>
        <v>104.34315152872662</v>
      </c>
      <c r="AB14">
        <f t="shared" si="5"/>
        <v>49.049042249694338</v>
      </c>
      <c r="AC14">
        <f t="shared" si="6"/>
        <v>41.240291456481714</v>
      </c>
      <c r="AD14">
        <f t="shared" si="7"/>
        <v>87.13389121338912</v>
      </c>
      <c r="AE14">
        <f t="shared" si="8"/>
        <v>86.757295030025048</v>
      </c>
      <c r="AF14">
        <f t="shared" si="9"/>
        <v>115.00843170320405</v>
      </c>
      <c r="AG14">
        <f t="shared" si="10"/>
        <v>72.763386405153625</v>
      </c>
      <c r="AK14" s="11">
        <v>43983</v>
      </c>
      <c r="AL14">
        <v>40.270000000000003</v>
      </c>
      <c r="AM14">
        <f t="shared" si="3"/>
        <v>274.64140000000003</v>
      </c>
    </row>
    <row r="15" spans="2:39" x14ac:dyDescent="0.2">
      <c r="K15" t="s">
        <v>30</v>
      </c>
      <c r="L15">
        <v>2020</v>
      </c>
      <c r="M15" t="s">
        <v>18</v>
      </c>
      <c r="N15" t="str">
        <f t="shared" si="0"/>
        <v>2020 Temmuz</v>
      </c>
      <c r="O15">
        <v>6.4291999999999998</v>
      </c>
      <c r="P15">
        <v>3.5537999999999998</v>
      </c>
      <c r="Q15">
        <v>6.0076000000000001</v>
      </c>
      <c r="R15">
        <v>468.56</v>
      </c>
      <c r="T15" t="s">
        <v>57</v>
      </c>
      <c r="U15">
        <f t="shared" si="1"/>
        <v>1.3484745762711867</v>
      </c>
      <c r="V15">
        <f t="shared" si="2"/>
        <v>0.99118644067796691</v>
      </c>
      <c r="W15">
        <v>4.0999999999999996</v>
      </c>
      <c r="X15">
        <v>4.0999999999999996</v>
      </c>
      <c r="Y15" s="8">
        <v>6.86</v>
      </c>
      <c r="Z15" t="s">
        <v>57</v>
      </c>
      <c r="AA15">
        <f t="shared" si="4"/>
        <v>104.95240228469034</v>
      </c>
      <c r="AB15">
        <f t="shared" si="5"/>
        <v>54.041570438799084</v>
      </c>
      <c r="AC15">
        <f t="shared" si="6"/>
        <v>46.825206181439711</v>
      </c>
      <c r="AD15">
        <f t="shared" si="7"/>
        <v>90.879791925817031</v>
      </c>
      <c r="AE15">
        <f t="shared" si="8"/>
        <v>90.642445457014404</v>
      </c>
      <c r="AF15">
        <f t="shared" si="9"/>
        <v>115.68296795952783</v>
      </c>
      <c r="AG15">
        <f t="shared" si="10"/>
        <v>78.588083810997404</v>
      </c>
      <c r="AK15" s="11">
        <v>44013</v>
      </c>
      <c r="AL15">
        <v>43.24</v>
      </c>
      <c r="AM15">
        <f t="shared" si="3"/>
        <v>296.62640000000005</v>
      </c>
    </row>
    <row r="16" spans="2:39" x14ac:dyDescent="0.2">
      <c r="K16" t="s">
        <v>30</v>
      </c>
      <c r="L16">
        <v>2020</v>
      </c>
      <c r="M16" t="s">
        <v>20</v>
      </c>
      <c r="N16" t="str">
        <f t="shared" si="0"/>
        <v>2020 Ağustos</v>
      </c>
      <c r="O16">
        <v>6.6360999999999999</v>
      </c>
      <c r="P16">
        <v>3.5689000000000002</v>
      </c>
      <c r="Q16">
        <v>6.1638000000000002</v>
      </c>
      <c r="R16">
        <v>472.61</v>
      </c>
      <c r="T16" t="s">
        <v>58</v>
      </c>
      <c r="U16">
        <f t="shared" si="1"/>
        <v>1.423813559322034</v>
      </c>
      <c r="V16">
        <f t="shared" si="2"/>
        <v>1.0235593220338988</v>
      </c>
      <c r="W16">
        <v>4.2</v>
      </c>
      <c r="X16">
        <v>4.2</v>
      </c>
      <c r="Y16" s="8">
        <v>7.27</v>
      </c>
      <c r="Z16" t="s">
        <v>58</v>
      </c>
      <c r="AA16">
        <f t="shared" si="4"/>
        <v>105.85955874118042</v>
      </c>
      <c r="AB16">
        <f t="shared" si="5"/>
        <v>57.06086129601956</v>
      </c>
      <c r="AC16">
        <f t="shared" si="6"/>
        <v>48.3545520057651</v>
      </c>
      <c r="AD16">
        <f t="shared" si="7"/>
        <v>93.804421576388108</v>
      </c>
      <c r="AE16">
        <f t="shared" si="8"/>
        <v>92.999185250007542</v>
      </c>
      <c r="AF16">
        <f t="shared" si="9"/>
        <v>122.59696458684655</v>
      </c>
      <c r="AG16">
        <f t="shared" si="10"/>
        <v>86.174205744155771</v>
      </c>
      <c r="AK16" s="11">
        <v>44044</v>
      </c>
      <c r="AL16">
        <v>44.74</v>
      </c>
      <c r="AM16">
        <f t="shared" si="3"/>
        <v>325.25979999999998</v>
      </c>
    </row>
    <row r="17" spans="11:39" x14ac:dyDescent="0.2">
      <c r="K17" t="s">
        <v>30</v>
      </c>
      <c r="L17">
        <v>2020</v>
      </c>
      <c r="M17" t="s">
        <v>22</v>
      </c>
      <c r="N17" t="str">
        <f t="shared" si="0"/>
        <v>2020 Eylül</v>
      </c>
      <c r="O17">
        <v>6.7812000000000001</v>
      </c>
      <c r="P17">
        <v>3.6631999999999998</v>
      </c>
      <c r="Q17">
        <v>6.0171999999999999</v>
      </c>
      <c r="R17">
        <v>477.21</v>
      </c>
      <c r="T17" t="s">
        <v>59</v>
      </c>
      <c r="U17">
        <f t="shared" si="1"/>
        <v>1.4467796610169499</v>
      </c>
      <c r="V17">
        <f t="shared" si="2"/>
        <v>0.79932203389830558</v>
      </c>
      <c r="W17">
        <v>4.3</v>
      </c>
      <c r="X17">
        <v>4.3</v>
      </c>
      <c r="Y17" s="8">
        <v>7.52</v>
      </c>
      <c r="Z17" t="s">
        <v>59</v>
      </c>
      <c r="AA17">
        <f t="shared" si="4"/>
        <v>106.88990928435436</v>
      </c>
      <c r="AB17">
        <f t="shared" si="5"/>
        <v>57.981252547208278</v>
      </c>
      <c r="AC17">
        <f t="shared" si="6"/>
        <v>37.761229882296448</v>
      </c>
      <c r="AD17">
        <f t="shared" si="7"/>
        <v>95.855478909872218</v>
      </c>
      <c r="AE17">
        <f t="shared" si="8"/>
        <v>90.787289900117699</v>
      </c>
      <c r="AF17">
        <f t="shared" si="9"/>
        <v>126.81281618887016</v>
      </c>
      <c r="AG17">
        <f t="shared" si="10"/>
        <v>81.506870546530692</v>
      </c>
      <c r="AK17" s="11">
        <v>44075</v>
      </c>
      <c r="AL17">
        <v>40.909999999999997</v>
      </c>
      <c r="AM17">
        <f t="shared" si="3"/>
        <v>307.64319999999998</v>
      </c>
    </row>
    <row r="18" spans="11:39" x14ac:dyDescent="0.2">
      <c r="K18" t="s">
        <v>30</v>
      </c>
      <c r="L18">
        <v>2020</v>
      </c>
      <c r="M18" t="s">
        <v>24</v>
      </c>
      <c r="N18" t="str">
        <f t="shared" si="0"/>
        <v>2020 Ekim</v>
      </c>
      <c r="O18">
        <v>6.8609999999999998</v>
      </c>
      <c r="P18">
        <v>3.6389</v>
      </c>
      <c r="Q18">
        <v>6.1753999999999998</v>
      </c>
      <c r="R18">
        <v>487.38</v>
      </c>
      <c r="T18" t="s">
        <v>60</v>
      </c>
      <c r="U18">
        <f t="shared" si="1"/>
        <v>1.4144067796610171</v>
      </c>
      <c r="V18">
        <f t="shared" si="2"/>
        <v>0.83338983050847393</v>
      </c>
      <c r="W18">
        <v>4.4000000000000004</v>
      </c>
      <c r="X18">
        <v>4.4000000000000004</v>
      </c>
      <c r="Y18" s="8">
        <v>7.89</v>
      </c>
      <c r="Z18" t="s">
        <v>60</v>
      </c>
      <c r="AA18">
        <f t="shared" si="4"/>
        <v>109.16787994176279</v>
      </c>
      <c r="AB18">
        <f t="shared" si="5"/>
        <v>56.683874473576957</v>
      </c>
      <c r="AC18">
        <f t="shared" si="6"/>
        <v>39.370646168628362</v>
      </c>
      <c r="AD18">
        <f t="shared" si="7"/>
        <v>96.983489765916545</v>
      </c>
      <c r="AE18">
        <f t="shared" si="8"/>
        <v>93.174205618757355</v>
      </c>
      <c r="AF18">
        <f t="shared" si="9"/>
        <v>133.05227655986511</v>
      </c>
      <c r="AG18">
        <f t="shared" si="10"/>
        <v>84.012113039135556</v>
      </c>
      <c r="AK18" s="11">
        <v>44105</v>
      </c>
      <c r="AL18">
        <v>40.19</v>
      </c>
      <c r="AM18">
        <f t="shared" si="3"/>
        <v>317.09909999999996</v>
      </c>
    </row>
    <row r="19" spans="11:39" x14ac:dyDescent="0.2">
      <c r="K19" t="s">
        <v>30</v>
      </c>
      <c r="L19">
        <v>2020</v>
      </c>
      <c r="M19" t="s">
        <v>26</v>
      </c>
      <c r="N19" t="str">
        <f t="shared" si="0"/>
        <v>2020 Kasım</v>
      </c>
      <c r="O19">
        <v>6.8620999999999999</v>
      </c>
      <c r="P19">
        <v>3.6168999999999998</v>
      </c>
      <c r="Q19">
        <v>6.3964999999999996</v>
      </c>
      <c r="R19">
        <v>498.58</v>
      </c>
      <c r="T19" t="s">
        <v>61</v>
      </c>
      <c r="U19">
        <f t="shared" si="1"/>
        <v>1.3153389830508475</v>
      </c>
      <c r="V19">
        <f t="shared" si="2"/>
        <v>0.92076271186440639</v>
      </c>
      <c r="W19">
        <v>4.5</v>
      </c>
      <c r="X19">
        <v>4.5</v>
      </c>
      <c r="Y19" s="8">
        <v>8.02</v>
      </c>
      <c r="Z19" t="s">
        <v>61</v>
      </c>
      <c r="AA19">
        <f t="shared" si="4"/>
        <v>111.67655952514279</v>
      </c>
      <c r="AB19">
        <f t="shared" si="5"/>
        <v>52.713625866050812</v>
      </c>
      <c r="AC19">
        <f t="shared" si="6"/>
        <v>43.498278485066841</v>
      </c>
      <c r="AD19">
        <f t="shared" si="7"/>
        <v>96.999038787741725</v>
      </c>
      <c r="AE19">
        <f t="shared" si="8"/>
        <v>96.510154198980061</v>
      </c>
      <c r="AF19">
        <f t="shared" si="9"/>
        <v>135.24451939291737</v>
      </c>
      <c r="AG19">
        <f t="shared" si="10"/>
        <v>90.708382291966103</v>
      </c>
      <c r="AK19" s="11">
        <v>44136</v>
      </c>
      <c r="AL19">
        <v>42.69</v>
      </c>
      <c r="AM19">
        <f t="shared" si="3"/>
        <v>342.37379999999996</v>
      </c>
    </row>
    <row r="20" spans="11:39" x14ac:dyDescent="0.2">
      <c r="K20" t="s">
        <v>30</v>
      </c>
      <c r="L20">
        <v>2020</v>
      </c>
      <c r="M20" t="s">
        <v>28</v>
      </c>
      <c r="N20" t="str">
        <f t="shared" si="0"/>
        <v>2020 Aralık</v>
      </c>
      <c r="O20">
        <v>7.2220000000000004</v>
      </c>
      <c r="P20">
        <v>3.6088</v>
      </c>
      <c r="Q20">
        <v>6.6961000000000004</v>
      </c>
      <c r="R20">
        <v>504.81</v>
      </c>
      <c r="T20" t="s">
        <v>62</v>
      </c>
      <c r="U20">
        <f t="shared" si="1"/>
        <v>1.7870056497175151</v>
      </c>
      <c r="V20">
        <f t="shared" si="2"/>
        <v>1.3413276836158206</v>
      </c>
      <c r="W20" s="7">
        <v>4.333333333333333</v>
      </c>
      <c r="X20" s="7">
        <v>4.333333333333333</v>
      </c>
      <c r="Y20" s="8">
        <v>7.73</v>
      </c>
      <c r="Z20" t="s">
        <v>62</v>
      </c>
      <c r="AA20">
        <f t="shared" si="4"/>
        <v>113.07201254339792</v>
      </c>
      <c r="AB20">
        <f t="shared" si="5"/>
        <v>71.616175338495708</v>
      </c>
      <c r="AC20">
        <f t="shared" si="6"/>
        <v>63.366429124296126</v>
      </c>
      <c r="AD20">
        <f t="shared" si="7"/>
        <v>102.08639601945042</v>
      </c>
      <c r="AE20">
        <f t="shared" si="8"/>
        <v>101.03050786082864</v>
      </c>
      <c r="AF20">
        <f t="shared" si="9"/>
        <v>130.35413153457</v>
      </c>
      <c r="AG20">
        <f t="shared" si="10"/>
        <v>102.37868083916976</v>
      </c>
      <c r="AK20" s="11">
        <v>44166</v>
      </c>
      <c r="AL20">
        <v>49.99</v>
      </c>
      <c r="AM20">
        <f t="shared" si="3"/>
        <v>386.42270000000002</v>
      </c>
    </row>
    <row r="21" spans="11:39" x14ac:dyDescent="0.2">
      <c r="K21" t="s">
        <v>30</v>
      </c>
      <c r="L21">
        <v>2021</v>
      </c>
      <c r="M21" t="s">
        <v>6</v>
      </c>
      <c r="N21" t="str">
        <f t="shared" si="0"/>
        <v>2021 Ocak</v>
      </c>
      <c r="O21">
        <v>7.3154000000000003</v>
      </c>
      <c r="P21">
        <v>3.6225999999999998</v>
      </c>
      <c r="Q21">
        <v>6.7183000000000002</v>
      </c>
      <c r="R21">
        <v>513.29999999999995</v>
      </c>
      <c r="T21" t="s">
        <v>63</v>
      </c>
      <c r="U21">
        <f t="shared" si="1"/>
        <v>2.0328248587570634</v>
      </c>
      <c r="V21">
        <f t="shared" si="2"/>
        <v>1.5268079096045204</v>
      </c>
      <c r="W21" s="7">
        <v>4.1666666666666661</v>
      </c>
      <c r="X21" s="7">
        <v>4.1666666666666661</v>
      </c>
      <c r="Y21" s="8">
        <v>7.41</v>
      </c>
      <c r="Z21" t="s">
        <v>63</v>
      </c>
      <c r="AA21">
        <f t="shared" si="4"/>
        <v>114.97368126329935</v>
      </c>
      <c r="AB21">
        <f t="shared" si="5"/>
        <v>81.46764479463846</v>
      </c>
      <c r="AC21">
        <f t="shared" si="6"/>
        <v>72.128806683214606</v>
      </c>
      <c r="AD21">
        <f t="shared" si="7"/>
        <v>103.40664932715143</v>
      </c>
      <c r="AE21">
        <f t="shared" si="8"/>
        <v>101.365460635505</v>
      </c>
      <c r="AF21">
        <f t="shared" si="9"/>
        <v>124.95784148397976</v>
      </c>
      <c r="AG21">
        <f t="shared" si="10"/>
        <v>107.52460295487153</v>
      </c>
      <c r="AK21" s="11">
        <v>44197</v>
      </c>
      <c r="AL21">
        <v>54.77</v>
      </c>
      <c r="AM21">
        <f t="shared" si="3"/>
        <v>405.84570000000002</v>
      </c>
    </row>
    <row r="22" spans="11:39" x14ac:dyDescent="0.2">
      <c r="K22" t="s">
        <v>30</v>
      </c>
      <c r="L22">
        <v>2021</v>
      </c>
      <c r="M22" t="s">
        <v>8</v>
      </c>
      <c r="N22" t="str">
        <f t="shared" si="0"/>
        <v>2021 Şubat</v>
      </c>
      <c r="O22">
        <v>7.3312999999999997</v>
      </c>
      <c r="P22">
        <v>3.6208</v>
      </c>
      <c r="Q22">
        <v>6.7321999999999997</v>
      </c>
      <c r="R22">
        <v>517.96</v>
      </c>
      <c r="T22" t="s">
        <v>64</v>
      </c>
      <c r="U22">
        <f t="shared" si="1"/>
        <v>2.2129661016949163</v>
      </c>
      <c r="V22">
        <f t="shared" si="2"/>
        <v>1.7052542372881367</v>
      </c>
      <c r="W22" s="7">
        <v>3.9999999999999991</v>
      </c>
      <c r="X22" s="7">
        <v>3.9999999999999991</v>
      </c>
      <c r="Y22" s="8">
        <v>7.09</v>
      </c>
      <c r="Z22" t="s">
        <v>64</v>
      </c>
      <c r="AA22">
        <f t="shared" si="4"/>
        <v>116.01747116138425</v>
      </c>
      <c r="AB22">
        <f t="shared" si="5"/>
        <v>88.686999049042285</v>
      </c>
      <c r="AC22">
        <f t="shared" si="6"/>
        <v>80.558891824805897</v>
      </c>
      <c r="AD22">
        <f t="shared" si="7"/>
        <v>103.6314033698971</v>
      </c>
      <c r="AE22">
        <f t="shared" si="8"/>
        <v>101.57518331874832</v>
      </c>
      <c r="AF22">
        <f t="shared" si="9"/>
        <v>119.56155143338955</v>
      </c>
      <c r="AG22">
        <f t="shared" si="10"/>
        <v>116.98811348423413</v>
      </c>
      <c r="AK22" s="11">
        <v>44228</v>
      </c>
      <c r="AL22">
        <v>62.28</v>
      </c>
      <c r="AM22">
        <f t="shared" si="3"/>
        <v>441.5652</v>
      </c>
    </row>
    <row r="23" spans="11:39" x14ac:dyDescent="0.2">
      <c r="K23" t="s">
        <v>30</v>
      </c>
      <c r="L23">
        <v>2021</v>
      </c>
      <c r="M23" t="s">
        <v>10</v>
      </c>
      <c r="N23" t="str">
        <f t="shared" si="0"/>
        <v>2021 Mart</v>
      </c>
      <c r="O23">
        <v>7.2633999999999999</v>
      </c>
      <c r="P23">
        <v>3.6331000000000002</v>
      </c>
      <c r="Q23">
        <v>6.6519000000000004</v>
      </c>
      <c r="R23">
        <v>523.53</v>
      </c>
      <c r="T23" t="s">
        <v>65</v>
      </c>
      <c r="U23">
        <f t="shared" si="1"/>
        <v>2.3220903954802274</v>
      </c>
      <c r="V23">
        <f t="shared" si="2"/>
        <v>1.8038700564971766</v>
      </c>
      <c r="W23" s="7">
        <v>3.8333333333333321</v>
      </c>
      <c r="X23" s="7">
        <v>3.8333333333333321</v>
      </c>
      <c r="Y23" s="8">
        <v>7.64</v>
      </c>
      <c r="Z23" t="s">
        <v>65</v>
      </c>
      <c r="AA23">
        <f t="shared" si="4"/>
        <v>117.26509127561877</v>
      </c>
      <c r="AB23">
        <f t="shared" si="5"/>
        <v>93.060272607888479</v>
      </c>
      <c r="AC23">
        <f t="shared" si="6"/>
        <v>85.217658205887915</v>
      </c>
      <c r="AD23">
        <f t="shared" si="7"/>
        <v>102.67160465905236</v>
      </c>
      <c r="AE23">
        <f t="shared" si="8"/>
        <v>100.36361990404058</v>
      </c>
      <c r="AF23">
        <f t="shared" si="9"/>
        <v>128.8364249578415</v>
      </c>
      <c r="AG23">
        <f t="shared" si="10"/>
        <v>132.39890897867102</v>
      </c>
      <c r="AK23" s="11">
        <v>44256</v>
      </c>
      <c r="AL23">
        <v>65.41</v>
      </c>
      <c r="AM23">
        <f t="shared" si="3"/>
        <v>499.73239999999993</v>
      </c>
    </row>
    <row r="24" spans="11:39" x14ac:dyDescent="0.2">
      <c r="K24" t="s">
        <v>30</v>
      </c>
      <c r="L24">
        <v>2021</v>
      </c>
      <c r="M24" t="s">
        <v>12</v>
      </c>
      <c r="N24" t="str">
        <f t="shared" si="0"/>
        <v>2021 Nisan</v>
      </c>
      <c r="O24">
        <v>7.1609999999999996</v>
      </c>
      <c r="P24">
        <v>3.6873999999999998</v>
      </c>
      <c r="Q24">
        <v>6.5347999999999997</v>
      </c>
      <c r="R24">
        <v>532.32000000000005</v>
      </c>
      <c r="T24" t="s">
        <v>66</v>
      </c>
      <c r="U24">
        <f t="shared" si="1"/>
        <v>2.4019774011299448</v>
      </c>
      <c r="V24">
        <f t="shared" si="2"/>
        <v>1.8712994350282504</v>
      </c>
      <c r="W24" s="7">
        <v>3.6666666666666652</v>
      </c>
      <c r="X24" s="7">
        <v>3.6666666666666652</v>
      </c>
      <c r="Y24" s="8">
        <v>8.17</v>
      </c>
      <c r="Z24" t="s">
        <v>66</v>
      </c>
      <c r="AA24">
        <f t="shared" si="4"/>
        <v>119.23395677007505</v>
      </c>
      <c r="AB24">
        <f t="shared" si="5"/>
        <v>96.261830367250866</v>
      </c>
      <c r="AC24">
        <f t="shared" si="6"/>
        <v>88.403128086049151</v>
      </c>
      <c r="AD24">
        <f t="shared" si="7"/>
        <v>101.22413208187265</v>
      </c>
      <c r="AE24">
        <f t="shared" si="8"/>
        <v>98.596819457436865</v>
      </c>
      <c r="AF24">
        <f t="shared" si="9"/>
        <v>137.77403035413155</v>
      </c>
      <c r="AG24">
        <f t="shared" si="10"/>
        <v>140.28491606050693</v>
      </c>
      <c r="AK24" s="11">
        <v>44287</v>
      </c>
      <c r="AL24">
        <v>64.81</v>
      </c>
      <c r="AM24">
        <f t="shared" si="3"/>
        <v>529.49770000000001</v>
      </c>
    </row>
    <row r="25" spans="11:39" x14ac:dyDescent="0.2">
      <c r="K25" t="s">
        <v>30</v>
      </c>
      <c r="L25">
        <v>2021</v>
      </c>
      <c r="M25" t="s">
        <v>14</v>
      </c>
      <c r="N25" t="str">
        <f t="shared" si="0"/>
        <v>2021 Mayıs</v>
      </c>
      <c r="O25">
        <v>7.4123999999999999</v>
      </c>
      <c r="P25">
        <v>3.8003</v>
      </c>
      <c r="Q25">
        <v>6.8316999999999997</v>
      </c>
      <c r="R25">
        <v>537.04999999999995</v>
      </c>
      <c r="T25" t="s">
        <v>67</v>
      </c>
      <c r="U25">
        <f t="shared" si="1"/>
        <v>2.7816949152542394</v>
      </c>
      <c r="V25">
        <f t="shared" si="2"/>
        <v>2.2895762711864425</v>
      </c>
      <c r="W25" s="7">
        <v>3.4999999999999982</v>
      </c>
      <c r="X25" s="7">
        <v>3.4999999999999982</v>
      </c>
      <c r="Y25" s="8">
        <v>8.36</v>
      </c>
      <c r="Z25" t="s">
        <v>67</v>
      </c>
      <c r="AA25">
        <f t="shared" si="4"/>
        <v>120.29342591555604</v>
      </c>
      <c r="AB25">
        <f t="shared" si="5"/>
        <v>111.47941855726131</v>
      </c>
      <c r="AC25">
        <f t="shared" si="6"/>
        <v>108.16318360156947</v>
      </c>
      <c r="AD25">
        <f t="shared" si="7"/>
        <v>104.7777903426439</v>
      </c>
      <c r="AE25">
        <f t="shared" si="8"/>
        <v>103.07643561966263</v>
      </c>
      <c r="AF25">
        <f t="shared" si="9"/>
        <v>140.97807757166947</v>
      </c>
      <c r="AG25">
        <f t="shared" si="10"/>
        <v>151.78676600135915</v>
      </c>
      <c r="AK25" s="11">
        <v>44317</v>
      </c>
      <c r="AL25">
        <v>68.53</v>
      </c>
      <c r="AM25">
        <f t="shared" si="3"/>
        <v>572.91079999999999</v>
      </c>
    </row>
    <row r="26" spans="11:39" x14ac:dyDescent="0.2">
      <c r="K26" t="s">
        <v>30</v>
      </c>
      <c r="L26">
        <v>2021</v>
      </c>
      <c r="M26" t="s">
        <v>16</v>
      </c>
      <c r="N26" t="str">
        <f t="shared" si="0"/>
        <v>2021 Haziran</v>
      </c>
      <c r="O26">
        <v>7.8231000000000002</v>
      </c>
      <c r="P26">
        <v>4.0218999999999996</v>
      </c>
      <c r="Q26">
        <v>7.3236999999999997</v>
      </c>
      <c r="R26">
        <v>547.48</v>
      </c>
      <c r="T26" t="s">
        <v>68</v>
      </c>
      <c r="U26">
        <f t="shared" si="1"/>
        <v>3.2964124293785337</v>
      </c>
      <c r="V26">
        <f t="shared" si="2"/>
        <v>2.8731920903954826</v>
      </c>
      <c r="W26" s="7">
        <v>3.3333333333333313</v>
      </c>
      <c r="X26" s="7">
        <v>3.3333333333333313</v>
      </c>
      <c r="Y26" s="8">
        <v>8.61</v>
      </c>
      <c r="Z26" t="s">
        <v>68</v>
      </c>
      <c r="AA26">
        <f t="shared" si="4"/>
        <v>122.62963377757868</v>
      </c>
      <c r="AB26">
        <f t="shared" si="5"/>
        <v>132.10727709097503</v>
      </c>
      <c r="AC26">
        <f t="shared" si="6"/>
        <v>135.73411268583033</v>
      </c>
      <c r="AD26">
        <f t="shared" si="7"/>
        <v>110.58322967318784</v>
      </c>
      <c r="AE26">
        <f t="shared" si="8"/>
        <v>110.49971332870636</v>
      </c>
      <c r="AF26">
        <f t="shared" si="9"/>
        <v>145.19392917369311</v>
      </c>
      <c r="AG26">
        <f t="shared" si="10"/>
        <v>166.88747617199348</v>
      </c>
      <c r="AK26" s="11">
        <v>44348</v>
      </c>
      <c r="AL26">
        <v>73.16</v>
      </c>
      <c r="AM26">
        <f t="shared" si="3"/>
        <v>629.90759999999989</v>
      </c>
    </row>
    <row r="27" spans="11:39" x14ac:dyDescent="0.2">
      <c r="K27" t="s">
        <v>30</v>
      </c>
      <c r="L27">
        <v>2021</v>
      </c>
      <c r="M27" t="s">
        <v>18</v>
      </c>
      <c r="N27" t="str">
        <f t="shared" si="0"/>
        <v>2021 Temmuz</v>
      </c>
      <c r="O27">
        <v>7.8396999999999997</v>
      </c>
      <c r="P27">
        <v>4.4221000000000004</v>
      </c>
      <c r="Q27">
        <v>7.3287000000000004</v>
      </c>
      <c r="R27">
        <v>557.36</v>
      </c>
      <c r="T27" t="s">
        <v>69</v>
      </c>
      <c r="U27">
        <f t="shared" si="1"/>
        <v>3.4771468926553695</v>
      </c>
      <c r="V27">
        <f t="shared" si="2"/>
        <v>3.044096045197743</v>
      </c>
      <c r="W27" s="7">
        <v>3.1666666666666643</v>
      </c>
      <c r="X27" s="7">
        <v>3.1666666666666643</v>
      </c>
      <c r="Y27" s="8">
        <v>8.6300000000000008</v>
      </c>
      <c r="Z27" t="s">
        <v>69</v>
      </c>
      <c r="AA27">
        <f t="shared" si="4"/>
        <v>124.84264755291747</v>
      </c>
      <c r="AB27">
        <f t="shared" si="5"/>
        <v>139.35040528913652</v>
      </c>
      <c r="AC27">
        <f t="shared" si="6"/>
        <v>143.80788427149238</v>
      </c>
      <c r="AD27">
        <f t="shared" si="7"/>
        <v>110.81787854800406</v>
      </c>
      <c r="AE27">
        <f t="shared" si="8"/>
        <v>110.57515314282266</v>
      </c>
      <c r="AF27">
        <f t="shared" si="9"/>
        <v>145.531197301855</v>
      </c>
      <c r="AG27">
        <f t="shared" si="10"/>
        <v>171.87085783472807</v>
      </c>
      <c r="AK27" s="11">
        <v>44378</v>
      </c>
      <c r="AL27">
        <v>75.17</v>
      </c>
      <c r="AM27">
        <f t="shared" si="3"/>
        <v>648.71710000000007</v>
      </c>
    </row>
    <row r="28" spans="11:39" x14ac:dyDescent="0.2">
      <c r="K28" t="s">
        <v>30</v>
      </c>
      <c r="L28">
        <v>2021</v>
      </c>
      <c r="M28" t="s">
        <v>20</v>
      </c>
      <c r="N28" t="str">
        <f t="shared" si="0"/>
        <v>2021 Ağustos</v>
      </c>
      <c r="O28">
        <v>7.8413000000000004</v>
      </c>
      <c r="P28">
        <v>4.5537999999999998</v>
      </c>
      <c r="Q28">
        <v>7.3712999999999997</v>
      </c>
      <c r="R28">
        <v>563.6</v>
      </c>
      <c r="T28" t="s">
        <v>70</v>
      </c>
      <c r="U28">
        <f t="shared" si="1"/>
        <v>3.6451694915254267</v>
      </c>
      <c r="V28">
        <f t="shared" si="2"/>
        <v>3.2468644067796637</v>
      </c>
      <c r="W28" s="7">
        <v>2.9999999999999973</v>
      </c>
      <c r="X28" s="7">
        <v>2.9999999999999973</v>
      </c>
      <c r="Y28" s="8">
        <v>8.49</v>
      </c>
      <c r="Z28" t="s">
        <v>70</v>
      </c>
      <c r="AA28">
        <f t="shared" si="4"/>
        <v>126.24034046365774</v>
      </c>
      <c r="AB28">
        <f t="shared" si="5"/>
        <v>146.08409183534857</v>
      </c>
      <c r="AC28">
        <f t="shared" si="6"/>
        <v>153.38698054287786</v>
      </c>
      <c r="AD28">
        <f t="shared" si="7"/>
        <v>110.84049530702251</v>
      </c>
      <c r="AE28">
        <f t="shared" si="8"/>
        <v>111.21790035909352</v>
      </c>
      <c r="AF28">
        <f t="shared" si="9"/>
        <v>143.17032040472176</v>
      </c>
      <c r="AG28">
        <f t="shared" si="10"/>
        <v>159.14061537524063</v>
      </c>
      <c r="AK28" s="11">
        <v>44409</v>
      </c>
      <c r="AL28">
        <v>70.75</v>
      </c>
      <c r="AM28">
        <f t="shared" si="3"/>
        <v>600.66750000000002</v>
      </c>
    </row>
    <row r="29" spans="11:39" x14ac:dyDescent="0.2">
      <c r="K29" t="s">
        <v>30</v>
      </c>
      <c r="L29">
        <v>2021</v>
      </c>
      <c r="M29" t="s">
        <v>22</v>
      </c>
      <c r="N29" t="str">
        <f t="shared" si="0"/>
        <v>2021 Eylül</v>
      </c>
      <c r="O29">
        <v>7.8536000000000001</v>
      </c>
      <c r="P29">
        <v>4.6341999999999999</v>
      </c>
      <c r="Q29">
        <v>7.3836000000000004</v>
      </c>
      <c r="R29">
        <v>570.66</v>
      </c>
      <c r="T29" t="s">
        <v>71</v>
      </c>
      <c r="U29">
        <f t="shared" si="1"/>
        <v>3.8222598870056528</v>
      </c>
      <c r="V29">
        <f t="shared" si="2"/>
        <v>3.4239548022598907</v>
      </c>
      <c r="W29" s="7">
        <v>2.8333333333333304</v>
      </c>
      <c r="X29" s="7">
        <v>2.8333333333333304</v>
      </c>
      <c r="Y29" s="8">
        <v>8.5299999999999994</v>
      </c>
      <c r="Z29" t="s">
        <v>71</v>
      </c>
      <c r="AA29">
        <f t="shared" si="4"/>
        <v>127.82170455818121</v>
      </c>
      <c r="AB29">
        <f t="shared" si="5"/>
        <v>153.18118009328452</v>
      </c>
      <c r="AC29">
        <f t="shared" si="6"/>
        <v>161.75300931486393</v>
      </c>
      <c r="AD29">
        <f t="shared" si="7"/>
        <v>111.01436164197671</v>
      </c>
      <c r="AE29">
        <f t="shared" si="8"/>
        <v>111.40348230181962</v>
      </c>
      <c r="AF29">
        <f t="shared" si="9"/>
        <v>143.84485666104553</v>
      </c>
      <c r="AG29">
        <f t="shared" si="10"/>
        <v>168.34255102405785</v>
      </c>
      <c r="AK29" s="11">
        <v>44440</v>
      </c>
      <c r="AL29">
        <v>74.489999999999995</v>
      </c>
      <c r="AM29">
        <f t="shared" si="3"/>
        <v>635.39969999999994</v>
      </c>
    </row>
    <row r="30" spans="11:39" x14ac:dyDescent="0.2">
      <c r="K30" t="s">
        <v>30</v>
      </c>
      <c r="L30">
        <v>2021</v>
      </c>
      <c r="M30" t="s">
        <v>24</v>
      </c>
      <c r="N30" t="str">
        <f t="shared" si="0"/>
        <v>2021 Ekim</v>
      </c>
      <c r="O30">
        <v>8.0417000000000005</v>
      </c>
      <c r="P30">
        <v>5.5271999999999997</v>
      </c>
      <c r="Q30">
        <v>7.8731999999999998</v>
      </c>
      <c r="R30">
        <v>584.32000000000005</v>
      </c>
      <c r="T30" t="s">
        <v>72</v>
      </c>
      <c r="U30">
        <f t="shared" si="1"/>
        <v>4.148333333333337</v>
      </c>
      <c r="V30">
        <f t="shared" si="2"/>
        <v>4.0055367231638455</v>
      </c>
      <c r="W30" s="7">
        <v>2.6666666666666634</v>
      </c>
      <c r="X30" s="7">
        <v>2.6666666666666634</v>
      </c>
      <c r="Y30" s="8">
        <v>9.16</v>
      </c>
      <c r="Z30" t="s">
        <v>72</v>
      </c>
      <c r="AA30">
        <f t="shared" si="4"/>
        <v>130.88139769291075</v>
      </c>
      <c r="AB30">
        <f t="shared" si="5"/>
        <v>166.24892451206824</v>
      </c>
      <c r="AC30">
        <f t="shared" si="6"/>
        <v>189.22785384471689</v>
      </c>
      <c r="AD30">
        <f t="shared" si="7"/>
        <v>113.67324437408121</v>
      </c>
      <c r="AE30">
        <f t="shared" si="8"/>
        <v>118.7905489000875</v>
      </c>
      <c r="AF30">
        <f t="shared" si="9"/>
        <v>154.46880269814503</v>
      </c>
      <c r="AG30">
        <f t="shared" si="10"/>
        <v>202.7387867620273</v>
      </c>
      <c r="AK30" s="11">
        <v>44470</v>
      </c>
      <c r="AL30">
        <v>83.54</v>
      </c>
      <c r="AM30">
        <f t="shared" si="3"/>
        <v>765.22640000000001</v>
      </c>
    </row>
    <row r="31" spans="11:39" x14ac:dyDescent="0.2">
      <c r="K31" t="s">
        <v>30</v>
      </c>
      <c r="L31">
        <v>2021</v>
      </c>
      <c r="M31" t="s">
        <v>26</v>
      </c>
      <c r="N31" t="str">
        <f t="shared" si="0"/>
        <v>2021 Kasım</v>
      </c>
      <c r="O31">
        <v>8.6952999999999996</v>
      </c>
      <c r="P31">
        <v>6.6074999999999999</v>
      </c>
      <c r="Q31">
        <v>8.6708999999999996</v>
      </c>
      <c r="R31">
        <v>604.84</v>
      </c>
      <c r="T31" t="s">
        <v>73</v>
      </c>
      <c r="U31">
        <f t="shared" si="1"/>
        <v>4.8688983050847501</v>
      </c>
      <c r="V31">
        <f t="shared" si="2"/>
        <v>4.8482203389830545</v>
      </c>
      <c r="W31" s="7">
        <v>2.499999999999996</v>
      </c>
      <c r="X31" s="7">
        <v>2.499999999999996</v>
      </c>
      <c r="Y31" s="8">
        <v>10.54</v>
      </c>
      <c r="Z31" t="s">
        <v>73</v>
      </c>
      <c r="AA31">
        <f t="shared" si="4"/>
        <v>135.47765707246052</v>
      </c>
      <c r="AB31">
        <f t="shared" si="5"/>
        <v>195.12634152968363</v>
      </c>
      <c r="AC31">
        <f t="shared" si="6"/>
        <v>229.03755304668127</v>
      </c>
      <c r="AD31">
        <f t="shared" si="7"/>
        <v>122.91219043311094</v>
      </c>
      <c r="AE31">
        <f t="shared" si="8"/>
        <v>130.8262168442017</v>
      </c>
      <c r="AF31">
        <f t="shared" si="9"/>
        <v>177.74030354131534</v>
      </c>
      <c r="AG31">
        <f t="shared" si="10"/>
        <v>226.32916892417299</v>
      </c>
      <c r="AK31" s="11">
        <v>44501</v>
      </c>
      <c r="AL31">
        <v>81.05</v>
      </c>
      <c r="AM31">
        <f t="shared" si="3"/>
        <v>854.26699999999994</v>
      </c>
    </row>
    <row r="32" spans="11:39" x14ac:dyDescent="0.2">
      <c r="K32" t="s">
        <v>30</v>
      </c>
      <c r="L32">
        <v>2021</v>
      </c>
      <c r="M32" t="s">
        <v>28</v>
      </c>
      <c r="N32" t="str">
        <f t="shared" si="0"/>
        <v>2021 Aralık</v>
      </c>
      <c r="O32">
        <v>10.7986</v>
      </c>
      <c r="P32">
        <v>7.9447000000000001</v>
      </c>
      <c r="Q32">
        <v>10.6783</v>
      </c>
      <c r="R32">
        <v>686.95</v>
      </c>
      <c r="T32" t="s">
        <v>74</v>
      </c>
      <c r="U32">
        <f t="shared" si="1"/>
        <v>6.1898174706649289</v>
      </c>
      <c r="V32">
        <f t="shared" si="2"/>
        <v>6.0878683181225561</v>
      </c>
      <c r="W32" s="7">
        <v>2.9615384615384621</v>
      </c>
      <c r="X32" s="7">
        <v>2.9615384615384621</v>
      </c>
      <c r="Y32" s="8">
        <v>13.55</v>
      </c>
      <c r="Z32" t="s">
        <v>74</v>
      </c>
      <c r="AA32">
        <f t="shared" si="4"/>
        <v>153.86941426811512</v>
      </c>
      <c r="AB32">
        <f t="shared" si="5"/>
        <v>248.06359921833362</v>
      </c>
      <c r="AC32">
        <f t="shared" si="6"/>
        <v>287.60047303165254</v>
      </c>
      <c r="AD32">
        <f t="shared" si="7"/>
        <v>152.64333371027934</v>
      </c>
      <c r="AE32">
        <f t="shared" si="8"/>
        <v>161.11379341561303</v>
      </c>
      <c r="AF32">
        <f t="shared" si="9"/>
        <v>228.49915682967961</v>
      </c>
      <c r="AG32">
        <f t="shared" si="10"/>
        <v>266.265238995402</v>
      </c>
      <c r="AK32" s="11">
        <v>44531</v>
      </c>
      <c r="AL32">
        <v>74.17</v>
      </c>
      <c r="AM32">
        <f t="shared" si="3"/>
        <v>1005.0035</v>
      </c>
    </row>
    <row r="33" spans="11:39" x14ac:dyDescent="0.2">
      <c r="K33" t="s">
        <v>30</v>
      </c>
      <c r="L33">
        <v>2022</v>
      </c>
      <c r="M33" t="s">
        <v>6</v>
      </c>
      <c r="N33" t="str">
        <f t="shared" si="0"/>
        <v>2022 Ocak</v>
      </c>
      <c r="O33">
        <v>13.7117</v>
      </c>
      <c r="P33">
        <v>8.8086000000000002</v>
      </c>
      <c r="Q33">
        <v>13.8452</v>
      </c>
      <c r="R33">
        <v>763.23</v>
      </c>
      <c r="T33" t="s">
        <v>75</v>
      </c>
      <c r="U33">
        <f t="shared" si="1"/>
        <v>8.1970078226857872</v>
      </c>
      <c r="V33">
        <f t="shared" si="2"/>
        <v>8.3101434159061291</v>
      </c>
      <c r="W33" s="7">
        <v>3.4230769230769242</v>
      </c>
      <c r="X33" s="7">
        <v>3.4230769230769242</v>
      </c>
      <c r="Y33" s="8">
        <v>13.54</v>
      </c>
      <c r="Z33" t="s">
        <v>75</v>
      </c>
      <c r="AA33">
        <f t="shared" si="4"/>
        <v>170.95531414492106</v>
      </c>
      <c r="AB33">
        <f t="shared" si="5"/>
        <v>328.50391355689538</v>
      </c>
      <c r="AC33">
        <f t="shared" si="6"/>
        <v>392.5842433649305</v>
      </c>
      <c r="AD33">
        <f t="shared" si="7"/>
        <v>193.82138414565193</v>
      </c>
      <c r="AE33">
        <f t="shared" si="8"/>
        <v>208.89586288059388</v>
      </c>
      <c r="AF33">
        <f t="shared" si="9"/>
        <v>228.33052276559866</v>
      </c>
      <c r="AG33">
        <f t="shared" si="10"/>
        <v>310.33579771330619</v>
      </c>
      <c r="AK33" s="11">
        <v>44562</v>
      </c>
      <c r="AL33">
        <v>86.51</v>
      </c>
      <c r="AM33">
        <f t="shared" si="3"/>
        <v>1171.3453999999999</v>
      </c>
    </row>
    <row r="34" spans="11:39" x14ac:dyDescent="0.2">
      <c r="K34" t="s">
        <v>30</v>
      </c>
      <c r="L34">
        <v>2022</v>
      </c>
      <c r="M34" t="s">
        <v>8</v>
      </c>
      <c r="N34" t="str">
        <f t="shared" si="0"/>
        <v>2022 Şubat</v>
      </c>
      <c r="O34">
        <v>15.243399999999999</v>
      </c>
      <c r="P34">
        <v>9.3051999999999992</v>
      </c>
      <c r="Q34">
        <v>15.510400000000001</v>
      </c>
      <c r="R34">
        <v>799.93</v>
      </c>
      <c r="T34" t="s">
        <v>76</v>
      </c>
      <c r="U34">
        <f t="shared" si="1"/>
        <v>9.0335202086049549</v>
      </c>
      <c r="V34">
        <f t="shared" si="2"/>
        <v>9.2597913950456316</v>
      </c>
      <c r="W34" s="7">
        <v>3.8846153846153859</v>
      </c>
      <c r="X34" s="7">
        <v>3.8846153846153859</v>
      </c>
      <c r="Y34" s="8">
        <v>13.65</v>
      </c>
      <c r="Z34" t="s">
        <v>76</v>
      </c>
      <c r="AA34">
        <f t="shared" si="4"/>
        <v>179.17571956546087</v>
      </c>
      <c r="AB34">
        <f t="shared" si="5"/>
        <v>362.0280480285914</v>
      </c>
      <c r="AC34">
        <f t="shared" si="6"/>
        <v>437.44710730057835</v>
      </c>
      <c r="AD34">
        <f t="shared" si="7"/>
        <v>215.47269026348525</v>
      </c>
      <c r="AE34">
        <f t="shared" si="8"/>
        <v>234.02033857388577</v>
      </c>
      <c r="AF34">
        <f t="shared" si="9"/>
        <v>230.18549747048905</v>
      </c>
      <c r="AG34">
        <f t="shared" si="10"/>
        <v>351.26343078253888</v>
      </c>
      <c r="AK34" s="11">
        <v>44593</v>
      </c>
      <c r="AL34">
        <v>97.13</v>
      </c>
      <c r="AM34">
        <f t="shared" si="3"/>
        <v>1325.8244999999999</v>
      </c>
    </row>
    <row r="35" spans="11:39" x14ac:dyDescent="0.2">
      <c r="K35" t="s">
        <v>30</v>
      </c>
      <c r="L35">
        <v>2022</v>
      </c>
      <c r="M35" t="s">
        <v>10</v>
      </c>
      <c r="N35" t="str">
        <f t="shared" si="0"/>
        <v>2022 Mart</v>
      </c>
      <c r="O35">
        <v>18.9636</v>
      </c>
      <c r="P35">
        <v>10.638299999999999</v>
      </c>
      <c r="Q35">
        <v>20.578399999999998</v>
      </c>
      <c r="R35">
        <v>843.64</v>
      </c>
      <c r="T35" t="s">
        <v>77</v>
      </c>
      <c r="U35">
        <f t="shared" si="1"/>
        <v>11.724693611473272</v>
      </c>
      <c r="V35">
        <f t="shared" si="2"/>
        <v>13.093168187744455</v>
      </c>
      <c r="W35" s="7">
        <v>4.3461538461538485</v>
      </c>
      <c r="X35" s="7">
        <v>4.3461538461538485</v>
      </c>
      <c r="Y35" s="8">
        <v>14.59</v>
      </c>
      <c r="Z35" t="s">
        <v>77</v>
      </c>
      <c r="AA35">
        <f t="shared" si="4"/>
        <v>188.96628961809833</v>
      </c>
      <c r="AB35">
        <f t="shared" si="5"/>
        <v>469.879719519714</v>
      </c>
      <c r="AC35">
        <f t="shared" si="6"/>
        <v>618.54185529419726</v>
      </c>
      <c r="AD35">
        <f t="shared" si="7"/>
        <v>268.05948207621844</v>
      </c>
      <c r="AE35">
        <f t="shared" si="8"/>
        <v>310.4861341621654</v>
      </c>
      <c r="AF35">
        <f t="shared" si="9"/>
        <v>246.03709949409782</v>
      </c>
      <c r="AG35">
        <f t="shared" si="10"/>
        <v>453.22623591018021</v>
      </c>
      <c r="AK35" s="11">
        <v>44621</v>
      </c>
      <c r="AL35">
        <v>117.25</v>
      </c>
      <c r="AM35">
        <f t="shared" si="3"/>
        <v>1710.6775</v>
      </c>
    </row>
    <row r="36" spans="11:39" x14ac:dyDescent="0.2">
      <c r="K36" t="s">
        <v>30</v>
      </c>
      <c r="L36">
        <v>2022</v>
      </c>
      <c r="M36" t="s">
        <v>12</v>
      </c>
      <c r="N36" t="str">
        <f t="shared" si="0"/>
        <v>2022 Nisan</v>
      </c>
      <c r="O36">
        <v>19.1755</v>
      </c>
      <c r="P36">
        <v>11.4589</v>
      </c>
      <c r="Q36">
        <v>21.499099999999999</v>
      </c>
      <c r="R36">
        <v>904.79</v>
      </c>
      <c r="T36" t="s">
        <v>78</v>
      </c>
      <c r="U36">
        <f t="shared" si="1"/>
        <v>11.442731421121248</v>
      </c>
      <c r="V36">
        <f t="shared" si="2"/>
        <v>13.41188396349413</v>
      </c>
      <c r="W36" s="7">
        <v>4.8076923076923102</v>
      </c>
      <c r="X36" s="7">
        <v>4.8076923076923102</v>
      </c>
      <c r="Y36" s="8">
        <v>14.71</v>
      </c>
      <c r="Z36" t="s">
        <v>78</v>
      </c>
      <c r="AA36">
        <f t="shared" si="4"/>
        <v>202.66323216485608</v>
      </c>
      <c r="AB36">
        <f t="shared" si="5"/>
        <v>458.5797811752164</v>
      </c>
      <c r="AC36">
        <f t="shared" si="6"/>
        <v>633.59848974790123</v>
      </c>
      <c r="AD36">
        <f t="shared" si="7"/>
        <v>271.05478909872215</v>
      </c>
      <c r="AE36">
        <f t="shared" si="8"/>
        <v>324.37762153354055</v>
      </c>
      <c r="AF36">
        <f t="shared" si="9"/>
        <v>248.06070826306916</v>
      </c>
      <c r="AG36">
        <f t="shared" si="10"/>
        <v>407.57563032445842</v>
      </c>
      <c r="AK36" s="11">
        <v>44652</v>
      </c>
      <c r="AL36">
        <v>104.58</v>
      </c>
      <c r="AM36">
        <f t="shared" si="3"/>
        <v>1538.3718000000001</v>
      </c>
    </row>
    <row r="37" spans="11:39" x14ac:dyDescent="0.2">
      <c r="K37" t="s">
        <v>30</v>
      </c>
      <c r="L37">
        <v>2022</v>
      </c>
      <c r="M37" t="s">
        <v>14</v>
      </c>
      <c r="N37" t="str">
        <f t="shared" si="0"/>
        <v>2022 Mayıs</v>
      </c>
      <c r="O37">
        <v>21.5153</v>
      </c>
      <c r="P37">
        <v>10.820600000000001</v>
      </c>
      <c r="Q37">
        <v>22.208600000000001</v>
      </c>
      <c r="R37">
        <v>931.76</v>
      </c>
      <c r="T37" t="s">
        <v>79</v>
      </c>
      <c r="U37">
        <f t="shared" si="1"/>
        <v>12.96407431551499</v>
      </c>
      <c r="V37">
        <f t="shared" si="2"/>
        <v>13.551616688396349</v>
      </c>
      <c r="W37" s="7">
        <v>5.2692307692307718</v>
      </c>
      <c r="X37" s="7">
        <v>5.2692307692307718</v>
      </c>
      <c r="Y37" s="8">
        <v>15.65</v>
      </c>
      <c r="Z37" t="s">
        <v>79</v>
      </c>
      <c r="AA37">
        <f t="shared" si="4"/>
        <v>208.70422219733453</v>
      </c>
      <c r="AB37">
        <f t="shared" si="5"/>
        <v>519.54923557626978</v>
      </c>
      <c r="AC37">
        <f t="shared" si="6"/>
        <v>640.1996834137118</v>
      </c>
      <c r="AD37">
        <f t="shared" si="7"/>
        <v>304.12897206830263</v>
      </c>
      <c r="AE37">
        <f t="shared" si="8"/>
        <v>335.08253115664326</v>
      </c>
      <c r="AF37">
        <f t="shared" si="9"/>
        <v>263.91231028667789</v>
      </c>
      <c r="AG37">
        <f t="shared" si="10"/>
        <v>469.94220342328481</v>
      </c>
      <c r="AK37" s="11">
        <v>44682</v>
      </c>
      <c r="AL37">
        <v>113.34</v>
      </c>
      <c r="AM37">
        <f t="shared" si="3"/>
        <v>1773.7710000000002</v>
      </c>
    </row>
    <row r="38" spans="11:39" x14ac:dyDescent="0.2">
      <c r="K38" t="s">
        <v>30</v>
      </c>
      <c r="L38">
        <v>2022</v>
      </c>
      <c r="M38" t="s">
        <v>16</v>
      </c>
      <c r="N38" t="str">
        <f t="shared" si="0"/>
        <v>2022 Haziran</v>
      </c>
      <c r="O38">
        <v>27.082100000000001</v>
      </c>
      <c r="P38">
        <v>11.5877</v>
      </c>
      <c r="Q38">
        <v>27.9772</v>
      </c>
      <c r="R38">
        <v>977.9</v>
      </c>
      <c r="T38" t="s">
        <v>80</v>
      </c>
      <c r="U38">
        <f t="shared" si="1"/>
        <v>17.220162972620599</v>
      </c>
      <c r="V38">
        <f t="shared" si="2"/>
        <v>17.978722294654496</v>
      </c>
      <c r="W38" s="7">
        <v>5.7307692307692335</v>
      </c>
      <c r="X38" s="7">
        <v>5.7307692307692335</v>
      </c>
      <c r="Y38" s="8">
        <v>17</v>
      </c>
      <c r="Z38" t="s">
        <v>80</v>
      </c>
      <c r="AA38">
        <f t="shared" si="4"/>
        <v>219.03908612386607</v>
      </c>
      <c r="AB38">
        <f t="shared" si="5"/>
        <v>690.11657070005106</v>
      </c>
      <c r="AC38">
        <f t="shared" si="6"/>
        <v>849.34311424823079</v>
      </c>
      <c r="AD38">
        <f t="shared" si="7"/>
        <v>382.81833088318444</v>
      </c>
      <c r="AE38">
        <f t="shared" si="8"/>
        <v>422.11895349889858</v>
      </c>
      <c r="AF38">
        <f t="shared" si="9"/>
        <v>286.67790893760542</v>
      </c>
      <c r="AG38">
        <f t="shared" si="10"/>
        <v>552.68257982299383</v>
      </c>
      <c r="AK38" s="11">
        <v>44713</v>
      </c>
      <c r="AL38">
        <v>122.71</v>
      </c>
      <c r="AM38">
        <f t="shared" si="3"/>
        <v>2086.0699999999997</v>
      </c>
    </row>
    <row r="39" spans="11:39" x14ac:dyDescent="0.2">
      <c r="K39" t="s">
        <v>30</v>
      </c>
      <c r="L39">
        <v>2022</v>
      </c>
      <c r="M39" t="s">
        <v>18</v>
      </c>
      <c r="N39" t="str">
        <f t="shared" si="0"/>
        <v>2022 Temmuz</v>
      </c>
      <c r="O39">
        <v>24.605399999999999</v>
      </c>
      <c r="P39">
        <v>10.416499999999999</v>
      </c>
      <c r="Q39">
        <v>26.0259</v>
      </c>
      <c r="R39">
        <v>1001.03</v>
      </c>
      <c r="T39" t="s">
        <v>81</v>
      </c>
      <c r="U39">
        <f t="shared" si="1"/>
        <v>14.659726205997387</v>
      </c>
      <c r="V39">
        <f t="shared" si="2"/>
        <v>15.863539765319423</v>
      </c>
      <c r="W39" s="7">
        <v>6.1923076923076961</v>
      </c>
      <c r="X39" s="7">
        <v>6.1923076923076961</v>
      </c>
      <c r="Y39" s="8">
        <v>17.420000000000002</v>
      </c>
      <c r="Z39" t="s">
        <v>81</v>
      </c>
      <c r="AA39">
        <f t="shared" si="4"/>
        <v>224.21995744204278</v>
      </c>
      <c r="AB39">
        <f t="shared" si="5"/>
        <v>587.50431066013164</v>
      </c>
      <c r="AC39">
        <f t="shared" si="6"/>
        <v>749.41856526050617</v>
      </c>
      <c r="AD39">
        <f t="shared" si="7"/>
        <v>347.80900147008936</v>
      </c>
      <c r="AE39">
        <f t="shared" si="8"/>
        <v>392.67781164187215</v>
      </c>
      <c r="AF39">
        <f t="shared" si="9"/>
        <v>293.76053962900511</v>
      </c>
      <c r="AG39">
        <f t="shared" si="10"/>
        <v>516.58471642850816</v>
      </c>
      <c r="AK39" s="11">
        <v>44743</v>
      </c>
      <c r="AL39">
        <v>111.93</v>
      </c>
      <c r="AM39">
        <f t="shared" si="3"/>
        <v>1949.8206000000002</v>
      </c>
    </row>
    <row r="40" spans="11:39" x14ac:dyDescent="0.2">
      <c r="K40" t="s">
        <v>30</v>
      </c>
      <c r="L40">
        <v>2022</v>
      </c>
      <c r="M40" t="s">
        <v>20</v>
      </c>
      <c r="N40" t="str">
        <f t="shared" si="0"/>
        <v>2022 Ağustos</v>
      </c>
      <c r="O40">
        <v>20.991299999999999</v>
      </c>
      <c r="P40">
        <v>10.820399999999999</v>
      </c>
      <c r="Q40">
        <v>24.061199999999999</v>
      </c>
      <c r="R40">
        <v>1015.65</v>
      </c>
      <c r="T40" t="s">
        <v>82</v>
      </c>
      <c r="U40">
        <f t="shared" si="1"/>
        <v>11.135391134289435</v>
      </c>
      <c r="V40">
        <f t="shared" si="2"/>
        <v>13.737001303780964</v>
      </c>
      <c r="W40" s="7">
        <v>6.6538461538461577</v>
      </c>
      <c r="X40" s="7">
        <v>6.6538461538461577</v>
      </c>
      <c r="Y40" s="8">
        <v>18.03</v>
      </c>
      <c r="Z40" t="s">
        <v>82</v>
      </c>
      <c r="AA40">
        <f t="shared" si="4"/>
        <v>227.49468025534776</v>
      </c>
      <c r="AB40">
        <f t="shared" si="5"/>
        <v>446.26278829172435</v>
      </c>
      <c r="AC40">
        <f t="shared" si="6"/>
        <v>648.9575441773377</v>
      </c>
      <c r="AD40">
        <f t="shared" si="7"/>
        <v>296.72198348976593</v>
      </c>
      <c r="AE40">
        <f t="shared" si="8"/>
        <v>363.03449108301396</v>
      </c>
      <c r="AF40">
        <f t="shared" si="9"/>
        <v>304.04721753794269</v>
      </c>
      <c r="AG40">
        <f t="shared" si="10"/>
        <v>479.83571094558283</v>
      </c>
      <c r="AK40" s="11">
        <v>44774</v>
      </c>
      <c r="AL40">
        <v>100.45</v>
      </c>
      <c r="AM40">
        <f t="shared" si="3"/>
        <v>1811.1135000000002</v>
      </c>
    </row>
    <row r="41" spans="11:39" x14ac:dyDescent="0.2">
      <c r="K41" t="s">
        <v>30</v>
      </c>
      <c r="L41">
        <v>2022</v>
      </c>
      <c r="M41" t="s">
        <v>22</v>
      </c>
      <c r="N41" t="str">
        <f t="shared" si="0"/>
        <v>2022 Eylül</v>
      </c>
      <c r="O41">
        <v>19.3904</v>
      </c>
      <c r="P41">
        <v>10.4931</v>
      </c>
      <c r="Q41">
        <v>24.848700000000001</v>
      </c>
      <c r="R41">
        <v>1046.8900000000001</v>
      </c>
      <c r="T41" t="s">
        <v>83</v>
      </c>
      <c r="U41">
        <f t="shared" si="1"/>
        <v>9.3171577574967372</v>
      </c>
      <c r="V41">
        <f t="shared" si="2"/>
        <v>13.942835723598431</v>
      </c>
      <c r="W41" s="7">
        <v>7.1153846153846203</v>
      </c>
      <c r="X41" s="7">
        <v>7.1153846153846203</v>
      </c>
      <c r="Y41" s="8">
        <v>18.309999999999999</v>
      </c>
      <c r="Z41" t="s">
        <v>83</v>
      </c>
      <c r="AA41">
        <f t="shared" si="4"/>
        <v>234.49210437898984</v>
      </c>
      <c r="AB41">
        <f t="shared" si="5"/>
        <v>373.39512817029441</v>
      </c>
      <c r="AC41">
        <f t="shared" si="6"/>
        <v>658.6814858614041</v>
      </c>
      <c r="AD41">
        <f t="shared" si="7"/>
        <v>274.09250254438541</v>
      </c>
      <c r="AE41">
        <f t="shared" si="8"/>
        <v>374.91626180633091</v>
      </c>
      <c r="AF41">
        <f t="shared" si="9"/>
        <v>308.76897133220911</v>
      </c>
      <c r="AG41">
        <f t="shared" si="10"/>
        <v>435.42973867681212</v>
      </c>
      <c r="AK41" s="11">
        <v>44805</v>
      </c>
      <c r="AL41">
        <v>89.76</v>
      </c>
      <c r="AM41">
        <f t="shared" si="3"/>
        <v>1643.5056</v>
      </c>
    </row>
    <row r="42" spans="11:39" x14ac:dyDescent="0.2">
      <c r="K42" t="s">
        <v>30</v>
      </c>
      <c r="L42">
        <v>2022</v>
      </c>
      <c r="M42" t="s">
        <v>24</v>
      </c>
      <c r="N42" t="str">
        <f t="shared" si="0"/>
        <v>2022 Ekim</v>
      </c>
      <c r="O42">
        <v>20.474699999999999</v>
      </c>
      <c r="P42">
        <v>9.7642000000000007</v>
      </c>
      <c r="Q42">
        <v>26.2623</v>
      </c>
      <c r="R42">
        <v>1084</v>
      </c>
      <c r="T42" t="s">
        <v>84</v>
      </c>
      <c r="U42">
        <f t="shared" si="1"/>
        <v>9.774517601043021</v>
      </c>
      <c r="V42">
        <f t="shared" si="2"/>
        <v>14.679263363754886</v>
      </c>
      <c r="W42" s="7">
        <v>7.576923076923082</v>
      </c>
      <c r="X42" s="7">
        <v>7.576923076923082</v>
      </c>
      <c r="Y42" s="8">
        <v>18.600000000000001</v>
      </c>
      <c r="Z42" t="s">
        <v>84</v>
      </c>
      <c r="AA42">
        <f t="shared" si="4"/>
        <v>242.80434539142121</v>
      </c>
      <c r="AB42">
        <f t="shared" si="5"/>
        <v>391.72431630317772</v>
      </c>
      <c r="AC42">
        <f t="shared" si="6"/>
        <v>693.47148567662623</v>
      </c>
      <c r="AD42">
        <f t="shared" si="7"/>
        <v>289.41959742168945</v>
      </c>
      <c r="AE42">
        <f t="shared" si="8"/>
        <v>396.24460605329068</v>
      </c>
      <c r="AF42">
        <f t="shared" si="9"/>
        <v>313.65935919055653</v>
      </c>
      <c r="AG42">
        <f t="shared" si="10"/>
        <v>459.91874302049717</v>
      </c>
      <c r="AK42" s="11">
        <v>44835</v>
      </c>
      <c r="AL42">
        <v>93.33</v>
      </c>
      <c r="AM42">
        <f t="shared" si="3"/>
        <v>1735.9380000000001</v>
      </c>
    </row>
    <row r="43" spans="11:39" x14ac:dyDescent="0.2">
      <c r="K43" t="s">
        <v>30</v>
      </c>
      <c r="L43">
        <v>2022</v>
      </c>
      <c r="M43" t="s">
        <v>26</v>
      </c>
      <c r="N43" t="str">
        <f t="shared" si="0"/>
        <v>2022 Kasım</v>
      </c>
      <c r="O43">
        <v>21.828199999999999</v>
      </c>
      <c r="P43">
        <v>10.2521</v>
      </c>
      <c r="Q43">
        <v>25.423300000000001</v>
      </c>
      <c r="R43">
        <v>1115.26</v>
      </c>
      <c r="T43" t="s">
        <v>85</v>
      </c>
      <c r="U43">
        <f t="shared" si="1"/>
        <v>10.460013037809642</v>
      </c>
      <c r="V43">
        <f t="shared" si="2"/>
        <v>13.506707953063881</v>
      </c>
      <c r="W43" s="7">
        <v>8.0384615384615437</v>
      </c>
      <c r="X43" s="7">
        <v>8.0384615384615437</v>
      </c>
      <c r="Y43" s="8">
        <v>18.62</v>
      </c>
      <c r="Z43" t="s">
        <v>85</v>
      </c>
      <c r="AA43">
        <f t="shared" si="4"/>
        <v>249.80624930003361</v>
      </c>
      <c r="AB43">
        <f t="shared" si="5"/>
        <v>419.19628394971392</v>
      </c>
      <c r="AC43">
        <f t="shared" si="6"/>
        <v>638.07812413385307</v>
      </c>
      <c r="AD43">
        <f t="shared" si="7"/>
        <v>308.55196200384484</v>
      </c>
      <c r="AE43">
        <f t="shared" si="8"/>
        <v>383.58580524457591</v>
      </c>
      <c r="AF43">
        <f t="shared" si="9"/>
        <v>313.99662731871842</v>
      </c>
      <c r="AG43">
        <f t="shared" si="10"/>
        <v>450.99091389595037</v>
      </c>
      <c r="AK43" s="11">
        <v>44866</v>
      </c>
      <c r="AL43">
        <v>91.42</v>
      </c>
      <c r="AM43">
        <f t="shared" si="3"/>
        <v>1702.2404000000001</v>
      </c>
    </row>
    <row r="44" spans="11:39" x14ac:dyDescent="0.2">
      <c r="K44" t="s">
        <v>30</v>
      </c>
      <c r="L44">
        <v>2022</v>
      </c>
      <c r="M44" t="s">
        <v>28</v>
      </c>
      <c r="N44" t="str">
        <f t="shared" si="0"/>
        <v>2022 Aralık</v>
      </c>
      <c r="O44">
        <v>18.798400000000001</v>
      </c>
      <c r="P44">
        <v>10.2782</v>
      </c>
      <c r="Q44">
        <v>22.2562</v>
      </c>
      <c r="R44">
        <v>1128.45</v>
      </c>
      <c r="T44" t="s">
        <v>86</v>
      </c>
      <c r="U44">
        <f t="shared" si="1"/>
        <v>7.4308474576271131</v>
      </c>
      <c r="V44">
        <f t="shared" si="2"/>
        <v>10.361186440677958</v>
      </c>
      <c r="W44" s="7">
        <v>8.5000000000000071</v>
      </c>
      <c r="X44" s="7">
        <v>8.5000000000000071</v>
      </c>
      <c r="Y44" s="8">
        <v>18.670000000000002</v>
      </c>
      <c r="Z44" t="s">
        <v>86</v>
      </c>
      <c r="AA44">
        <f t="shared" si="4"/>
        <v>252.76066748796057</v>
      </c>
      <c r="AB44">
        <f t="shared" si="5"/>
        <v>297.79921206357807</v>
      </c>
      <c r="AC44">
        <f t="shared" si="6"/>
        <v>489.47874129233696</v>
      </c>
      <c r="AD44">
        <f t="shared" si="7"/>
        <v>265.72430170756536</v>
      </c>
      <c r="AE44">
        <f t="shared" si="8"/>
        <v>335.80071818703038</v>
      </c>
      <c r="AF44">
        <f t="shared" si="9"/>
        <v>314.83979763912316</v>
      </c>
      <c r="AG44">
        <f t="shared" si="10"/>
        <v>400.26451571025683</v>
      </c>
      <c r="AK44" s="11">
        <v>44896</v>
      </c>
      <c r="AL44">
        <v>80.92</v>
      </c>
      <c r="AM44">
        <f t="shared" si="3"/>
        <v>1510.7764000000002</v>
      </c>
    </row>
    <row r="45" spans="11:39" x14ac:dyDescent="0.2">
      <c r="K45" t="s">
        <v>30</v>
      </c>
      <c r="L45">
        <v>2023</v>
      </c>
      <c r="M45" t="s">
        <v>6</v>
      </c>
      <c r="N45" t="str">
        <f t="shared" si="0"/>
        <v>2023 Ocak</v>
      </c>
      <c r="O45">
        <v>20.308199999999999</v>
      </c>
      <c r="P45">
        <v>10.332000000000001</v>
      </c>
      <c r="Q45">
        <v>22.938099999999999</v>
      </c>
      <c r="R45">
        <v>1203.48</v>
      </c>
      <c r="T45" t="s">
        <v>87</v>
      </c>
      <c r="U45">
        <f t="shared" si="1"/>
        <v>7.9376117103235728</v>
      </c>
      <c r="V45">
        <f t="shared" si="2"/>
        <v>10.166340523882894</v>
      </c>
      <c r="W45" s="7">
        <v>9.2727272727272734</v>
      </c>
      <c r="X45" s="7">
        <v>9.2727272727272734</v>
      </c>
      <c r="Y45" s="8">
        <v>18.79</v>
      </c>
      <c r="Z45" t="s">
        <v>87</v>
      </c>
      <c r="AA45">
        <f t="shared" si="4"/>
        <v>269.56658080412143</v>
      </c>
      <c r="AB45">
        <f t="shared" si="5"/>
        <v>318.10833508293081</v>
      </c>
      <c r="AC45">
        <f t="shared" si="6"/>
        <v>480.27391377139151</v>
      </c>
      <c r="AD45">
        <f t="shared" si="7"/>
        <v>287.06604093633382</v>
      </c>
      <c r="AE45">
        <f t="shared" si="8"/>
        <v>346.08920003621114</v>
      </c>
      <c r="AF45">
        <f t="shared" si="9"/>
        <v>316.86340640809448</v>
      </c>
      <c r="AG45">
        <f t="shared" si="10"/>
        <v>410.70276557215703</v>
      </c>
      <c r="AK45" s="11">
        <v>44927</v>
      </c>
      <c r="AL45">
        <v>82.5</v>
      </c>
      <c r="AM45">
        <f t="shared" si="3"/>
        <v>1550.175</v>
      </c>
    </row>
    <row r="46" spans="11:39" x14ac:dyDescent="0.2">
      <c r="K46" t="s">
        <v>30</v>
      </c>
      <c r="L46">
        <v>2023</v>
      </c>
      <c r="M46" t="s">
        <v>8</v>
      </c>
      <c r="N46" t="str">
        <f t="shared" si="0"/>
        <v>2023 Şubat</v>
      </c>
      <c r="O46">
        <v>20.969799999999999</v>
      </c>
      <c r="P46">
        <v>11.527699999999999</v>
      </c>
      <c r="Q46">
        <v>21.481000000000002</v>
      </c>
      <c r="R46">
        <v>1241.33</v>
      </c>
      <c r="T46" t="s">
        <v>88</v>
      </c>
      <c r="U46">
        <f t="shared" si="1"/>
        <v>7.725562403697996</v>
      </c>
      <c r="V46">
        <f t="shared" si="2"/>
        <v>8.1587827426810478</v>
      </c>
      <c r="W46" s="7">
        <v>10.045454545454547</v>
      </c>
      <c r="X46" s="7">
        <v>10.045454545454547</v>
      </c>
      <c r="Y46" s="8">
        <v>18.86</v>
      </c>
      <c r="Z46" t="s">
        <v>88</v>
      </c>
      <c r="AA46">
        <f t="shared" si="4"/>
        <v>278.0445738604547</v>
      </c>
      <c r="AB46">
        <f t="shared" si="5"/>
        <v>309.61023082338113</v>
      </c>
      <c r="AC46">
        <f t="shared" si="6"/>
        <v>385.43372713442375</v>
      </c>
      <c r="AD46">
        <f t="shared" si="7"/>
        <v>296.41807079045572</v>
      </c>
      <c r="AE46">
        <f t="shared" si="8"/>
        <v>324.10452940643961</v>
      </c>
      <c r="AF46">
        <f t="shared" si="9"/>
        <v>318.04384485666105</v>
      </c>
      <c r="AG46">
        <f t="shared" si="10"/>
        <v>412.68250034110986</v>
      </c>
      <c r="AK46" s="11">
        <v>44958</v>
      </c>
      <c r="AL46">
        <v>82.59</v>
      </c>
      <c r="AM46">
        <f t="shared" si="3"/>
        <v>1557.6474000000001</v>
      </c>
    </row>
    <row r="47" spans="11:39" x14ac:dyDescent="0.2">
      <c r="K47" t="s">
        <v>30</v>
      </c>
      <c r="L47">
        <v>2023</v>
      </c>
      <c r="M47" t="s">
        <v>10</v>
      </c>
      <c r="N47" t="str">
        <f t="shared" si="0"/>
        <v>2023 Mart</v>
      </c>
      <c r="O47">
        <v>20.9145</v>
      </c>
      <c r="P47">
        <v>11.5853</v>
      </c>
      <c r="Q47">
        <v>21.2818</v>
      </c>
      <c r="R47">
        <v>1269.75</v>
      </c>
      <c r="T47" t="s">
        <v>89</v>
      </c>
      <c r="U47">
        <f t="shared" si="1"/>
        <v>6.9059707241910608</v>
      </c>
      <c r="V47">
        <f t="shared" si="2"/>
        <v>7.217241910631742</v>
      </c>
      <c r="W47" s="7">
        <v>10.81818181818182</v>
      </c>
      <c r="X47" s="7">
        <v>10.81818181818182</v>
      </c>
      <c r="Y47" s="8">
        <v>19</v>
      </c>
      <c r="Z47" t="s">
        <v>89</v>
      </c>
      <c r="AA47">
        <f t="shared" si="4"/>
        <v>284.41034830328147</v>
      </c>
      <c r="AB47">
        <f t="shared" si="5"/>
        <v>276.76421187832671</v>
      </c>
      <c r="AC47">
        <f t="shared" si="6"/>
        <v>340.95385757648558</v>
      </c>
      <c r="AD47">
        <f t="shared" si="7"/>
        <v>295.63637905688114</v>
      </c>
      <c r="AE47">
        <f t="shared" si="8"/>
        <v>321.09900721204622</v>
      </c>
      <c r="AF47">
        <f t="shared" si="9"/>
        <v>320.40472175379426</v>
      </c>
      <c r="AG47">
        <f t="shared" si="10"/>
        <v>394.80506405577512</v>
      </c>
      <c r="AK47" s="11">
        <v>44986</v>
      </c>
      <c r="AL47">
        <v>78.430000000000007</v>
      </c>
      <c r="AM47">
        <f t="shared" si="3"/>
        <v>1490.17</v>
      </c>
    </row>
    <row r="48" spans="11:39" x14ac:dyDescent="0.2">
      <c r="K48" t="s">
        <v>30</v>
      </c>
      <c r="L48">
        <v>2023</v>
      </c>
      <c r="M48" t="s">
        <v>12</v>
      </c>
      <c r="N48" t="str">
        <f t="shared" si="0"/>
        <v>2023 Nisan</v>
      </c>
      <c r="O48">
        <v>22.412500000000001</v>
      </c>
      <c r="P48">
        <v>9.9308999999999994</v>
      </c>
      <c r="Q48">
        <v>21.116099999999999</v>
      </c>
      <c r="R48">
        <v>1300.04</v>
      </c>
      <c r="T48" t="s">
        <v>90</v>
      </c>
      <c r="U48">
        <f t="shared" si="1"/>
        <v>7.4027349768875208</v>
      </c>
      <c r="V48">
        <f t="shared" si="2"/>
        <v>6.3040909090909079</v>
      </c>
      <c r="W48" s="7">
        <v>11.590909090909092</v>
      </c>
      <c r="X48" s="7">
        <v>11.590909090909092</v>
      </c>
      <c r="Y48" s="8">
        <v>19.34</v>
      </c>
      <c r="Z48" t="s">
        <v>90</v>
      </c>
      <c r="AA48">
        <f t="shared" si="4"/>
        <v>291.19498264083325</v>
      </c>
      <c r="AB48">
        <f t="shared" si="5"/>
        <v>296.67257413147917</v>
      </c>
      <c r="AC48">
        <f t="shared" si="6"/>
        <v>297.81516825715715</v>
      </c>
      <c r="AD48">
        <f t="shared" si="7"/>
        <v>316.81131968788873</v>
      </c>
      <c r="AE48">
        <f t="shared" si="8"/>
        <v>318.59893177223216</v>
      </c>
      <c r="AF48">
        <f t="shared" si="9"/>
        <v>326.13827993254637</v>
      </c>
      <c r="AG48">
        <f t="shared" si="10"/>
        <v>433.68961529443408</v>
      </c>
      <c r="AK48" s="11">
        <v>45017</v>
      </c>
      <c r="AL48">
        <v>84.64</v>
      </c>
      <c r="AM48">
        <f t="shared" si="3"/>
        <v>1636.9376</v>
      </c>
    </row>
    <row r="49" spans="11:39" x14ac:dyDescent="0.2">
      <c r="K49" t="s">
        <v>30</v>
      </c>
      <c r="L49">
        <v>2023</v>
      </c>
      <c r="M49" t="s">
        <v>14</v>
      </c>
      <c r="N49" t="str">
        <f t="shared" si="0"/>
        <v>2023 Mayıs</v>
      </c>
      <c r="O49">
        <v>20.4481</v>
      </c>
      <c r="P49">
        <v>10.1846</v>
      </c>
      <c r="Q49">
        <v>19.3325</v>
      </c>
      <c r="R49">
        <v>1300.5999999999999</v>
      </c>
      <c r="T49" t="s">
        <v>91</v>
      </c>
      <c r="U49">
        <f t="shared" si="1"/>
        <v>4.9652619414483805</v>
      </c>
      <c r="V49">
        <f t="shared" si="2"/>
        <v>4.0198382126348218</v>
      </c>
      <c r="W49" s="7">
        <v>12.363636363636365</v>
      </c>
      <c r="X49" s="7">
        <v>12.363636363636365</v>
      </c>
      <c r="Y49" s="8">
        <v>19.72</v>
      </c>
      <c r="Z49" t="s">
        <v>91</v>
      </c>
      <c r="AA49">
        <f t="shared" si="4"/>
        <v>291.32041662000222</v>
      </c>
      <c r="AB49">
        <f t="shared" si="5"/>
        <v>198.98821800397664</v>
      </c>
      <c r="AC49">
        <f t="shared" si="6"/>
        <v>189.90347869761752</v>
      </c>
      <c r="AD49">
        <f t="shared" si="7"/>
        <v>289.04359380300804</v>
      </c>
      <c r="AE49">
        <f t="shared" si="8"/>
        <v>291.68804128066631</v>
      </c>
      <c r="AF49">
        <f t="shared" si="9"/>
        <v>332.54637436762226</v>
      </c>
      <c r="AG49">
        <f t="shared" si="10"/>
        <v>394.30125488648002</v>
      </c>
      <c r="AK49" s="11">
        <v>45047</v>
      </c>
      <c r="AL49">
        <v>75.47</v>
      </c>
      <c r="AM49">
        <f t="shared" si="3"/>
        <v>1488.2683999999999</v>
      </c>
    </row>
    <row r="50" spans="11:39" x14ac:dyDescent="0.2">
      <c r="K50" t="s">
        <v>30</v>
      </c>
      <c r="L50">
        <v>2023</v>
      </c>
      <c r="M50" t="s">
        <v>16</v>
      </c>
      <c r="N50" t="str">
        <f t="shared" si="0"/>
        <v>2023 Haziran</v>
      </c>
      <c r="O50">
        <v>23.407900000000001</v>
      </c>
      <c r="P50">
        <v>10.3407</v>
      </c>
      <c r="Q50">
        <v>22.070900000000002</v>
      </c>
      <c r="R50">
        <v>1351.59</v>
      </c>
      <c r="T50" t="s">
        <v>92</v>
      </c>
      <c r="U50">
        <f t="shared" si="1"/>
        <v>6.7008397534668713</v>
      </c>
      <c r="V50">
        <f t="shared" si="2"/>
        <v>5.5677889060092465</v>
      </c>
      <c r="W50" s="7">
        <v>13.136363636363638</v>
      </c>
      <c r="X50" s="7">
        <v>13.136363636363638</v>
      </c>
      <c r="Y50" s="8">
        <v>23.11</v>
      </c>
      <c r="Z50" t="s">
        <v>92</v>
      </c>
      <c r="AA50">
        <f t="shared" si="4"/>
        <v>302.74162840183669</v>
      </c>
      <c r="AB50">
        <f t="shared" si="5"/>
        <v>268.54336737844409</v>
      </c>
      <c r="AC50">
        <f t="shared" si="6"/>
        <v>263.03110373492319</v>
      </c>
      <c r="AD50">
        <f t="shared" si="7"/>
        <v>330.88177089223115</v>
      </c>
      <c r="AE50">
        <f t="shared" si="8"/>
        <v>333.00491867588045</v>
      </c>
      <c r="AF50">
        <f t="shared" si="9"/>
        <v>389.71332209106242</v>
      </c>
      <c r="AG50">
        <f t="shared" si="10"/>
        <v>458.22694462364672</v>
      </c>
      <c r="AK50" s="11">
        <v>45078</v>
      </c>
      <c r="AL50">
        <v>74.84</v>
      </c>
      <c r="AM50">
        <f t="shared" si="3"/>
        <v>1729.5524</v>
      </c>
    </row>
    <row r="51" spans="11:39" x14ac:dyDescent="0.2">
      <c r="K51" t="s">
        <v>30</v>
      </c>
      <c r="L51">
        <v>2023</v>
      </c>
      <c r="M51" t="s">
        <v>18</v>
      </c>
      <c r="N51" t="str">
        <f t="shared" si="0"/>
        <v>2023 Temmuz</v>
      </c>
      <c r="O51">
        <v>30.639399999999998</v>
      </c>
      <c r="P51">
        <v>11.9725</v>
      </c>
      <c r="Q51">
        <v>29.824200000000001</v>
      </c>
      <c r="R51">
        <v>1479.84</v>
      </c>
      <c r="T51" t="s">
        <v>93</v>
      </c>
      <c r="U51">
        <f t="shared" si="1"/>
        <v>12.056502311248074</v>
      </c>
      <c r="V51">
        <f t="shared" si="2"/>
        <v>11.365654853620956</v>
      </c>
      <c r="W51" s="7">
        <v>13.90909090909091</v>
      </c>
      <c r="X51" s="7">
        <v>13.90909090909091</v>
      </c>
      <c r="Y51" s="8">
        <v>26.47</v>
      </c>
      <c r="Z51" t="s">
        <v>93</v>
      </c>
      <c r="AA51">
        <f t="shared" si="4"/>
        <v>331.46824952402284</v>
      </c>
      <c r="AB51">
        <f t="shared" si="5"/>
        <v>483.1773103950797</v>
      </c>
      <c r="AC51">
        <f t="shared" si="6"/>
        <v>536.93140873059212</v>
      </c>
      <c r="AD51">
        <f t="shared" si="7"/>
        <v>433.10245391835355</v>
      </c>
      <c r="AE51">
        <f t="shared" si="8"/>
        <v>449.98642083345908</v>
      </c>
      <c r="AF51">
        <f t="shared" si="9"/>
        <v>446.37436762225974</v>
      </c>
      <c r="AG51">
        <f t="shared" si="10"/>
        <v>561.80755051404924</v>
      </c>
      <c r="AK51" s="11">
        <v>45108</v>
      </c>
      <c r="AL51">
        <v>80.11</v>
      </c>
      <c r="AM51">
        <f t="shared" si="3"/>
        <v>2120.5117</v>
      </c>
    </row>
    <row r="52" spans="11:39" x14ac:dyDescent="0.2">
      <c r="K52" t="s">
        <v>30</v>
      </c>
      <c r="L52">
        <v>2023</v>
      </c>
      <c r="M52" t="s">
        <v>20</v>
      </c>
      <c r="N52" t="str">
        <f t="shared" si="0"/>
        <v>2023 Ağustos</v>
      </c>
      <c r="O52">
        <v>37.369300000000003</v>
      </c>
      <c r="P52">
        <v>15.778</v>
      </c>
      <c r="Q52">
        <v>37.900399999999998</v>
      </c>
      <c r="R52">
        <v>1614.31</v>
      </c>
      <c r="T52" t="s">
        <v>94</v>
      </c>
      <c r="U52">
        <f t="shared" si="1"/>
        <v>16.987080123266566</v>
      </c>
      <c r="V52">
        <f t="shared" si="2"/>
        <v>17.437164869029271</v>
      </c>
      <c r="W52" s="7">
        <v>14.681818181818183</v>
      </c>
      <c r="X52" s="7">
        <v>14.681818181818183</v>
      </c>
      <c r="Y52" s="8">
        <v>27</v>
      </c>
      <c r="Z52" t="s">
        <v>94</v>
      </c>
      <c r="AA52">
        <f t="shared" si="4"/>
        <v>361.58808377197897</v>
      </c>
      <c r="AB52">
        <f t="shared" si="5"/>
        <v>680.77552457052514</v>
      </c>
      <c r="AC52">
        <f t="shared" si="6"/>
        <v>823.7590898172208</v>
      </c>
      <c r="AD52">
        <f t="shared" si="7"/>
        <v>528.23278299219726</v>
      </c>
      <c r="AE52">
        <f t="shared" si="8"/>
        <v>571.83982618666835</v>
      </c>
      <c r="AF52">
        <f t="shared" si="9"/>
        <v>455.31197301854979</v>
      </c>
      <c r="AG52">
        <f t="shared" si="10"/>
        <v>616.26278830397598</v>
      </c>
      <c r="AK52" s="11">
        <v>45139</v>
      </c>
      <c r="AL52">
        <v>86.15</v>
      </c>
      <c r="AM52">
        <f t="shared" si="3"/>
        <v>2326.0500000000002</v>
      </c>
    </row>
    <row r="53" spans="11:39" x14ac:dyDescent="0.2">
      <c r="K53" t="s">
        <v>30</v>
      </c>
      <c r="L53">
        <v>2023</v>
      </c>
      <c r="M53" t="s">
        <v>22</v>
      </c>
      <c r="N53" t="str">
        <f t="shared" si="0"/>
        <v>2023 Eylül</v>
      </c>
      <c r="O53">
        <v>38.249000000000002</v>
      </c>
      <c r="P53">
        <v>17.118400000000001</v>
      </c>
      <c r="Q53">
        <v>39.655299999999997</v>
      </c>
      <c r="R53">
        <v>1691.04</v>
      </c>
      <c r="T53" t="s">
        <v>95</v>
      </c>
      <c r="U53">
        <f t="shared" si="1"/>
        <v>16.959861325115565</v>
      </c>
      <c r="V53">
        <f t="shared" si="2"/>
        <v>18.151640986132509</v>
      </c>
      <c r="W53" s="7">
        <v>15.454545454545457</v>
      </c>
      <c r="X53" s="7">
        <v>15.454545454545457</v>
      </c>
      <c r="Y53" s="8">
        <v>26.99</v>
      </c>
      <c r="Z53" t="s">
        <v>95</v>
      </c>
      <c r="AA53">
        <f t="shared" si="4"/>
        <v>378.77477881061708</v>
      </c>
      <c r="AB53">
        <f t="shared" si="5"/>
        <v>679.68470193032078</v>
      </c>
      <c r="AC53">
        <f t="shared" si="6"/>
        <v>857.51206516279774</v>
      </c>
      <c r="AD53">
        <f t="shared" si="7"/>
        <v>540.66775981001922</v>
      </c>
      <c r="AE53">
        <f t="shared" si="8"/>
        <v>598.31769214520659</v>
      </c>
      <c r="AF53">
        <f t="shared" si="9"/>
        <v>455.14333895446885</v>
      </c>
      <c r="AG53">
        <f t="shared" si="10"/>
        <v>670.16549452965933</v>
      </c>
      <c r="AK53" s="11">
        <v>45170</v>
      </c>
      <c r="AL53">
        <v>93.72</v>
      </c>
      <c r="AM53">
        <f t="shared" si="3"/>
        <v>2529.5027999999998</v>
      </c>
    </row>
    <row r="54" spans="11:39" x14ac:dyDescent="0.2">
      <c r="K54" t="s">
        <v>30</v>
      </c>
      <c r="L54">
        <v>2023</v>
      </c>
      <c r="M54" t="s">
        <v>24</v>
      </c>
      <c r="N54" t="str">
        <f t="shared" si="0"/>
        <v>2023 Ekim</v>
      </c>
      <c r="O54">
        <v>35.120899999999999</v>
      </c>
      <c r="P54">
        <v>17.915299999999998</v>
      </c>
      <c r="Q54">
        <v>39.494399999999999</v>
      </c>
      <c r="R54">
        <v>1749.11</v>
      </c>
      <c r="T54" t="s">
        <v>96</v>
      </c>
      <c r="U54">
        <f t="shared" si="1"/>
        <v>13.536201848998456</v>
      </c>
      <c r="V54">
        <f t="shared" si="2"/>
        <v>17.24255778120185</v>
      </c>
      <c r="W54" s="7">
        <v>16.22727272727273</v>
      </c>
      <c r="X54" s="7">
        <v>16.22727272727273</v>
      </c>
      <c r="Y54" s="8">
        <v>27.85</v>
      </c>
      <c r="Z54" t="s">
        <v>96</v>
      </c>
      <c r="AA54">
        <f t="shared" si="4"/>
        <v>391.78183447194533</v>
      </c>
      <c r="AB54">
        <f t="shared" si="5"/>
        <v>542.4778624445787</v>
      </c>
      <c r="AC54">
        <f t="shared" si="6"/>
        <v>814.56554495228534</v>
      </c>
      <c r="AD54">
        <f t="shared" si="7"/>
        <v>496.45058238154468</v>
      </c>
      <c r="AE54">
        <f t="shared" si="8"/>
        <v>595.89003892694416</v>
      </c>
      <c r="AF54">
        <f t="shared" si="9"/>
        <v>469.64586846543006</v>
      </c>
      <c r="AG54">
        <f t="shared" si="10"/>
        <v>668.49828252895463</v>
      </c>
      <c r="AK54" s="11">
        <v>45200</v>
      </c>
      <c r="AL54">
        <v>90.6</v>
      </c>
      <c r="AM54">
        <f t="shared" si="3"/>
        <v>2523.21</v>
      </c>
    </row>
    <row r="55" spans="11:39" x14ac:dyDescent="0.2">
      <c r="K55" t="s">
        <v>30</v>
      </c>
      <c r="L55">
        <v>2023</v>
      </c>
      <c r="M55" t="s">
        <v>26</v>
      </c>
      <c r="N55" t="str">
        <f t="shared" si="0"/>
        <v>2023 Kasım</v>
      </c>
      <c r="O55">
        <v>35.237200000000001</v>
      </c>
      <c r="P55">
        <v>17.938500000000001</v>
      </c>
      <c r="Q55">
        <v>38.3827</v>
      </c>
      <c r="R55">
        <v>1806.5</v>
      </c>
      <c r="T55" t="s">
        <v>97</v>
      </c>
      <c r="U55">
        <f t="shared" si="1"/>
        <v>12.862033898305086</v>
      </c>
      <c r="V55">
        <f t="shared" si="2"/>
        <v>15.527711864406779</v>
      </c>
      <c r="W55" s="7">
        <v>17.000000000000004</v>
      </c>
      <c r="X55" s="7">
        <v>17.000000000000004</v>
      </c>
      <c r="Y55" s="8">
        <v>28.64</v>
      </c>
      <c r="Z55" t="s">
        <v>97</v>
      </c>
      <c r="AA55">
        <f t="shared" si="4"/>
        <v>404.63657744428269</v>
      </c>
      <c r="AB55">
        <f t="shared" si="5"/>
        <v>515.45985599782637</v>
      </c>
      <c r="AC55">
        <f t="shared" si="6"/>
        <v>733.55352710385137</v>
      </c>
      <c r="AD55">
        <f t="shared" si="7"/>
        <v>498.09453805269709</v>
      </c>
      <c r="AE55">
        <f t="shared" si="8"/>
        <v>579.11675065632642</v>
      </c>
      <c r="AF55">
        <f t="shared" si="9"/>
        <v>482.96795952782463</v>
      </c>
      <c r="AG55">
        <f t="shared" si="10"/>
        <v>629.33798214042076</v>
      </c>
      <c r="AK55" s="11">
        <v>45231</v>
      </c>
      <c r="AL55">
        <v>82.94</v>
      </c>
      <c r="AM55">
        <f t="shared" si="3"/>
        <v>2375.4016000000001</v>
      </c>
    </row>
    <row r="56" spans="11:39" x14ac:dyDescent="0.2">
      <c r="K56" t="s">
        <v>30</v>
      </c>
      <c r="L56">
        <v>2023</v>
      </c>
      <c r="M56" t="s">
        <v>28</v>
      </c>
      <c r="N56" t="str">
        <f t="shared" si="0"/>
        <v>2023 Aralık</v>
      </c>
      <c r="O56">
        <v>34.527999999999999</v>
      </c>
      <c r="P56">
        <v>17.954499999999999</v>
      </c>
      <c r="Q56">
        <v>37.005099999999999</v>
      </c>
      <c r="R56">
        <v>1859.38</v>
      </c>
      <c r="T56" t="s">
        <v>98</v>
      </c>
      <c r="U56">
        <f t="shared" si="1"/>
        <v>11.677683615819209</v>
      </c>
      <c r="V56">
        <f t="shared" si="2"/>
        <v>13.776920903954803</v>
      </c>
      <c r="W56" s="7">
        <v>17.583333333333332</v>
      </c>
      <c r="X56" s="7">
        <v>17.583333333333332</v>
      </c>
      <c r="Y56" s="8">
        <v>29.07</v>
      </c>
      <c r="Z56" t="s">
        <v>98</v>
      </c>
      <c r="AA56">
        <f t="shared" si="4"/>
        <v>416.48112890581251</v>
      </c>
      <c r="AB56">
        <f t="shared" si="5"/>
        <v>467.99574333197478</v>
      </c>
      <c r="AC56">
        <f t="shared" si="6"/>
        <v>650.8434088664693</v>
      </c>
      <c r="AD56">
        <f t="shared" si="7"/>
        <v>488.06965961777672</v>
      </c>
      <c r="AE56">
        <f t="shared" si="8"/>
        <v>558.33157307100396</v>
      </c>
      <c r="AF56">
        <f t="shared" si="9"/>
        <v>490.21922428330527</v>
      </c>
      <c r="AG56">
        <f t="shared" si="10"/>
        <v>597.89031235055756</v>
      </c>
      <c r="AK56" s="11">
        <v>45261</v>
      </c>
      <c r="AL56">
        <v>77.63</v>
      </c>
      <c r="AM56">
        <f t="shared" si="3"/>
        <v>2256.7040999999999</v>
      </c>
    </row>
    <row r="57" spans="11:39" x14ac:dyDescent="0.2">
      <c r="K57" t="s">
        <v>30</v>
      </c>
      <c r="L57">
        <v>2024</v>
      </c>
      <c r="M57" t="s">
        <v>6</v>
      </c>
      <c r="N57" t="str">
        <f t="shared" si="0"/>
        <v>2024 Ocak</v>
      </c>
      <c r="O57">
        <v>37.563800000000001</v>
      </c>
      <c r="P57">
        <v>19.3262</v>
      </c>
      <c r="Q57">
        <v>39.793500000000002</v>
      </c>
      <c r="R57">
        <v>1984.02</v>
      </c>
      <c r="T57" t="s">
        <v>99</v>
      </c>
      <c r="U57">
        <f t="shared" si="1"/>
        <v>13.667062146892661</v>
      </c>
      <c r="V57">
        <f t="shared" si="2"/>
        <v>15.556638418079103</v>
      </c>
      <c r="W57" s="7">
        <v>18.166666666666664</v>
      </c>
      <c r="X57" s="7">
        <v>18.166666666666664</v>
      </c>
      <c r="Y57" s="8">
        <v>30.05</v>
      </c>
      <c r="Z57" t="s">
        <v>99</v>
      </c>
      <c r="AA57">
        <f t="shared" si="4"/>
        <v>444.39914884085567</v>
      </c>
      <c r="AB57">
        <f t="shared" si="5"/>
        <v>547.72222976950616</v>
      </c>
      <c r="AC57">
        <f t="shared" si="6"/>
        <v>734.9200629887639</v>
      </c>
      <c r="AD57">
        <f t="shared" si="7"/>
        <v>530.98213276037552</v>
      </c>
      <c r="AE57">
        <f t="shared" si="8"/>
        <v>600.40284860738109</v>
      </c>
      <c r="AF57">
        <f t="shared" si="9"/>
        <v>506.74536256323779</v>
      </c>
      <c r="AG57">
        <f t="shared" si="10"/>
        <v>637.87020343388247</v>
      </c>
      <c r="AK57" s="11">
        <v>45292</v>
      </c>
      <c r="AL57">
        <v>80.12</v>
      </c>
      <c r="AM57">
        <f t="shared" si="3"/>
        <v>2407.6060000000002</v>
      </c>
    </row>
    <row r="58" spans="11:39" x14ac:dyDescent="0.2">
      <c r="K58" t="s">
        <v>30</v>
      </c>
      <c r="L58">
        <v>2024</v>
      </c>
      <c r="M58" t="s">
        <v>8</v>
      </c>
      <c r="N58" t="str">
        <f t="shared" si="0"/>
        <v>2024 Şubat</v>
      </c>
      <c r="O58">
        <v>40.773600000000002</v>
      </c>
      <c r="P58">
        <v>19.859400000000001</v>
      </c>
      <c r="Q58">
        <v>43.096800000000002</v>
      </c>
      <c r="R58">
        <v>2073.88</v>
      </c>
      <c r="T58" t="s">
        <v>100</v>
      </c>
      <c r="U58">
        <f t="shared" si="1"/>
        <v>15.803898305084751</v>
      </c>
      <c r="V58">
        <f t="shared" si="2"/>
        <v>17.77271186440678</v>
      </c>
      <c r="W58" s="7">
        <v>18.75</v>
      </c>
      <c r="X58" s="7">
        <v>18.75</v>
      </c>
      <c r="Y58" s="8">
        <v>30.76</v>
      </c>
      <c r="Z58" t="s">
        <v>100</v>
      </c>
      <c r="AA58">
        <f t="shared" si="4"/>
        <v>464.52682271250978</v>
      </c>
      <c r="AB58">
        <f t="shared" si="5"/>
        <v>633.35823936965096</v>
      </c>
      <c r="AC58">
        <f t="shared" si="6"/>
        <v>839.61085755464819</v>
      </c>
      <c r="AD58">
        <f t="shared" si="7"/>
        <v>576.35417844622873</v>
      </c>
      <c r="AE58">
        <f t="shared" si="8"/>
        <v>650.24291620145459</v>
      </c>
      <c r="AF58">
        <f t="shared" si="9"/>
        <v>518.71838111298484</v>
      </c>
      <c r="AG58">
        <f t="shared" si="10"/>
        <v>680.32380919578929</v>
      </c>
      <c r="AK58" s="11">
        <v>45323</v>
      </c>
      <c r="AL58">
        <v>83.48</v>
      </c>
      <c r="AM58">
        <f t="shared" si="3"/>
        <v>2567.8448000000003</v>
      </c>
    </row>
    <row r="59" spans="11:39" x14ac:dyDescent="0.2">
      <c r="K59" t="s">
        <v>30</v>
      </c>
      <c r="L59">
        <v>2024</v>
      </c>
      <c r="M59" t="s">
        <v>10</v>
      </c>
      <c r="N59" t="str">
        <f t="shared" si="0"/>
        <v>2024 Mart</v>
      </c>
      <c r="O59">
        <v>42.353999999999999</v>
      </c>
      <c r="P59">
        <v>21.352699999999999</v>
      </c>
      <c r="Q59">
        <v>42.056800000000003</v>
      </c>
      <c r="R59">
        <v>2139.4699999999998</v>
      </c>
      <c r="T59" t="s">
        <v>101</v>
      </c>
      <c r="U59">
        <f t="shared" si="1"/>
        <v>16.559887005649717</v>
      </c>
      <c r="V59">
        <f t="shared" si="2"/>
        <v>16.308022598870064</v>
      </c>
      <c r="W59" s="7">
        <v>19.333333333333332</v>
      </c>
      <c r="X59" s="7">
        <v>19.333333333333332</v>
      </c>
      <c r="Y59" s="8">
        <v>31.99</v>
      </c>
      <c r="Z59" t="s">
        <v>101</v>
      </c>
      <c r="AA59">
        <f t="shared" si="4"/>
        <v>479.21827752267887</v>
      </c>
      <c r="AB59">
        <f t="shared" si="5"/>
        <v>663.65530045736523</v>
      </c>
      <c r="AC59">
        <f t="shared" si="6"/>
        <v>770.41663330397455</v>
      </c>
      <c r="AD59">
        <f t="shared" si="7"/>
        <v>598.69388216668551</v>
      </c>
      <c r="AE59">
        <f t="shared" si="8"/>
        <v>634.55143486526458</v>
      </c>
      <c r="AF59">
        <f t="shared" si="9"/>
        <v>539.46037099494106</v>
      </c>
      <c r="AG59">
        <f t="shared" si="10"/>
        <v>723.88547190381632</v>
      </c>
      <c r="AK59" s="11">
        <v>45352</v>
      </c>
      <c r="AL59">
        <v>85.41</v>
      </c>
      <c r="AM59">
        <f t="shared" si="3"/>
        <v>2732.2658999999999</v>
      </c>
    </row>
    <row r="60" spans="11:39" x14ac:dyDescent="0.2">
      <c r="K60" t="s">
        <v>30</v>
      </c>
      <c r="L60">
        <v>2024</v>
      </c>
      <c r="M60" t="s">
        <v>12</v>
      </c>
      <c r="N60" t="str">
        <f t="shared" si="0"/>
        <v>2024 Nisan</v>
      </c>
      <c r="O60">
        <v>44.424700000000001</v>
      </c>
      <c r="P60">
        <v>21.8202</v>
      </c>
      <c r="Q60">
        <v>42.676299999999998</v>
      </c>
      <c r="R60">
        <v>2207.5</v>
      </c>
      <c r="T60" t="s">
        <v>102</v>
      </c>
      <c r="U60">
        <f t="shared" si="1"/>
        <v>17.731384180790968</v>
      </c>
      <c r="V60">
        <f t="shared" si="2"/>
        <v>16.249689265536723</v>
      </c>
      <c r="W60" s="7">
        <v>19.916666666666664</v>
      </c>
      <c r="X60" s="7">
        <v>19.916666666666664</v>
      </c>
      <c r="Y60" s="8">
        <v>32.33</v>
      </c>
      <c r="Z60" t="s">
        <v>102</v>
      </c>
      <c r="AA60">
        <f t="shared" si="4"/>
        <v>494.45626609922726</v>
      </c>
      <c r="AB60">
        <f t="shared" si="5"/>
        <v>710.60431100846836</v>
      </c>
      <c r="AC60">
        <f t="shared" si="6"/>
        <v>767.66087490324833</v>
      </c>
      <c r="AD60">
        <f t="shared" si="7"/>
        <v>627.96420897885343</v>
      </c>
      <c r="AE60">
        <f t="shared" si="8"/>
        <v>643.89842783427389</v>
      </c>
      <c r="AF60">
        <f t="shared" si="9"/>
        <v>545.19392917369316</v>
      </c>
      <c r="AG60">
        <f t="shared" si="10"/>
        <v>770.38086394158609</v>
      </c>
      <c r="AK60" s="11">
        <v>45383</v>
      </c>
      <c r="AL60">
        <v>89.94</v>
      </c>
      <c r="AM60">
        <f t="shared" si="3"/>
        <v>2907.7601999999997</v>
      </c>
    </row>
    <row r="61" spans="11:39" x14ac:dyDescent="0.2">
      <c r="K61" t="s">
        <v>30</v>
      </c>
      <c r="L61">
        <v>2024</v>
      </c>
      <c r="M61" t="s">
        <v>14</v>
      </c>
      <c r="N61" t="str">
        <f t="shared" si="0"/>
        <v>2024 Mayıs</v>
      </c>
      <c r="O61">
        <v>43.7941</v>
      </c>
      <c r="P61">
        <v>20.508800000000001</v>
      </c>
      <c r="Q61">
        <v>41.285400000000003</v>
      </c>
      <c r="R61">
        <v>2281.85</v>
      </c>
      <c r="T61" t="s">
        <v>103</v>
      </c>
      <c r="U61">
        <f t="shared" si="1"/>
        <v>16.613644067796614</v>
      </c>
      <c r="V61">
        <f t="shared" si="2"/>
        <v>14.48762711864407</v>
      </c>
      <c r="W61" s="7">
        <v>20.5</v>
      </c>
      <c r="X61" s="7">
        <v>20.5</v>
      </c>
      <c r="Y61" s="8">
        <v>32.25</v>
      </c>
      <c r="Z61" t="s">
        <v>103</v>
      </c>
      <c r="AA61">
        <f t="shared" si="4"/>
        <v>511.10986672639717</v>
      </c>
      <c r="AB61">
        <f t="shared" si="5"/>
        <v>665.80967259883175</v>
      </c>
      <c r="AC61">
        <f t="shared" si="6"/>
        <v>684.41828809352251</v>
      </c>
      <c r="AD61">
        <f t="shared" si="7"/>
        <v>619.05037883071361</v>
      </c>
      <c r="AE61">
        <f t="shared" si="8"/>
        <v>622.91258034340206</v>
      </c>
      <c r="AF61">
        <f t="shared" si="9"/>
        <v>543.84485666104558</v>
      </c>
      <c r="AG61">
        <f t="shared" si="10"/>
        <v>698.49673263221484</v>
      </c>
      <c r="AK61" s="11">
        <v>45413</v>
      </c>
      <c r="AL61">
        <v>81.75</v>
      </c>
      <c r="AM61">
        <f t="shared" si="3"/>
        <v>2636.4375</v>
      </c>
    </row>
    <row r="62" spans="11:39" x14ac:dyDescent="0.2">
      <c r="K62" t="s">
        <v>30</v>
      </c>
      <c r="L62">
        <v>2024</v>
      </c>
      <c r="M62" t="s">
        <v>16</v>
      </c>
      <c r="N62" t="str">
        <f t="shared" si="0"/>
        <v>2024 Haziran</v>
      </c>
      <c r="O62">
        <v>41.7851</v>
      </c>
      <c r="P62">
        <v>19.6676</v>
      </c>
      <c r="Q62">
        <v>41.4054</v>
      </c>
      <c r="R62">
        <v>2319.29</v>
      </c>
      <c r="T62" t="s">
        <v>104</v>
      </c>
      <c r="U62">
        <f t="shared" si="1"/>
        <v>14.327768361581921</v>
      </c>
      <c r="V62">
        <f t="shared" si="2"/>
        <v>14.005988700564973</v>
      </c>
      <c r="W62" s="7">
        <v>21.083333333333332</v>
      </c>
      <c r="X62" s="7">
        <v>21.083333333333332</v>
      </c>
      <c r="Y62" s="8">
        <v>32.520000000000003</v>
      </c>
      <c r="Z62" t="s">
        <v>104</v>
      </c>
      <c r="AA62">
        <f t="shared" si="4"/>
        <v>519.49602419083885</v>
      </c>
      <c r="AB62">
        <f t="shared" si="5"/>
        <v>574.20074265271921</v>
      </c>
      <c r="AC62">
        <f t="shared" si="6"/>
        <v>661.66493180665668</v>
      </c>
      <c r="AD62">
        <f t="shared" si="7"/>
        <v>590.65221078819411</v>
      </c>
      <c r="AE62">
        <f t="shared" si="8"/>
        <v>624.72313588219322</v>
      </c>
      <c r="AF62">
        <f t="shared" si="9"/>
        <v>548.39797639123117</v>
      </c>
      <c r="AG62">
        <f t="shared" si="10"/>
        <v>708.65253037201524</v>
      </c>
      <c r="AK62" s="11">
        <v>45444</v>
      </c>
      <c r="AL62">
        <v>82.25</v>
      </c>
      <c r="AM62">
        <f t="shared" si="3"/>
        <v>2674.7700000000004</v>
      </c>
    </row>
    <row r="63" spans="11:39" x14ac:dyDescent="0.2">
      <c r="K63" t="s">
        <v>30</v>
      </c>
      <c r="L63">
        <v>2024</v>
      </c>
      <c r="M63" t="s">
        <v>18</v>
      </c>
      <c r="N63" t="str">
        <f t="shared" si="0"/>
        <v>2024 Temmuz</v>
      </c>
      <c r="O63">
        <v>45.625500000000002</v>
      </c>
      <c r="P63">
        <v>22.476800000000001</v>
      </c>
      <c r="Q63">
        <v>45.181100000000001</v>
      </c>
      <c r="R63">
        <v>2394.1</v>
      </c>
      <c r="T63" t="s">
        <v>105</v>
      </c>
      <c r="U63">
        <f t="shared" si="1"/>
        <v>16.999011299435033</v>
      </c>
      <c r="V63">
        <f t="shared" si="2"/>
        <v>16.622401129943505</v>
      </c>
      <c r="W63" s="7">
        <v>21.666666666666664</v>
      </c>
      <c r="X63" s="7">
        <v>21.666666666666664</v>
      </c>
      <c r="Y63" s="8">
        <v>32.89</v>
      </c>
      <c r="Z63" t="s">
        <v>105</v>
      </c>
      <c r="AA63">
        <f t="shared" si="4"/>
        <v>536.25265987232615</v>
      </c>
      <c r="AB63">
        <f t="shared" si="5"/>
        <v>681.25367930081973</v>
      </c>
      <c r="AC63">
        <f t="shared" si="6"/>
        <v>785.26836949849223</v>
      </c>
      <c r="AD63">
        <f t="shared" si="7"/>
        <v>644.93808662218703</v>
      </c>
      <c r="AE63">
        <f t="shared" si="8"/>
        <v>681.69075711397443</v>
      </c>
      <c r="AF63">
        <f t="shared" si="9"/>
        <v>554.637436762226</v>
      </c>
      <c r="AG63">
        <f t="shared" si="10"/>
        <v>741.98551045253032</v>
      </c>
      <c r="AK63" s="11">
        <v>45474</v>
      </c>
      <c r="AL63">
        <v>85.15</v>
      </c>
      <c r="AM63">
        <f t="shared" si="3"/>
        <v>2800.5835000000002</v>
      </c>
    </row>
    <row r="64" spans="11:39" x14ac:dyDescent="0.2">
      <c r="K64" t="s">
        <v>30</v>
      </c>
      <c r="L64">
        <v>2024</v>
      </c>
      <c r="M64" t="s">
        <v>20</v>
      </c>
      <c r="N64" t="str">
        <f t="shared" si="0"/>
        <v>2024 Ağustos</v>
      </c>
      <c r="O64">
        <v>44.801000000000002</v>
      </c>
      <c r="P64">
        <v>22.715</v>
      </c>
      <c r="Q64">
        <v>44.255099999999999</v>
      </c>
      <c r="R64">
        <v>2453.34</v>
      </c>
      <c r="T64" t="s">
        <v>106</v>
      </c>
      <c r="U64">
        <f t="shared" si="1"/>
        <v>15.71694915254238</v>
      </c>
      <c r="V64">
        <f t="shared" si="2"/>
        <v>15.254322033898308</v>
      </c>
      <c r="W64" s="7">
        <v>22.249999999999996</v>
      </c>
      <c r="X64" s="7">
        <v>22.249999999999996</v>
      </c>
      <c r="Y64" s="8">
        <v>33.619999999999997</v>
      </c>
      <c r="Z64" t="s">
        <v>106</v>
      </c>
      <c r="AA64">
        <f t="shared" si="4"/>
        <v>549.5217829544182</v>
      </c>
      <c r="AB64">
        <f t="shared" si="5"/>
        <v>629.87365847031674</v>
      </c>
      <c r="AC64">
        <f t="shared" si="6"/>
        <v>720.63816158219254</v>
      </c>
      <c r="AD64">
        <f t="shared" si="7"/>
        <v>633.28338799050107</v>
      </c>
      <c r="AE64">
        <f t="shared" si="8"/>
        <v>667.71930353963614</v>
      </c>
      <c r="AF64">
        <f t="shared" si="9"/>
        <v>566.94772344013484</v>
      </c>
      <c r="AG64">
        <f t="shared" si="10"/>
        <v>715.78820197406515</v>
      </c>
      <c r="AK64" s="11">
        <v>45505</v>
      </c>
      <c r="AL64">
        <v>80.36</v>
      </c>
      <c r="AM64">
        <f t="shared" si="3"/>
        <v>2701.7031999999999</v>
      </c>
    </row>
    <row r="65" spans="11:39" x14ac:dyDescent="0.2">
      <c r="K65" t="s">
        <v>30</v>
      </c>
      <c r="L65">
        <v>2024</v>
      </c>
      <c r="M65" t="s">
        <v>22</v>
      </c>
      <c r="N65" t="str">
        <f t="shared" si="0"/>
        <v>2024 Eylül</v>
      </c>
      <c r="O65">
        <v>42.704900000000002</v>
      </c>
      <c r="P65">
        <v>24.6431</v>
      </c>
      <c r="Q65">
        <v>42.8018</v>
      </c>
      <c r="R65">
        <v>2526.16</v>
      </c>
      <c r="T65" t="s">
        <v>107</v>
      </c>
      <c r="U65">
        <f t="shared" si="1"/>
        <v>13.357259887005661</v>
      </c>
      <c r="V65">
        <f t="shared" si="2"/>
        <v>13.439378531073451</v>
      </c>
      <c r="W65" s="7">
        <v>22.833333333333329</v>
      </c>
      <c r="X65" s="7">
        <v>22.833333333333329</v>
      </c>
      <c r="Y65" s="8">
        <v>34.03</v>
      </c>
      <c r="Z65" t="s">
        <v>107</v>
      </c>
      <c r="AA65">
        <f t="shared" si="4"/>
        <v>565.83268003135856</v>
      </c>
      <c r="AB65">
        <f t="shared" si="5"/>
        <v>535.30657066521803</v>
      </c>
      <c r="AC65">
        <f t="shared" si="6"/>
        <v>634.89737635786184</v>
      </c>
      <c r="AD65">
        <f t="shared" si="7"/>
        <v>603.65402012891548</v>
      </c>
      <c r="AE65">
        <f t="shared" si="8"/>
        <v>645.79196716859292</v>
      </c>
      <c r="AF65">
        <f t="shared" si="9"/>
        <v>573.86172006745369</v>
      </c>
      <c r="AG65">
        <f t="shared" si="10"/>
        <v>667.35655175794068</v>
      </c>
      <c r="AK65" s="11">
        <v>45536</v>
      </c>
      <c r="AL65">
        <v>74.02</v>
      </c>
      <c r="AM65">
        <f t="shared" si="3"/>
        <v>2518.9005999999999</v>
      </c>
    </row>
    <row r="66" spans="11:39" x14ac:dyDescent="0.2">
      <c r="K66" t="s">
        <v>30</v>
      </c>
      <c r="L66">
        <v>2024</v>
      </c>
      <c r="M66" t="s">
        <v>24</v>
      </c>
      <c r="N66" t="str">
        <f t="shared" si="0"/>
        <v>2024 Ekim</v>
      </c>
      <c r="O66">
        <v>44.076500000000003</v>
      </c>
      <c r="P66">
        <v>24.7209</v>
      </c>
      <c r="Q66">
        <v>43.411499999999997</v>
      </c>
      <c r="R66">
        <v>2598.91</v>
      </c>
      <c r="T66" t="s">
        <v>108</v>
      </c>
      <c r="U66">
        <f t="shared" si="1"/>
        <v>13.936299435028253</v>
      </c>
      <c r="V66">
        <f t="shared" si="2"/>
        <v>13.37274011299435</v>
      </c>
      <c r="W66" s="7">
        <v>23.416666666666664</v>
      </c>
      <c r="X66" s="7">
        <v>23.416666666666664</v>
      </c>
      <c r="Y66" s="8">
        <v>34.229999999999997</v>
      </c>
      <c r="Z66" t="s">
        <v>108</v>
      </c>
      <c r="AA66">
        <f t="shared" si="4"/>
        <v>582.12789786090264</v>
      </c>
      <c r="AB66">
        <f t="shared" si="5"/>
        <v>558.5122039577958</v>
      </c>
      <c r="AC66">
        <f t="shared" si="6"/>
        <v>631.74927269330351</v>
      </c>
      <c r="AD66">
        <f t="shared" si="7"/>
        <v>623.04223679746701</v>
      </c>
      <c r="AE66">
        <f t="shared" si="8"/>
        <v>654.9910981019342</v>
      </c>
      <c r="AF66">
        <f t="shared" si="9"/>
        <v>577.23440134907241</v>
      </c>
      <c r="AG66">
        <f t="shared" si="10"/>
        <v>685.87961938775095</v>
      </c>
      <c r="AK66" s="11">
        <v>45566</v>
      </c>
      <c r="AL66">
        <v>75.63</v>
      </c>
      <c r="AM66">
        <f t="shared" si="3"/>
        <v>2588.8148999999994</v>
      </c>
    </row>
    <row r="67" spans="11:39" x14ac:dyDescent="0.2">
      <c r="K67" t="s">
        <v>30</v>
      </c>
      <c r="L67">
        <v>2024</v>
      </c>
      <c r="M67" t="s">
        <v>26</v>
      </c>
      <c r="N67" t="str">
        <f t="shared" si="0"/>
        <v>2024 Kasım</v>
      </c>
      <c r="O67">
        <v>43.384500000000003</v>
      </c>
      <c r="P67">
        <v>25.535799999999998</v>
      </c>
      <c r="Q67">
        <v>43.567100000000003</v>
      </c>
      <c r="R67">
        <v>2657.23</v>
      </c>
      <c r="T67" t="s">
        <v>109</v>
      </c>
      <c r="U67">
        <f t="shared" si="1"/>
        <v>12.766525423728819</v>
      </c>
      <c r="V67">
        <f t="shared" si="2"/>
        <v>12.921271186440688</v>
      </c>
      <c r="W67" s="7">
        <v>23.999999999999996</v>
      </c>
      <c r="X67" s="7">
        <v>23.999999999999996</v>
      </c>
      <c r="Y67" s="8">
        <v>34.43</v>
      </c>
      <c r="Z67" t="s">
        <v>109</v>
      </c>
      <c r="AA67">
        <f t="shared" si="4"/>
        <v>595.19095083435991</v>
      </c>
      <c r="AB67">
        <f t="shared" si="5"/>
        <v>511.63225105284624</v>
      </c>
      <c r="AC67">
        <f t="shared" si="6"/>
        <v>610.42117063015507</v>
      </c>
      <c r="AD67">
        <f t="shared" si="7"/>
        <v>613.26048852199494</v>
      </c>
      <c r="AE67">
        <f t="shared" si="8"/>
        <v>657.33878511723356</v>
      </c>
      <c r="AF67">
        <f t="shared" si="9"/>
        <v>580.60708263069148</v>
      </c>
      <c r="AG67">
        <f t="shared" si="10"/>
        <v>678.21110123475114</v>
      </c>
      <c r="AK67" s="11">
        <v>45597</v>
      </c>
      <c r="AL67">
        <v>74.349999999999994</v>
      </c>
      <c r="AM67">
        <f t="shared" si="3"/>
        <v>2559.8705</v>
      </c>
    </row>
    <row r="68" spans="11:39" x14ac:dyDescent="0.2">
      <c r="K68" t="s">
        <v>30</v>
      </c>
      <c r="L68">
        <v>2024</v>
      </c>
      <c r="M68" t="s">
        <v>28</v>
      </c>
      <c r="N68" t="str">
        <f t="shared" si="0"/>
        <v>2024 Aralık</v>
      </c>
      <c r="O68">
        <v>43.391100000000002</v>
      </c>
      <c r="P68">
        <v>25.507200000000001</v>
      </c>
      <c r="Q68">
        <v>44.173000000000002</v>
      </c>
      <c r="R68">
        <v>2684.55</v>
      </c>
      <c r="T68" t="s">
        <v>110</v>
      </c>
      <c r="U68">
        <f t="shared" si="1"/>
        <v>12.688785310734474</v>
      </c>
      <c r="V68">
        <f t="shared" si="2"/>
        <v>13.351412429378541</v>
      </c>
      <c r="W68" s="7">
        <v>24.083333333333329</v>
      </c>
      <c r="X68" s="7">
        <v>24.083333333333329</v>
      </c>
      <c r="Y68" s="8">
        <v>34.97</v>
      </c>
      <c r="Z68" t="s">
        <v>110</v>
      </c>
      <c r="AA68">
        <f t="shared" si="4"/>
        <v>601.31033710381905</v>
      </c>
      <c r="AB68">
        <f t="shared" si="5"/>
        <v>508.51673232803552</v>
      </c>
      <c r="AC68">
        <f t="shared" si="6"/>
        <v>630.74171937972142</v>
      </c>
      <c r="AD68">
        <f t="shared" si="7"/>
        <v>613.35378265294594</v>
      </c>
      <c r="AE68">
        <f t="shared" si="8"/>
        <v>666.48058179184648</v>
      </c>
      <c r="AF68">
        <f t="shared" si="9"/>
        <v>589.71332209106242</v>
      </c>
      <c r="AG68">
        <f t="shared" si="10"/>
        <v>684.30834202114488</v>
      </c>
      <c r="AK68" s="11">
        <v>45627</v>
      </c>
      <c r="AL68">
        <v>73.86</v>
      </c>
      <c r="AM68">
        <f t="shared" si="3"/>
        <v>2582.8842</v>
      </c>
    </row>
    <row r="69" spans="11:39" x14ac:dyDescent="0.2">
      <c r="K69" t="s">
        <v>30</v>
      </c>
      <c r="L69">
        <v>2025</v>
      </c>
      <c r="M69" t="s">
        <v>6</v>
      </c>
      <c r="N69" t="str">
        <f t="shared" si="0"/>
        <v>2025 Ocak</v>
      </c>
      <c r="O69">
        <v>46.079900000000002</v>
      </c>
      <c r="P69">
        <v>25.688600000000001</v>
      </c>
      <c r="Q69">
        <v>46.720999999999997</v>
      </c>
      <c r="R69">
        <v>2819.65</v>
      </c>
      <c r="T69" t="s">
        <v>111</v>
      </c>
      <c r="U69">
        <f t="shared" si="1"/>
        <v>14.884096045197744</v>
      </c>
      <c r="V69">
        <f t="shared" si="2"/>
        <v>15.427401129943505</v>
      </c>
      <c r="W69" s="7">
        <v>24.166666666666664</v>
      </c>
      <c r="X69" s="7">
        <v>24.166666666666664</v>
      </c>
      <c r="Y69" s="8">
        <v>35.520000000000003</v>
      </c>
      <c r="Z69" t="s">
        <v>111</v>
      </c>
      <c r="AA69">
        <f t="shared" si="4"/>
        <v>631.57128457834028</v>
      </c>
      <c r="AB69">
        <f t="shared" si="5"/>
        <v>596.49617352714768</v>
      </c>
      <c r="AC69">
        <f t="shared" si="6"/>
        <v>728.81469026076297</v>
      </c>
      <c r="AD69">
        <f t="shared" si="7"/>
        <v>651.36124618342194</v>
      </c>
      <c r="AE69">
        <f t="shared" si="8"/>
        <v>704.92471106551193</v>
      </c>
      <c r="AF69">
        <f t="shared" si="9"/>
        <v>598.98819561551443</v>
      </c>
      <c r="AG69">
        <f t="shared" si="10"/>
        <v>745.98262790953379</v>
      </c>
      <c r="AK69" s="11">
        <v>45658</v>
      </c>
      <c r="AL69">
        <v>79.27</v>
      </c>
      <c r="AM69">
        <f t="shared" si="3"/>
        <v>2815.6704</v>
      </c>
    </row>
    <row r="70" spans="11:39" x14ac:dyDescent="0.2">
      <c r="K70" t="s">
        <v>30</v>
      </c>
      <c r="L70">
        <v>2025</v>
      </c>
      <c r="M70" t="s">
        <v>8</v>
      </c>
      <c r="N70" t="str">
        <f t="shared" si="0"/>
        <v>2025 Şubat</v>
      </c>
      <c r="O70">
        <v>47.1813</v>
      </c>
      <c r="P70">
        <v>26.771000000000001</v>
      </c>
      <c r="Q70">
        <v>47.351700000000001</v>
      </c>
      <c r="R70">
        <v>2883.75</v>
      </c>
      <c r="T70" t="s">
        <v>112</v>
      </c>
      <c r="U70">
        <f t="shared" si="1"/>
        <v>15.734152542372886</v>
      </c>
      <c r="V70">
        <f t="shared" si="2"/>
        <v>15.878559322033905</v>
      </c>
      <c r="W70" s="7">
        <v>24.249999999999996</v>
      </c>
      <c r="X70" s="7">
        <v>24.249999999999996</v>
      </c>
      <c r="Y70" s="8">
        <v>36.159999999999997</v>
      </c>
      <c r="Z70" t="s">
        <v>112</v>
      </c>
      <c r="AA70">
        <f t="shared" si="4"/>
        <v>645.92899540822043</v>
      </c>
      <c r="AB70">
        <f t="shared" si="5"/>
        <v>630.56310283928826</v>
      </c>
      <c r="AC70">
        <f t="shared" si="6"/>
        <v>750.12811273921091</v>
      </c>
      <c r="AD70">
        <f t="shared" si="7"/>
        <v>666.93005767273553</v>
      </c>
      <c r="AE70">
        <f t="shared" si="8"/>
        <v>714.44068921814176</v>
      </c>
      <c r="AF70">
        <f t="shared" si="9"/>
        <v>609.78077571669473</v>
      </c>
      <c r="AG70">
        <f t="shared" si="10"/>
        <v>722.73152741661363</v>
      </c>
      <c r="AK70" s="11">
        <v>45689</v>
      </c>
      <c r="AL70">
        <v>75.44</v>
      </c>
      <c r="AM70">
        <f t="shared" si="3"/>
        <v>2727.9103999999998</v>
      </c>
    </row>
    <row r="71" spans="11:39" x14ac:dyDescent="0.2">
      <c r="K71" t="s">
        <v>30</v>
      </c>
      <c r="L71">
        <v>2025</v>
      </c>
      <c r="M71" t="s">
        <v>10</v>
      </c>
      <c r="N71" t="str">
        <f t="shared" si="0"/>
        <v>2025 Mart</v>
      </c>
      <c r="O71">
        <v>45.718000000000004</v>
      </c>
      <c r="P71">
        <v>26.911000000000001</v>
      </c>
      <c r="Q71">
        <v>46.3962</v>
      </c>
      <c r="R71">
        <v>2954.69</v>
      </c>
      <c r="T71" t="s">
        <v>113</v>
      </c>
      <c r="U71">
        <f t="shared" si="1"/>
        <v>14.410734463276842</v>
      </c>
      <c r="V71">
        <f t="shared" si="2"/>
        <v>14.985480225988706</v>
      </c>
      <c r="W71" s="7">
        <v>24.333333333333332</v>
      </c>
      <c r="X71" s="7">
        <v>24.333333333333332</v>
      </c>
      <c r="Y71" s="8">
        <v>37.04</v>
      </c>
      <c r="Z71" t="s">
        <v>113</v>
      </c>
      <c r="AA71">
        <f t="shared" si="4"/>
        <v>661.81879269795047</v>
      </c>
      <c r="AB71">
        <f t="shared" si="5"/>
        <v>577.52569850110967</v>
      </c>
      <c r="AC71">
        <f t="shared" si="6"/>
        <v>707.93765180025127</v>
      </c>
      <c r="AD71">
        <f t="shared" si="7"/>
        <v>646.2456180029402</v>
      </c>
      <c r="AE71">
        <f t="shared" si="8"/>
        <v>700.02414074051728</v>
      </c>
      <c r="AF71">
        <f t="shared" si="9"/>
        <v>624.6205733558179</v>
      </c>
      <c r="AG71">
        <f t="shared" si="10"/>
        <v>713.72591202150272</v>
      </c>
      <c r="AK71" s="11">
        <v>45717</v>
      </c>
      <c r="AL71">
        <v>72.73</v>
      </c>
      <c r="AM71">
        <f t="shared" si="3"/>
        <v>2693.9192000000003</v>
      </c>
    </row>
    <row r="72" spans="11:39" x14ac:dyDescent="0.2">
      <c r="K72" t="s">
        <v>30</v>
      </c>
      <c r="L72">
        <v>2025</v>
      </c>
      <c r="M72" t="s">
        <v>12</v>
      </c>
      <c r="N72" t="str">
        <f t="shared" si="0"/>
        <v>2025 Nisan</v>
      </c>
      <c r="O72">
        <v>46.136299999999999</v>
      </c>
      <c r="P72">
        <v>26.6065</v>
      </c>
      <c r="Q72">
        <v>45.842599999999997</v>
      </c>
      <c r="R72">
        <v>3043.23</v>
      </c>
      <c r="T72" t="s">
        <v>114</v>
      </c>
      <c r="U72">
        <f t="shared" si="1"/>
        <v>14.681892655367236</v>
      </c>
      <c r="V72">
        <f t="shared" si="2"/>
        <v>14.432994350282485</v>
      </c>
      <c r="W72" s="7">
        <v>24.416666666666664</v>
      </c>
      <c r="X72" s="7">
        <v>24.416666666666664</v>
      </c>
      <c r="Y72" s="8">
        <v>38.090000000000003</v>
      </c>
      <c r="Z72" t="s">
        <v>114</v>
      </c>
      <c r="AA72">
        <f t="shared" si="4"/>
        <v>681.65080076156346</v>
      </c>
      <c r="AB72">
        <f t="shared" si="5"/>
        <v>588.39265498347152</v>
      </c>
      <c r="AC72">
        <f t="shared" si="6"/>
        <v>681.83735020151062</v>
      </c>
      <c r="AD72">
        <f t="shared" si="7"/>
        <v>652.15848693882174</v>
      </c>
      <c r="AE72">
        <f t="shared" si="8"/>
        <v>691.6714445215606</v>
      </c>
      <c r="AF72">
        <f t="shared" si="9"/>
        <v>642.32715008431717</v>
      </c>
      <c r="AG72">
        <f t="shared" si="10"/>
        <v>687.53729356236488</v>
      </c>
      <c r="AK72" s="11">
        <v>45748</v>
      </c>
      <c r="AL72">
        <v>68.13</v>
      </c>
      <c r="AM72">
        <f t="shared" si="3"/>
        <v>2595.0717</v>
      </c>
    </row>
    <row r="73" spans="11:39" x14ac:dyDescent="0.2">
      <c r="K73" t="s">
        <v>30</v>
      </c>
      <c r="L73">
        <v>2025</v>
      </c>
      <c r="M73" t="s">
        <v>14</v>
      </c>
      <c r="N73" t="str">
        <f t="shared" ref="N73:N79" si="11">L73&amp;" "&amp;M73</f>
        <v>2025 Mayıs</v>
      </c>
      <c r="O73">
        <v>46.953600000000002</v>
      </c>
      <c r="P73">
        <v>25.387</v>
      </c>
      <c r="Q73">
        <v>46.066299999999998</v>
      </c>
      <c r="R73">
        <v>3089.74</v>
      </c>
      <c r="T73" t="s">
        <v>115</v>
      </c>
      <c r="U73">
        <f t="shared" si="1"/>
        <v>15.291186440677972</v>
      </c>
      <c r="V73">
        <f t="shared" si="2"/>
        <v>14.539237288135599</v>
      </c>
      <c r="W73" s="7">
        <v>24.499999999999996</v>
      </c>
      <c r="X73" s="7">
        <v>24.499999999999996</v>
      </c>
      <c r="Y73" s="8">
        <v>38.76</v>
      </c>
      <c r="Z73" t="s">
        <v>115</v>
      </c>
      <c r="AA73">
        <f t="shared" si="4"/>
        <v>692.06854071004591</v>
      </c>
      <c r="AB73">
        <f t="shared" si="5"/>
        <v>612.81075940768937</v>
      </c>
      <c r="AC73">
        <f t="shared" si="6"/>
        <v>686.85643366162253</v>
      </c>
      <c r="AD73">
        <f t="shared" si="7"/>
        <v>663.71141015492492</v>
      </c>
      <c r="AE73">
        <f t="shared" si="8"/>
        <v>695.04662180512389</v>
      </c>
      <c r="AF73">
        <f t="shared" si="9"/>
        <v>653.62563237774032</v>
      </c>
      <c r="AG73">
        <f t="shared" si="10"/>
        <v>661.84087991744491</v>
      </c>
      <c r="AK73" s="11">
        <v>45778</v>
      </c>
      <c r="AL73">
        <v>64.45</v>
      </c>
      <c r="AM73">
        <f t="shared" si="3"/>
        <v>2498.0819999999999</v>
      </c>
    </row>
    <row r="74" spans="11:39" x14ac:dyDescent="0.2">
      <c r="K74" t="s">
        <v>30</v>
      </c>
      <c r="L74">
        <v>2025</v>
      </c>
      <c r="M74" t="s">
        <v>16</v>
      </c>
      <c r="N74" t="str">
        <f t="shared" si="11"/>
        <v>2025 Haziran</v>
      </c>
      <c r="O74">
        <v>49.265999999999998</v>
      </c>
      <c r="P74">
        <v>24.325700000000001</v>
      </c>
      <c r="Q74">
        <v>49.358699999999999</v>
      </c>
      <c r="R74">
        <v>3132.17</v>
      </c>
      <c r="T74" t="s">
        <v>116</v>
      </c>
      <c r="U74">
        <f t="shared" ref="U74:U79" si="12">O74/1.18-W74</f>
        <v>17.167514124293785</v>
      </c>
      <c r="V74">
        <f t="shared" ref="V74:V79" si="13">Q74/1.18-X74</f>
        <v>17.246073446327689</v>
      </c>
      <c r="W74" s="7">
        <v>24.583333333333332</v>
      </c>
      <c r="X74" s="7">
        <v>24.583333333333332</v>
      </c>
      <c r="Y74" s="8">
        <v>39.409999999999997</v>
      </c>
      <c r="Z74" t="s">
        <v>116</v>
      </c>
      <c r="AA74">
        <f t="shared" si="4"/>
        <v>701.57240452458279</v>
      </c>
      <c r="AB74">
        <f t="shared" si="5"/>
        <v>688.00661142054958</v>
      </c>
      <c r="AC74">
        <f t="shared" si="6"/>
        <v>814.73163050150833</v>
      </c>
      <c r="AD74">
        <f t="shared" si="7"/>
        <v>696.39828112631449</v>
      </c>
      <c r="AE74">
        <f t="shared" si="8"/>
        <v>744.72223060442377</v>
      </c>
      <c r="AF74">
        <f t="shared" si="9"/>
        <v>664.58684654300168</v>
      </c>
      <c r="AG74">
        <f t="shared" si="10"/>
        <v>745.92434119453333</v>
      </c>
      <c r="AK74" s="11">
        <v>45809</v>
      </c>
      <c r="AL74">
        <v>71.44</v>
      </c>
      <c r="AM74">
        <f t="shared" ref="AM74:AM79" si="14">AL74*Y74</f>
        <v>2815.4503999999997</v>
      </c>
    </row>
    <row r="75" spans="11:39" x14ac:dyDescent="0.2">
      <c r="K75" t="s">
        <v>30</v>
      </c>
      <c r="L75">
        <v>2025</v>
      </c>
      <c r="M75" t="s">
        <v>18</v>
      </c>
      <c r="N75" t="str">
        <f t="shared" si="11"/>
        <v>2025 Temmuz</v>
      </c>
      <c r="O75">
        <v>51.946599999999997</v>
      </c>
      <c r="P75">
        <v>25.373699999999999</v>
      </c>
      <c r="Q75">
        <v>53.776200000000003</v>
      </c>
      <c r="R75">
        <v>3196.66</v>
      </c>
      <c r="T75" t="s">
        <v>117</v>
      </c>
      <c r="U75">
        <f t="shared" si="12"/>
        <v>19.35587570621469</v>
      </c>
      <c r="V75">
        <f t="shared" si="13"/>
        <v>20.906384180790965</v>
      </c>
      <c r="W75" s="7">
        <v>24.666666666666664</v>
      </c>
      <c r="X75" s="7">
        <v>24.666666666666664</v>
      </c>
      <c r="Y75" s="8">
        <v>40.18</v>
      </c>
      <c r="Z75" t="s">
        <v>117</v>
      </c>
      <c r="AA75">
        <f t="shared" ref="AA75:AA79" si="15">100*R75/$R$9</f>
        <v>716.01747116138426</v>
      </c>
      <c r="AB75">
        <f t="shared" ref="AB75:AB79" si="16">100*U75/$U$9</f>
        <v>775.7075578499298</v>
      </c>
      <c r="AC75">
        <f t="shared" ref="AC75:AC79" si="17">100*V75/$V$9</f>
        <v>987.65046574318762</v>
      </c>
      <c r="AD75">
        <f t="shared" ref="AD75:AD79" si="18">100*O75/$O$9</f>
        <v>734.28983376682118</v>
      </c>
      <c r="AE75">
        <f t="shared" ref="AE75:AE79" si="19">100*Q75/$Q$9</f>
        <v>811.3733063761731</v>
      </c>
      <c r="AF75">
        <f t="shared" ref="AF75:AF79" si="20">100*Y75/$Y$9</f>
        <v>677.57166947723442</v>
      </c>
      <c r="AG75">
        <f t="shared" ref="AG75:AG83" si="21">100*AM75/$AM$9</f>
        <v>756.24024194285539</v>
      </c>
      <c r="AK75" s="11">
        <v>45839</v>
      </c>
      <c r="AL75">
        <v>71.040000000000006</v>
      </c>
      <c r="AM75">
        <f t="shared" si="14"/>
        <v>2854.3872000000001</v>
      </c>
    </row>
    <row r="76" spans="11:39" x14ac:dyDescent="0.2">
      <c r="K76" t="s">
        <v>30</v>
      </c>
      <c r="L76">
        <v>2025</v>
      </c>
      <c r="M76" t="s">
        <v>20</v>
      </c>
      <c r="N76" t="str">
        <f t="shared" si="11"/>
        <v>2025 Ağustos</v>
      </c>
      <c r="O76">
        <v>52.474899999999998</v>
      </c>
      <c r="P76">
        <v>25.713200000000001</v>
      </c>
      <c r="Q76">
        <v>53.237900000000003</v>
      </c>
      <c r="R76">
        <v>3261.72</v>
      </c>
      <c r="T76" t="s">
        <v>118</v>
      </c>
      <c r="U76">
        <f t="shared" si="12"/>
        <v>19.720254237288138</v>
      </c>
      <c r="V76">
        <f t="shared" si="13"/>
        <v>20.366864406779669</v>
      </c>
      <c r="W76" s="7">
        <v>24.75</v>
      </c>
      <c r="X76" s="7">
        <v>24.75</v>
      </c>
      <c r="Y76" s="8">
        <v>40.799999999999997</v>
      </c>
      <c r="Z76" t="s">
        <v>118</v>
      </c>
      <c r="AA76">
        <f t="shared" si="15"/>
        <v>730.59021166983985</v>
      </c>
      <c r="AB76">
        <f t="shared" si="16"/>
        <v>790.31041977992118</v>
      </c>
      <c r="AC76">
        <f t="shared" si="17"/>
        <v>962.16270317879776</v>
      </c>
      <c r="AD76">
        <f t="shared" si="18"/>
        <v>741.75760488521996</v>
      </c>
      <c r="AE76">
        <f t="shared" si="19"/>
        <v>803.25145598841243</v>
      </c>
      <c r="AF76">
        <f t="shared" si="20"/>
        <v>688.02698145025295</v>
      </c>
      <c r="AG76">
        <f t="shared" si="21"/>
        <v>733.64322436808595</v>
      </c>
      <c r="AK76" s="11">
        <v>45870</v>
      </c>
      <c r="AL76">
        <v>67.87</v>
      </c>
      <c r="AM76">
        <f t="shared" si="14"/>
        <v>2769.096</v>
      </c>
    </row>
    <row r="77" spans="11:39" x14ac:dyDescent="0.2">
      <c r="K77" t="s">
        <v>30</v>
      </c>
      <c r="L77">
        <v>2025</v>
      </c>
      <c r="M77" t="s">
        <v>22</v>
      </c>
      <c r="N77" t="str">
        <f t="shared" si="11"/>
        <v>2025 Eylül</v>
      </c>
      <c r="O77">
        <v>54.019300000000001</v>
      </c>
      <c r="P77">
        <v>25.664300000000001</v>
      </c>
      <c r="Q77">
        <v>54.812899999999999</v>
      </c>
      <c r="R77">
        <v>3367.22</v>
      </c>
      <c r="T77" t="s">
        <v>119</v>
      </c>
      <c r="U77">
        <f t="shared" si="12"/>
        <v>20.945734463276839</v>
      </c>
      <c r="V77">
        <f t="shared" si="13"/>
        <v>21.618276836158191</v>
      </c>
      <c r="W77" s="7">
        <v>24.833333333333332</v>
      </c>
      <c r="X77" s="7">
        <v>24.833333333333332</v>
      </c>
      <c r="Y77" s="8">
        <v>41.29</v>
      </c>
      <c r="Z77" t="s">
        <v>119</v>
      </c>
      <c r="AA77">
        <f t="shared" si="15"/>
        <v>754.22107738828538</v>
      </c>
      <c r="AB77">
        <f t="shared" si="16"/>
        <v>839.42285921296934</v>
      </c>
      <c r="AC77">
        <f t="shared" si="17"/>
        <v>1021.2813942936452</v>
      </c>
      <c r="AD77">
        <f t="shared" si="18"/>
        <v>763.58843152776217</v>
      </c>
      <c r="AE77">
        <f t="shared" si="19"/>
        <v>827.01499743504633</v>
      </c>
      <c r="AF77">
        <f t="shared" si="20"/>
        <v>696.29005059021927</v>
      </c>
      <c r="AG77">
        <f t="shared" si="21"/>
        <v>743.76685843879034</v>
      </c>
      <c r="AK77" s="11">
        <v>45901</v>
      </c>
      <c r="AL77">
        <v>67.989999999999995</v>
      </c>
      <c r="AM77">
        <f t="shared" si="14"/>
        <v>2807.3070999999995</v>
      </c>
    </row>
    <row r="78" spans="11:39" x14ac:dyDescent="0.2">
      <c r="K78" t="s">
        <v>30</v>
      </c>
      <c r="L78">
        <v>2025</v>
      </c>
      <c r="M78" t="s">
        <v>24</v>
      </c>
      <c r="N78" t="str">
        <f t="shared" si="11"/>
        <v>2025 Ekim</v>
      </c>
      <c r="O78">
        <v>53.504100000000001</v>
      </c>
      <c r="P78">
        <v>26.907299999999999</v>
      </c>
      <c r="Q78">
        <v>54.441099999999999</v>
      </c>
      <c r="R78">
        <v>3453.09</v>
      </c>
      <c r="T78" t="s">
        <v>120</v>
      </c>
      <c r="U78">
        <f t="shared" si="12"/>
        <v>20.425790960451984</v>
      </c>
      <c r="V78">
        <f t="shared" si="13"/>
        <v>21.219858757062148</v>
      </c>
      <c r="W78" s="7">
        <v>24.916666666666664</v>
      </c>
      <c r="X78" s="7">
        <v>24.916666666666664</v>
      </c>
      <c r="Y78" s="8">
        <v>41.81</v>
      </c>
      <c r="Z78" t="s">
        <v>120</v>
      </c>
      <c r="AA78">
        <f t="shared" si="15"/>
        <v>773.45503415836038</v>
      </c>
      <c r="AB78">
        <f t="shared" si="16"/>
        <v>818.58556355567646</v>
      </c>
      <c r="AC78">
        <f t="shared" si="17"/>
        <v>1002.4594976913019</v>
      </c>
      <c r="AD78">
        <f t="shared" si="18"/>
        <v>756.3058351238268</v>
      </c>
      <c r="AE78">
        <f t="shared" si="19"/>
        <v>821.4052928573584</v>
      </c>
      <c r="AF78">
        <f t="shared" si="20"/>
        <v>705.05902192242831</v>
      </c>
      <c r="AG78">
        <f t="shared" si="21"/>
        <v>714.91766339157175</v>
      </c>
      <c r="AK78" s="11">
        <v>45931</v>
      </c>
      <c r="AL78">
        <v>64.540000000000006</v>
      </c>
      <c r="AM78">
        <f t="shared" si="14"/>
        <v>2698.4174000000003</v>
      </c>
    </row>
    <row r="79" spans="11:39" x14ac:dyDescent="0.2">
      <c r="K79" t="s">
        <v>30</v>
      </c>
      <c r="L79">
        <v>2025</v>
      </c>
      <c r="M79" t="s">
        <v>26</v>
      </c>
      <c r="N79" t="str">
        <f t="shared" si="11"/>
        <v>2025 Kasım</v>
      </c>
      <c r="O79">
        <v>55.258099999999999</v>
      </c>
      <c r="P79">
        <v>26.920500000000001</v>
      </c>
      <c r="Q79">
        <v>58.0045</v>
      </c>
      <c r="R79">
        <v>3482.96</v>
      </c>
      <c r="T79" t="s">
        <v>121</v>
      </c>
      <c r="U79">
        <f t="shared" si="12"/>
        <v>21.828898305084749</v>
      </c>
      <c r="V79">
        <f t="shared" si="13"/>
        <v>24.15635593220339</v>
      </c>
      <c r="W79" s="7">
        <v>25</v>
      </c>
      <c r="X79" s="7">
        <v>25</v>
      </c>
      <c r="Y79" s="8">
        <v>42.26</v>
      </c>
      <c r="Z79" t="s">
        <v>121</v>
      </c>
      <c r="AA79">
        <f t="shared" si="15"/>
        <v>780.14559301153542</v>
      </c>
      <c r="AB79">
        <f t="shared" si="16"/>
        <v>874.81660100529825</v>
      </c>
      <c r="AC79">
        <f t="shared" si="17"/>
        <v>1141.1842421330773</v>
      </c>
      <c r="AD79">
        <f t="shared" si="18"/>
        <v>781.09945719778352</v>
      </c>
      <c r="AE79">
        <f t="shared" si="19"/>
        <v>875.16973958176163</v>
      </c>
      <c r="AF79">
        <f t="shared" si="20"/>
        <v>712.64755480607084</v>
      </c>
      <c r="AG79">
        <f t="shared" si="21"/>
        <v>714.32700701692579</v>
      </c>
      <c r="AK79" s="11">
        <v>45962</v>
      </c>
      <c r="AL79">
        <v>63.8</v>
      </c>
      <c r="AM79">
        <f t="shared" si="14"/>
        <v>2696.1879999999996</v>
      </c>
    </row>
    <row r="80" spans="11:39" x14ac:dyDescent="0.2">
      <c r="Y80" s="8"/>
      <c r="AA80" t="s">
        <v>50</v>
      </c>
      <c r="AB80" t="s">
        <v>2</v>
      </c>
      <c r="AC80" t="s">
        <v>4</v>
      </c>
      <c r="AD80" t="s">
        <v>122</v>
      </c>
      <c r="AE80" t="s">
        <v>123</v>
      </c>
      <c r="AF80" t="s">
        <v>125</v>
      </c>
    </row>
    <row r="81" spans="28:30" x14ac:dyDescent="0.2">
      <c r="AB81">
        <f>AB79/AD79</f>
        <v>1.1199810637991321</v>
      </c>
      <c r="AC81">
        <f>AC79/AE79</f>
        <v>1.3039576101870733</v>
      </c>
    </row>
    <row r="82" spans="28:30" x14ac:dyDescent="0.2">
      <c r="AB82" s="5">
        <v>0.3</v>
      </c>
      <c r="AC82" s="5">
        <v>0.3</v>
      </c>
    </row>
    <row r="83" spans="28:30" ht="17" thickBot="1" x14ac:dyDescent="0.25">
      <c r="AB83" s="10">
        <f>AB82*AD83/100</f>
        <v>9.9836999999999999E-3</v>
      </c>
      <c r="AC83" s="10">
        <f>AC82*AD83/100</f>
        <v>9.9836999999999999E-3</v>
      </c>
      <c r="AD83" s="9">
        <v>3.3279000000000001</v>
      </c>
    </row>
  </sheetData>
  <sortState xmlns:xlrd2="http://schemas.microsoft.com/office/spreadsheetml/2017/richdata2" ref="AK9:AL79">
    <sortCondition ref="AK9:AK7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3496-97DC-104A-A4E7-FDAAD520A020}">
  <dimension ref="D8:L83"/>
  <sheetViews>
    <sheetView tabSelected="1" topLeftCell="C1" zoomScale="159" workbookViewId="0">
      <selection activeCell="P36" sqref="P36"/>
    </sheetView>
  </sheetViews>
  <sheetFormatPr baseColWidth="10" defaultRowHeight="16" x14ac:dyDescent="0.2"/>
  <sheetData>
    <row r="8" spans="4:12" x14ac:dyDescent="0.2">
      <c r="E8" t="s">
        <v>122</v>
      </c>
      <c r="F8" t="s">
        <v>123</v>
      </c>
      <c r="G8" t="s">
        <v>128</v>
      </c>
      <c r="J8" t="s">
        <v>2</v>
      </c>
      <c r="K8" t="s">
        <v>4</v>
      </c>
      <c r="L8" t="s">
        <v>128</v>
      </c>
    </row>
    <row r="9" spans="4:12" x14ac:dyDescent="0.2">
      <c r="D9" t="s">
        <v>51</v>
      </c>
      <c r="E9">
        <v>100</v>
      </c>
      <c r="F9">
        <v>100</v>
      </c>
      <c r="G9">
        <v>100</v>
      </c>
      <c r="I9" t="s">
        <v>51</v>
      </c>
      <c r="J9">
        <v>100</v>
      </c>
      <c r="K9">
        <v>100</v>
      </c>
      <c r="L9">
        <v>100</v>
      </c>
    </row>
    <row r="10" spans="4:12" x14ac:dyDescent="0.2">
      <c r="D10" t="s">
        <v>52</v>
      </c>
      <c r="E10">
        <v>96.320536017188729</v>
      </c>
      <c r="F10">
        <v>97.412414375810982</v>
      </c>
      <c r="G10">
        <v>89.364025704441303</v>
      </c>
      <c r="I10" t="s">
        <v>52</v>
      </c>
      <c r="J10">
        <v>87.151881537834512</v>
      </c>
      <c r="K10">
        <v>88.40980062454959</v>
      </c>
      <c r="L10">
        <v>89.364025704441303</v>
      </c>
    </row>
    <row r="11" spans="4:12" x14ac:dyDescent="0.2">
      <c r="D11" t="s">
        <v>53</v>
      </c>
      <c r="E11">
        <v>82.534207848015384</v>
      </c>
      <c r="F11">
        <v>87.760644557771812</v>
      </c>
      <c r="G11">
        <v>53.682938816170335</v>
      </c>
      <c r="I11" t="s">
        <v>53</v>
      </c>
      <c r="J11">
        <v>50.020377666077977</v>
      </c>
      <c r="K11">
        <v>58.07510609336218</v>
      </c>
      <c r="L11">
        <v>53.682938816170335</v>
      </c>
    </row>
    <row r="12" spans="4:12" x14ac:dyDescent="0.2">
      <c r="D12" t="s">
        <v>54</v>
      </c>
      <c r="E12">
        <v>74.018998077575489</v>
      </c>
      <c r="F12">
        <v>79.63275898488186</v>
      </c>
      <c r="G12">
        <v>33.259300373962269</v>
      </c>
      <c r="I12" t="s">
        <v>54</v>
      </c>
      <c r="J12">
        <v>25.553593261785092</v>
      </c>
      <c r="K12">
        <v>31.783969893506299</v>
      </c>
      <c r="L12">
        <v>33.259300373962269</v>
      </c>
    </row>
    <row r="13" spans="4:12" x14ac:dyDescent="0.2">
      <c r="D13" t="s">
        <v>55</v>
      </c>
      <c r="E13">
        <v>81.017471446341744</v>
      </c>
      <c r="F13">
        <v>81.473490449319542</v>
      </c>
      <c r="G13">
        <v>54.176123906958516</v>
      </c>
      <c r="I13" t="s">
        <v>55</v>
      </c>
      <c r="J13">
        <v>38.360956391794588</v>
      </c>
      <c r="K13">
        <v>31.944110817519419</v>
      </c>
      <c r="L13">
        <v>54.176123906958516</v>
      </c>
    </row>
    <row r="14" spans="4:12" x14ac:dyDescent="0.2">
      <c r="D14" t="s">
        <v>56</v>
      </c>
      <c r="E14">
        <v>87.13389121338912</v>
      </c>
      <c r="F14">
        <v>86.757295030025048</v>
      </c>
      <c r="G14">
        <v>72.763386405153625</v>
      </c>
      <c r="I14" t="s">
        <v>56</v>
      </c>
      <c r="J14">
        <v>49.049042249694338</v>
      </c>
      <c r="K14">
        <v>41.240291456481714</v>
      </c>
      <c r="L14">
        <v>72.763386405153625</v>
      </c>
    </row>
    <row r="15" spans="4:12" x14ac:dyDescent="0.2">
      <c r="D15" t="s">
        <v>57</v>
      </c>
      <c r="E15">
        <v>90.879791925817031</v>
      </c>
      <c r="F15">
        <v>90.642445457014404</v>
      </c>
      <c r="G15">
        <v>78.588083810997404</v>
      </c>
      <c r="I15" t="s">
        <v>57</v>
      </c>
      <c r="J15">
        <v>54.041570438799084</v>
      </c>
      <c r="K15">
        <v>46.825206181439711</v>
      </c>
      <c r="L15">
        <v>78.588083810997404</v>
      </c>
    </row>
    <row r="16" spans="4:12" x14ac:dyDescent="0.2">
      <c r="D16" t="s">
        <v>58</v>
      </c>
      <c r="E16">
        <v>93.804421576388108</v>
      </c>
      <c r="F16">
        <v>92.999185250007542</v>
      </c>
      <c r="G16">
        <v>86.174205744155771</v>
      </c>
      <c r="I16" t="s">
        <v>58</v>
      </c>
      <c r="J16">
        <v>57.06086129601956</v>
      </c>
      <c r="K16">
        <v>48.3545520057651</v>
      </c>
      <c r="L16">
        <v>86.174205744155771</v>
      </c>
    </row>
    <row r="17" spans="4:12" x14ac:dyDescent="0.2">
      <c r="D17" t="s">
        <v>59</v>
      </c>
      <c r="E17">
        <v>95.855478909872218</v>
      </c>
      <c r="F17">
        <v>90.787289900117699</v>
      </c>
      <c r="G17">
        <v>81.506870546530692</v>
      </c>
      <c r="I17" t="s">
        <v>59</v>
      </c>
      <c r="J17">
        <v>57.981252547208278</v>
      </c>
      <c r="K17">
        <v>37.761229882296448</v>
      </c>
      <c r="L17">
        <v>81.506870546530692</v>
      </c>
    </row>
    <row r="18" spans="4:12" x14ac:dyDescent="0.2">
      <c r="D18" t="s">
        <v>60</v>
      </c>
      <c r="E18">
        <v>96.983489765916545</v>
      </c>
      <c r="F18">
        <v>93.174205618757355</v>
      </c>
      <c r="G18">
        <v>84.012113039135556</v>
      </c>
      <c r="I18" t="s">
        <v>60</v>
      </c>
      <c r="J18">
        <v>56.683874473576957</v>
      </c>
      <c r="K18">
        <v>39.370646168628362</v>
      </c>
      <c r="L18">
        <v>84.012113039135556</v>
      </c>
    </row>
    <row r="19" spans="4:12" x14ac:dyDescent="0.2">
      <c r="D19" t="s">
        <v>61</v>
      </c>
      <c r="E19">
        <v>96.999038787741725</v>
      </c>
      <c r="F19">
        <v>96.510154198980061</v>
      </c>
      <c r="G19">
        <v>90.708382291966103</v>
      </c>
      <c r="I19" t="s">
        <v>61</v>
      </c>
      <c r="J19">
        <v>52.713625866050812</v>
      </c>
      <c r="K19">
        <v>43.498278485066841</v>
      </c>
      <c r="L19">
        <v>90.708382291966103</v>
      </c>
    </row>
    <row r="20" spans="4:12" x14ac:dyDescent="0.2">
      <c r="D20" t="s">
        <v>62</v>
      </c>
      <c r="E20">
        <v>102.08639601945042</v>
      </c>
      <c r="F20">
        <v>101.03050786082864</v>
      </c>
      <c r="G20">
        <v>102.37868083916976</v>
      </c>
      <c r="I20" t="s">
        <v>62</v>
      </c>
      <c r="J20">
        <v>71.616175338495708</v>
      </c>
      <c r="K20">
        <v>63.366429124296126</v>
      </c>
      <c r="L20">
        <v>102.37868083916976</v>
      </c>
    </row>
    <row r="21" spans="4:12" x14ac:dyDescent="0.2">
      <c r="D21" t="s">
        <v>63</v>
      </c>
      <c r="E21">
        <v>103.40664932715143</v>
      </c>
      <c r="F21">
        <v>101.365460635505</v>
      </c>
      <c r="G21">
        <v>107.52460295487153</v>
      </c>
      <c r="I21" t="s">
        <v>63</v>
      </c>
      <c r="J21">
        <v>81.46764479463846</v>
      </c>
      <c r="K21">
        <v>72.128806683214606</v>
      </c>
      <c r="L21">
        <v>107.52460295487153</v>
      </c>
    </row>
    <row r="22" spans="4:12" x14ac:dyDescent="0.2">
      <c r="D22" t="s">
        <v>64</v>
      </c>
      <c r="E22">
        <v>103.6314033698971</v>
      </c>
      <c r="F22">
        <v>101.57518331874832</v>
      </c>
      <c r="G22">
        <v>116.98811348423413</v>
      </c>
      <c r="I22" t="s">
        <v>64</v>
      </c>
      <c r="J22">
        <v>88.686999049042285</v>
      </c>
      <c r="K22">
        <v>80.558891824805897</v>
      </c>
      <c r="L22">
        <v>116.98811348423413</v>
      </c>
    </row>
    <row r="23" spans="4:12" x14ac:dyDescent="0.2">
      <c r="D23" t="s">
        <v>65</v>
      </c>
      <c r="E23">
        <v>102.67160465905236</v>
      </c>
      <c r="F23">
        <v>100.36361990404058</v>
      </c>
      <c r="G23">
        <v>132.39890897867102</v>
      </c>
      <c r="I23" t="s">
        <v>65</v>
      </c>
      <c r="J23">
        <v>93.060272607888479</v>
      </c>
      <c r="K23">
        <v>85.217658205887915</v>
      </c>
      <c r="L23">
        <v>132.39890897867102</v>
      </c>
    </row>
    <row r="24" spans="4:12" x14ac:dyDescent="0.2">
      <c r="D24" t="s">
        <v>66</v>
      </c>
      <c r="E24">
        <v>101.22413208187265</v>
      </c>
      <c r="F24">
        <v>98.596819457436865</v>
      </c>
      <c r="G24">
        <v>140.28491606050693</v>
      </c>
      <c r="I24" t="s">
        <v>66</v>
      </c>
      <c r="J24">
        <v>96.261830367250866</v>
      </c>
      <c r="K24">
        <v>88.403128086049151</v>
      </c>
      <c r="L24">
        <v>140.28491606050693</v>
      </c>
    </row>
    <row r="25" spans="4:12" x14ac:dyDescent="0.2">
      <c r="D25" t="s">
        <v>67</v>
      </c>
      <c r="E25">
        <v>104.7777903426439</v>
      </c>
      <c r="F25">
        <v>103.07643561966263</v>
      </c>
      <c r="G25">
        <v>151.78676600135915</v>
      </c>
      <c r="I25" t="s">
        <v>67</v>
      </c>
      <c r="J25">
        <v>111.47941855726131</v>
      </c>
      <c r="K25">
        <v>108.16318360156947</v>
      </c>
      <c r="L25">
        <v>151.78676600135915</v>
      </c>
    </row>
    <row r="26" spans="4:12" x14ac:dyDescent="0.2">
      <c r="D26" t="s">
        <v>68</v>
      </c>
      <c r="E26">
        <v>110.58322967318784</v>
      </c>
      <c r="F26">
        <v>110.49971332870636</v>
      </c>
      <c r="G26">
        <v>166.88747617199348</v>
      </c>
      <c r="I26" t="s">
        <v>68</v>
      </c>
      <c r="J26">
        <v>132.10727709097503</v>
      </c>
      <c r="K26">
        <v>135.73411268583033</v>
      </c>
      <c r="L26">
        <v>166.88747617199348</v>
      </c>
    </row>
    <row r="27" spans="4:12" x14ac:dyDescent="0.2">
      <c r="D27" t="s">
        <v>69</v>
      </c>
      <c r="E27">
        <v>110.81787854800406</v>
      </c>
      <c r="F27">
        <v>110.57515314282266</v>
      </c>
      <c r="G27">
        <v>171.87085783472807</v>
      </c>
      <c r="I27" t="s">
        <v>69</v>
      </c>
      <c r="J27">
        <v>139.35040528913652</v>
      </c>
      <c r="K27">
        <v>143.80788427149238</v>
      </c>
      <c r="L27">
        <v>171.87085783472807</v>
      </c>
    </row>
    <row r="28" spans="4:12" x14ac:dyDescent="0.2">
      <c r="D28" t="s">
        <v>70</v>
      </c>
      <c r="E28">
        <v>110.84049530702251</v>
      </c>
      <c r="F28">
        <v>111.21790035909352</v>
      </c>
      <c r="G28">
        <v>159.14061537524063</v>
      </c>
      <c r="I28" t="s">
        <v>70</v>
      </c>
      <c r="J28">
        <v>146.08409183534857</v>
      </c>
      <c r="K28">
        <v>153.38698054287786</v>
      </c>
      <c r="L28">
        <v>159.14061537524063</v>
      </c>
    </row>
    <row r="29" spans="4:12" x14ac:dyDescent="0.2">
      <c r="D29" t="s">
        <v>71</v>
      </c>
      <c r="E29">
        <v>111.01436164197671</v>
      </c>
      <c r="F29">
        <v>111.40348230181962</v>
      </c>
      <c r="G29">
        <v>168.34255102405785</v>
      </c>
      <c r="I29" t="s">
        <v>71</v>
      </c>
      <c r="J29">
        <v>153.18118009328452</v>
      </c>
      <c r="K29">
        <v>161.75300931486393</v>
      </c>
      <c r="L29">
        <v>168.34255102405785</v>
      </c>
    </row>
    <row r="30" spans="4:12" x14ac:dyDescent="0.2">
      <c r="D30" t="s">
        <v>72</v>
      </c>
      <c r="E30">
        <v>113.67324437408121</v>
      </c>
      <c r="F30">
        <v>118.7905489000875</v>
      </c>
      <c r="G30">
        <v>202.7387867620273</v>
      </c>
      <c r="I30" t="s">
        <v>72</v>
      </c>
      <c r="J30">
        <v>166.24892451206824</v>
      </c>
      <c r="K30">
        <v>189.22785384471689</v>
      </c>
      <c r="L30">
        <v>202.7387867620273</v>
      </c>
    </row>
    <row r="31" spans="4:12" x14ac:dyDescent="0.2">
      <c r="D31" t="s">
        <v>73</v>
      </c>
      <c r="E31">
        <v>122.91219043311094</v>
      </c>
      <c r="F31">
        <v>130.8262168442017</v>
      </c>
      <c r="G31">
        <v>226.32916892417299</v>
      </c>
      <c r="I31" t="s">
        <v>73</v>
      </c>
      <c r="J31">
        <v>195.12634152968363</v>
      </c>
      <c r="K31">
        <v>229.03755304668127</v>
      </c>
      <c r="L31">
        <v>226.32916892417299</v>
      </c>
    </row>
    <row r="32" spans="4:12" x14ac:dyDescent="0.2">
      <c r="D32" t="s">
        <v>74</v>
      </c>
      <c r="E32">
        <v>152.64333371027934</v>
      </c>
      <c r="F32">
        <v>161.11379341561303</v>
      </c>
      <c r="G32">
        <v>266.265238995402</v>
      </c>
      <c r="I32" t="s">
        <v>74</v>
      </c>
      <c r="J32">
        <v>248.06359921833362</v>
      </c>
      <c r="K32">
        <v>287.60047303165254</v>
      </c>
      <c r="L32">
        <v>266.265238995402</v>
      </c>
    </row>
    <row r="33" spans="4:12" x14ac:dyDescent="0.2">
      <c r="D33" t="s">
        <v>75</v>
      </c>
      <c r="E33">
        <v>193.82138414565193</v>
      </c>
      <c r="F33">
        <v>208.89586288059388</v>
      </c>
      <c r="G33">
        <v>310.33579771330619</v>
      </c>
      <c r="I33" t="s">
        <v>75</v>
      </c>
      <c r="J33">
        <v>328.50391355689538</v>
      </c>
      <c r="K33">
        <v>392.5842433649305</v>
      </c>
      <c r="L33">
        <v>310.33579771330619</v>
      </c>
    </row>
    <row r="34" spans="4:12" x14ac:dyDescent="0.2">
      <c r="D34" t="s">
        <v>76</v>
      </c>
      <c r="E34">
        <v>215.47269026348525</v>
      </c>
      <c r="F34">
        <v>234.02033857388577</v>
      </c>
      <c r="G34">
        <v>351.26343078253888</v>
      </c>
      <c r="I34" t="s">
        <v>76</v>
      </c>
      <c r="J34">
        <v>362.0280480285914</v>
      </c>
      <c r="K34">
        <v>437.44710730057835</v>
      </c>
      <c r="L34">
        <v>351.26343078253888</v>
      </c>
    </row>
    <row r="35" spans="4:12" x14ac:dyDescent="0.2">
      <c r="D35" t="s">
        <v>77</v>
      </c>
      <c r="E35">
        <v>268.05948207621844</v>
      </c>
      <c r="F35">
        <v>310.4861341621654</v>
      </c>
      <c r="G35">
        <v>453.22623591018021</v>
      </c>
      <c r="I35" t="s">
        <v>77</v>
      </c>
      <c r="J35">
        <v>469.879719519714</v>
      </c>
      <c r="K35">
        <v>618.54185529419726</v>
      </c>
      <c r="L35">
        <v>453.22623591018021</v>
      </c>
    </row>
    <row r="36" spans="4:12" x14ac:dyDescent="0.2">
      <c r="D36" t="s">
        <v>78</v>
      </c>
      <c r="E36">
        <v>271.05478909872215</v>
      </c>
      <c r="F36">
        <v>324.37762153354055</v>
      </c>
      <c r="G36">
        <v>407.57563032445842</v>
      </c>
      <c r="I36" t="s">
        <v>78</v>
      </c>
      <c r="J36">
        <v>458.5797811752164</v>
      </c>
      <c r="K36">
        <v>633.59848974790123</v>
      </c>
      <c r="L36">
        <v>407.57563032445842</v>
      </c>
    </row>
    <row r="37" spans="4:12" x14ac:dyDescent="0.2">
      <c r="D37" t="s">
        <v>79</v>
      </c>
      <c r="E37">
        <v>304.12897206830263</v>
      </c>
      <c r="F37">
        <v>335.08253115664326</v>
      </c>
      <c r="G37">
        <v>469.94220342328481</v>
      </c>
      <c r="I37" t="s">
        <v>79</v>
      </c>
      <c r="J37">
        <v>519.54923557626978</v>
      </c>
      <c r="K37">
        <v>640.1996834137118</v>
      </c>
      <c r="L37">
        <v>469.94220342328481</v>
      </c>
    </row>
    <row r="38" spans="4:12" x14ac:dyDescent="0.2">
      <c r="D38" t="s">
        <v>80</v>
      </c>
      <c r="E38">
        <v>382.81833088318444</v>
      </c>
      <c r="F38">
        <v>422.11895349889858</v>
      </c>
      <c r="G38">
        <v>552.68257982299383</v>
      </c>
      <c r="I38" t="s">
        <v>80</v>
      </c>
      <c r="J38">
        <v>690.11657070005106</v>
      </c>
      <c r="K38">
        <v>849.34311424823079</v>
      </c>
      <c r="L38">
        <v>552.68257982299383</v>
      </c>
    </row>
    <row r="39" spans="4:12" x14ac:dyDescent="0.2">
      <c r="D39" t="s">
        <v>81</v>
      </c>
      <c r="E39">
        <v>347.80900147008936</v>
      </c>
      <c r="F39">
        <v>392.67781164187215</v>
      </c>
      <c r="G39">
        <v>516.58471642850816</v>
      </c>
      <c r="I39" t="s">
        <v>81</v>
      </c>
      <c r="J39">
        <v>587.50431066013164</v>
      </c>
      <c r="K39">
        <v>749.41856526050617</v>
      </c>
      <c r="L39">
        <v>516.58471642850816</v>
      </c>
    </row>
    <row r="40" spans="4:12" x14ac:dyDescent="0.2">
      <c r="D40" t="s">
        <v>82</v>
      </c>
      <c r="E40">
        <v>296.72198348976593</v>
      </c>
      <c r="F40">
        <v>363.03449108301396</v>
      </c>
      <c r="G40">
        <v>479.83571094558283</v>
      </c>
      <c r="I40" t="s">
        <v>82</v>
      </c>
      <c r="J40">
        <v>446.26278829172435</v>
      </c>
      <c r="K40">
        <v>648.9575441773377</v>
      </c>
      <c r="L40">
        <v>479.83571094558283</v>
      </c>
    </row>
    <row r="41" spans="4:12" x14ac:dyDescent="0.2">
      <c r="D41" t="s">
        <v>83</v>
      </c>
      <c r="E41">
        <v>274.09250254438541</v>
      </c>
      <c r="F41">
        <v>374.91626180633091</v>
      </c>
      <c r="G41">
        <v>435.42973867681212</v>
      </c>
      <c r="I41" t="s">
        <v>83</v>
      </c>
      <c r="J41">
        <v>373.39512817029441</v>
      </c>
      <c r="K41">
        <v>658.6814858614041</v>
      </c>
      <c r="L41">
        <v>435.42973867681212</v>
      </c>
    </row>
    <row r="42" spans="4:12" x14ac:dyDescent="0.2">
      <c r="D42" t="s">
        <v>84</v>
      </c>
      <c r="E42">
        <v>289.41959742168945</v>
      </c>
      <c r="F42">
        <v>396.24460605329068</v>
      </c>
      <c r="G42">
        <v>459.91874302049717</v>
      </c>
      <c r="I42" t="s">
        <v>84</v>
      </c>
      <c r="J42">
        <v>391.72431630317772</v>
      </c>
      <c r="K42">
        <v>693.47148567662623</v>
      </c>
      <c r="L42">
        <v>459.91874302049717</v>
      </c>
    </row>
    <row r="43" spans="4:12" x14ac:dyDescent="0.2">
      <c r="D43" t="s">
        <v>85</v>
      </c>
      <c r="E43">
        <v>308.55196200384484</v>
      </c>
      <c r="F43">
        <v>383.58580524457591</v>
      </c>
      <c r="G43">
        <v>450.99091389595037</v>
      </c>
      <c r="I43" t="s">
        <v>85</v>
      </c>
      <c r="J43">
        <v>419.19628394971392</v>
      </c>
      <c r="K43">
        <v>638.07812413385307</v>
      </c>
      <c r="L43">
        <v>450.99091389595037</v>
      </c>
    </row>
    <row r="44" spans="4:12" x14ac:dyDescent="0.2">
      <c r="D44" t="s">
        <v>86</v>
      </c>
      <c r="E44">
        <v>265.72430170756536</v>
      </c>
      <c r="F44">
        <v>335.80071818703038</v>
      </c>
      <c r="G44">
        <v>400.26451571025683</v>
      </c>
      <c r="I44" t="s">
        <v>86</v>
      </c>
      <c r="J44">
        <v>297.79921206357807</v>
      </c>
      <c r="K44">
        <v>489.47874129233696</v>
      </c>
      <c r="L44">
        <v>400.26451571025683</v>
      </c>
    </row>
    <row r="45" spans="4:12" x14ac:dyDescent="0.2">
      <c r="D45" t="s">
        <v>87</v>
      </c>
      <c r="E45">
        <v>287.06604093633382</v>
      </c>
      <c r="F45">
        <v>346.08920003621114</v>
      </c>
      <c r="G45">
        <v>410.70276557215703</v>
      </c>
      <c r="I45" t="s">
        <v>87</v>
      </c>
      <c r="J45">
        <v>318.10833508293081</v>
      </c>
      <c r="K45">
        <v>480.27391377139151</v>
      </c>
      <c r="L45">
        <v>410.70276557215703</v>
      </c>
    </row>
    <row r="46" spans="4:12" x14ac:dyDescent="0.2">
      <c r="D46" t="s">
        <v>88</v>
      </c>
      <c r="E46">
        <v>296.41807079045572</v>
      </c>
      <c r="F46">
        <v>324.10452940643961</v>
      </c>
      <c r="G46">
        <v>412.68250034110986</v>
      </c>
      <c r="I46" t="s">
        <v>88</v>
      </c>
      <c r="J46">
        <v>309.61023082338113</v>
      </c>
      <c r="K46">
        <v>385.43372713442375</v>
      </c>
      <c r="L46">
        <v>412.68250034110986</v>
      </c>
    </row>
    <row r="47" spans="4:12" x14ac:dyDescent="0.2">
      <c r="D47" t="s">
        <v>89</v>
      </c>
      <c r="E47">
        <v>295.63637905688114</v>
      </c>
      <c r="F47">
        <v>321.09900721204622</v>
      </c>
      <c r="G47">
        <v>394.80506405577512</v>
      </c>
      <c r="I47" t="s">
        <v>89</v>
      </c>
      <c r="J47">
        <v>276.76421187832671</v>
      </c>
      <c r="K47">
        <v>340.95385757648558</v>
      </c>
      <c r="L47">
        <v>394.80506405577512</v>
      </c>
    </row>
    <row r="48" spans="4:12" x14ac:dyDescent="0.2">
      <c r="D48" t="s">
        <v>90</v>
      </c>
      <c r="E48">
        <v>316.81131968788873</v>
      </c>
      <c r="F48">
        <v>318.59893177223216</v>
      </c>
      <c r="G48">
        <v>433.68961529443408</v>
      </c>
      <c r="I48" t="s">
        <v>90</v>
      </c>
      <c r="J48">
        <v>296.67257413147917</v>
      </c>
      <c r="K48">
        <v>297.81516825715715</v>
      </c>
      <c r="L48">
        <v>433.68961529443408</v>
      </c>
    </row>
    <row r="49" spans="4:12" x14ac:dyDescent="0.2">
      <c r="D49" t="s">
        <v>91</v>
      </c>
      <c r="E49">
        <v>289.04359380300804</v>
      </c>
      <c r="F49">
        <v>291.68804128066631</v>
      </c>
      <c r="G49">
        <v>394.30125488648002</v>
      </c>
      <c r="I49" t="s">
        <v>91</v>
      </c>
      <c r="J49">
        <v>198.98821800397664</v>
      </c>
      <c r="K49">
        <v>189.90347869761752</v>
      </c>
      <c r="L49">
        <v>394.30125488648002</v>
      </c>
    </row>
    <row r="50" spans="4:12" x14ac:dyDescent="0.2">
      <c r="D50" t="s">
        <v>92</v>
      </c>
      <c r="E50">
        <v>330.88177089223115</v>
      </c>
      <c r="F50">
        <v>333.00491867588045</v>
      </c>
      <c r="G50">
        <v>458.22694462364672</v>
      </c>
      <c r="I50" t="s">
        <v>92</v>
      </c>
      <c r="J50">
        <v>268.54336737844409</v>
      </c>
      <c r="K50">
        <v>263.03110373492319</v>
      </c>
      <c r="L50">
        <v>458.22694462364672</v>
      </c>
    </row>
    <row r="51" spans="4:12" x14ac:dyDescent="0.2">
      <c r="D51" t="s">
        <v>93</v>
      </c>
      <c r="E51">
        <v>433.10245391835355</v>
      </c>
      <c r="F51">
        <v>449.98642083345908</v>
      </c>
      <c r="G51">
        <v>561.80755051404924</v>
      </c>
      <c r="I51" t="s">
        <v>93</v>
      </c>
      <c r="J51">
        <v>483.1773103950797</v>
      </c>
      <c r="K51">
        <v>536.93140873059212</v>
      </c>
      <c r="L51">
        <v>561.80755051404924</v>
      </c>
    </row>
    <row r="52" spans="4:12" x14ac:dyDescent="0.2">
      <c r="D52" t="s">
        <v>94</v>
      </c>
      <c r="E52">
        <v>528.23278299219726</v>
      </c>
      <c r="F52">
        <v>571.83982618666835</v>
      </c>
      <c r="G52">
        <v>616.26278830397598</v>
      </c>
      <c r="I52" t="s">
        <v>94</v>
      </c>
      <c r="J52">
        <v>680.77552457052514</v>
      </c>
      <c r="K52">
        <v>823.7590898172208</v>
      </c>
      <c r="L52">
        <v>616.26278830397598</v>
      </c>
    </row>
    <row r="53" spans="4:12" x14ac:dyDescent="0.2">
      <c r="D53" t="s">
        <v>95</v>
      </c>
      <c r="E53">
        <v>540.66775981001922</v>
      </c>
      <c r="F53">
        <v>598.31769214520659</v>
      </c>
      <c r="G53">
        <v>670.16549452965933</v>
      </c>
      <c r="I53" t="s">
        <v>95</v>
      </c>
      <c r="J53">
        <v>679.68470193032078</v>
      </c>
      <c r="K53">
        <v>857.51206516279774</v>
      </c>
      <c r="L53">
        <v>670.16549452965933</v>
      </c>
    </row>
    <row r="54" spans="4:12" x14ac:dyDescent="0.2">
      <c r="D54" t="s">
        <v>96</v>
      </c>
      <c r="E54">
        <v>496.45058238154468</v>
      </c>
      <c r="F54">
        <v>595.89003892694416</v>
      </c>
      <c r="G54">
        <v>668.49828252895463</v>
      </c>
      <c r="I54" t="s">
        <v>96</v>
      </c>
      <c r="J54">
        <v>542.4778624445787</v>
      </c>
      <c r="K54">
        <v>814.56554495228534</v>
      </c>
      <c r="L54">
        <v>668.49828252895463</v>
      </c>
    </row>
    <row r="55" spans="4:12" x14ac:dyDescent="0.2">
      <c r="D55" t="s">
        <v>97</v>
      </c>
      <c r="E55">
        <v>498.09453805269709</v>
      </c>
      <c r="F55">
        <v>579.11675065632642</v>
      </c>
      <c r="G55">
        <v>629.33798214042076</v>
      </c>
      <c r="I55" t="s">
        <v>97</v>
      </c>
      <c r="J55">
        <v>515.45985599782637</v>
      </c>
      <c r="K55">
        <v>733.55352710385137</v>
      </c>
      <c r="L55">
        <v>629.33798214042076</v>
      </c>
    </row>
    <row r="56" spans="4:12" x14ac:dyDescent="0.2">
      <c r="D56" t="s">
        <v>98</v>
      </c>
      <c r="E56">
        <v>488.06965961777672</v>
      </c>
      <c r="F56">
        <v>558.33157307100396</v>
      </c>
      <c r="G56">
        <v>597.89031235055756</v>
      </c>
      <c r="I56" t="s">
        <v>98</v>
      </c>
      <c r="J56">
        <v>467.99574333197478</v>
      </c>
      <c r="K56">
        <v>650.8434088664693</v>
      </c>
      <c r="L56">
        <v>597.89031235055756</v>
      </c>
    </row>
    <row r="57" spans="4:12" x14ac:dyDescent="0.2">
      <c r="D57" t="s">
        <v>99</v>
      </c>
      <c r="E57">
        <v>530.98213276037552</v>
      </c>
      <c r="F57">
        <v>600.40284860738109</v>
      </c>
      <c r="G57">
        <v>637.87020343388247</v>
      </c>
      <c r="I57" t="s">
        <v>99</v>
      </c>
      <c r="J57">
        <v>547.72222976950616</v>
      </c>
      <c r="K57">
        <v>734.9200629887639</v>
      </c>
      <c r="L57">
        <v>637.87020343388247</v>
      </c>
    </row>
    <row r="58" spans="4:12" x14ac:dyDescent="0.2">
      <c r="D58" t="s">
        <v>100</v>
      </c>
      <c r="E58">
        <v>576.35417844622873</v>
      </c>
      <c r="F58">
        <v>650.24291620145459</v>
      </c>
      <c r="G58">
        <v>680.32380919578929</v>
      </c>
      <c r="I58" t="s">
        <v>100</v>
      </c>
      <c r="J58">
        <v>633.35823936965096</v>
      </c>
      <c r="K58">
        <v>839.61085755464819</v>
      </c>
      <c r="L58">
        <v>680.32380919578929</v>
      </c>
    </row>
    <row r="59" spans="4:12" x14ac:dyDescent="0.2">
      <c r="D59" t="s">
        <v>101</v>
      </c>
      <c r="E59">
        <v>598.69388216668551</v>
      </c>
      <c r="F59">
        <v>634.55143486526458</v>
      </c>
      <c r="G59">
        <v>723.88547190381632</v>
      </c>
      <c r="I59" t="s">
        <v>101</v>
      </c>
      <c r="J59">
        <v>663.65530045736523</v>
      </c>
      <c r="K59">
        <v>770.41663330397455</v>
      </c>
      <c r="L59">
        <v>723.88547190381632</v>
      </c>
    </row>
    <row r="60" spans="4:12" x14ac:dyDescent="0.2">
      <c r="D60" t="s">
        <v>102</v>
      </c>
      <c r="E60">
        <v>627.96420897885343</v>
      </c>
      <c r="F60">
        <v>643.89842783427389</v>
      </c>
      <c r="G60">
        <v>770.38086394158609</v>
      </c>
      <c r="I60" t="s">
        <v>102</v>
      </c>
      <c r="J60">
        <v>710.60431100846836</v>
      </c>
      <c r="K60">
        <v>767.66087490324833</v>
      </c>
      <c r="L60">
        <v>770.38086394158609</v>
      </c>
    </row>
    <row r="61" spans="4:12" x14ac:dyDescent="0.2">
      <c r="D61" t="s">
        <v>103</v>
      </c>
      <c r="E61">
        <v>619.05037883071361</v>
      </c>
      <c r="F61">
        <v>622.91258034340206</v>
      </c>
      <c r="G61">
        <v>698.49673263221484</v>
      </c>
      <c r="I61" t="s">
        <v>103</v>
      </c>
      <c r="J61">
        <v>665.80967259883175</v>
      </c>
      <c r="K61">
        <v>684.41828809352251</v>
      </c>
      <c r="L61">
        <v>698.49673263221484</v>
      </c>
    </row>
    <row r="62" spans="4:12" x14ac:dyDescent="0.2">
      <c r="D62" t="s">
        <v>104</v>
      </c>
      <c r="E62">
        <v>590.65221078819411</v>
      </c>
      <c r="F62">
        <v>624.72313588219322</v>
      </c>
      <c r="G62">
        <v>708.65253037201524</v>
      </c>
      <c r="I62" t="s">
        <v>104</v>
      </c>
      <c r="J62">
        <v>574.20074265271921</v>
      </c>
      <c r="K62">
        <v>661.66493180665668</v>
      </c>
      <c r="L62">
        <v>708.65253037201524</v>
      </c>
    </row>
    <row r="63" spans="4:12" x14ac:dyDescent="0.2">
      <c r="D63" t="s">
        <v>105</v>
      </c>
      <c r="E63">
        <v>644.93808662218703</v>
      </c>
      <c r="F63">
        <v>681.69075711397443</v>
      </c>
      <c r="G63">
        <v>741.98551045253032</v>
      </c>
      <c r="I63" t="s">
        <v>105</v>
      </c>
      <c r="J63">
        <v>681.25367930081973</v>
      </c>
      <c r="K63">
        <v>785.26836949849223</v>
      </c>
      <c r="L63">
        <v>741.98551045253032</v>
      </c>
    </row>
    <row r="64" spans="4:12" x14ac:dyDescent="0.2">
      <c r="D64" t="s">
        <v>106</v>
      </c>
      <c r="E64">
        <v>633.28338799050107</v>
      </c>
      <c r="F64">
        <v>667.71930353963614</v>
      </c>
      <c r="G64">
        <v>715.78820197406515</v>
      </c>
      <c r="I64" t="s">
        <v>106</v>
      </c>
      <c r="J64">
        <v>629.87365847031674</v>
      </c>
      <c r="K64">
        <v>720.63816158219254</v>
      </c>
      <c r="L64">
        <v>715.78820197406515</v>
      </c>
    </row>
    <row r="65" spans="4:12" x14ac:dyDescent="0.2">
      <c r="D65" t="s">
        <v>107</v>
      </c>
      <c r="E65">
        <v>603.65402012891548</v>
      </c>
      <c r="F65">
        <v>645.79196716859292</v>
      </c>
      <c r="G65">
        <v>667.35655175794068</v>
      </c>
      <c r="I65" t="s">
        <v>107</v>
      </c>
      <c r="J65">
        <v>535.30657066521803</v>
      </c>
      <c r="K65">
        <v>634.89737635786184</v>
      </c>
      <c r="L65">
        <v>667.35655175794068</v>
      </c>
    </row>
    <row r="66" spans="4:12" x14ac:dyDescent="0.2">
      <c r="D66" t="s">
        <v>108</v>
      </c>
      <c r="E66">
        <v>623.04223679746701</v>
      </c>
      <c r="F66">
        <v>654.9910981019342</v>
      </c>
      <c r="G66">
        <v>685.87961938775095</v>
      </c>
      <c r="I66" t="s">
        <v>108</v>
      </c>
      <c r="J66">
        <v>558.5122039577958</v>
      </c>
      <c r="K66">
        <v>631.74927269330351</v>
      </c>
      <c r="L66">
        <v>685.87961938775095</v>
      </c>
    </row>
    <row r="67" spans="4:12" x14ac:dyDescent="0.2">
      <c r="D67" t="s">
        <v>109</v>
      </c>
      <c r="E67">
        <v>613.26048852199494</v>
      </c>
      <c r="F67">
        <v>657.33878511723356</v>
      </c>
      <c r="G67">
        <v>678.21110123475114</v>
      </c>
      <c r="I67" t="s">
        <v>109</v>
      </c>
      <c r="J67">
        <v>511.63225105284624</v>
      </c>
      <c r="K67">
        <v>610.42117063015507</v>
      </c>
      <c r="L67">
        <v>678.21110123475114</v>
      </c>
    </row>
    <row r="68" spans="4:12" x14ac:dyDescent="0.2">
      <c r="D68" t="s">
        <v>110</v>
      </c>
      <c r="E68">
        <v>613.35378265294594</v>
      </c>
      <c r="F68">
        <v>666.48058179184648</v>
      </c>
      <c r="G68">
        <v>684.30834202114488</v>
      </c>
      <c r="I68" t="s">
        <v>110</v>
      </c>
      <c r="J68">
        <v>508.51673232803552</v>
      </c>
      <c r="K68">
        <v>630.74171937972142</v>
      </c>
      <c r="L68">
        <v>684.30834202114488</v>
      </c>
    </row>
    <row r="69" spans="4:12" x14ac:dyDescent="0.2">
      <c r="D69" t="s">
        <v>111</v>
      </c>
      <c r="E69">
        <v>651.36124618342194</v>
      </c>
      <c r="F69">
        <v>704.92471106551193</v>
      </c>
      <c r="G69">
        <v>745.98262790953379</v>
      </c>
      <c r="I69" t="s">
        <v>111</v>
      </c>
      <c r="J69">
        <v>596.49617352714768</v>
      </c>
      <c r="K69">
        <v>728.81469026076297</v>
      </c>
      <c r="L69">
        <v>745.98262790953379</v>
      </c>
    </row>
    <row r="70" spans="4:12" x14ac:dyDescent="0.2">
      <c r="D70" t="s">
        <v>112</v>
      </c>
      <c r="E70">
        <v>666.93005767273553</v>
      </c>
      <c r="F70">
        <v>714.44068921814176</v>
      </c>
      <c r="G70">
        <v>722.73152741661363</v>
      </c>
      <c r="I70" t="s">
        <v>112</v>
      </c>
      <c r="J70">
        <v>630.56310283928826</v>
      </c>
      <c r="K70">
        <v>750.12811273921091</v>
      </c>
      <c r="L70">
        <v>722.73152741661363</v>
      </c>
    </row>
    <row r="71" spans="4:12" x14ac:dyDescent="0.2">
      <c r="D71" t="s">
        <v>113</v>
      </c>
      <c r="E71">
        <v>646.2456180029402</v>
      </c>
      <c r="F71">
        <v>700.02414074051728</v>
      </c>
      <c r="G71">
        <v>713.72591202150272</v>
      </c>
      <c r="I71" t="s">
        <v>113</v>
      </c>
      <c r="J71">
        <v>577.52569850110967</v>
      </c>
      <c r="K71">
        <v>707.93765180025127</v>
      </c>
      <c r="L71">
        <v>713.72591202150272</v>
      </c>
    </row>
    <row r="72" spans="4:12" x14ac:dyDescent="0.2">
      <c r="D72" t="s">
        <v>114</v>
      </c>
      <c r="E72">
        <v>652.15848693882174</v>
      </c>
      <c r="F72">
        <v>691.6714445215606</v>
      </c>
      <c r="G72">
        <v>687.53729356236488</v>
      </c>
      <c r="I72" t="s">
        <v>114</v>
      </c>
      <c r="J72">
        <v>588.39265498347152</v>
      </c>
      <c r="K72">
        <v>681.83735020151062</v>
      </c>
      <c r="L72">
        <v>687.53729356236488</v>
      </c>
    </row>
    <row r="73" spans="4:12" x14ac:dyDescent="0.2">
      <c r="D73" t="s">
        <v>115</v>
      </c>
      <c r="E73">
        <v>663.71141015492492</v>
      </c>
      <c r="F73">
        <v>695.04662180512389</v>
      </c>
      <c r="G73">
        <v>661.84087991744491</v>
      </c>
      <c r="I73" t="s">
        <v>115</v>
      </c>
      <c r="J73">
        <v>612.81075940768937</v>
      </c>
      <c r="K73">
        <v>686.85643366162253</v>
      </c>
      <c r="L73">
        <v>661.84087991744491</v>
      </c>
    </row>
    <row r="74" spans="4:12" x14ac:dyDescent="0.2">
      <c r="D74" t="s">
        <v>116</v>
      </c>
      <c r="E74">
        <v>696.39828112631449</v>
      </c>
      <c r="F74">
        <v>744.72223060442377</v>
      </c>
      <c r="G74">
        <v>745.92434119453333</v>
      </c>
      <c r="I74" t="s">
        <v>116</v>
      </c>
      <c r="J74">
        <v>688.00661142054958</v>
      </c>
      <c r="K74">
        <v>814.73163050150833</v>
      </c>
      <c r="L74">
        <v>745.92434119453333</v>
      </c>
    </row>
    <row r="75" spans="4:12" x14ac:dyDescent="0.2">
      <c r="D75" t="s">
        <v>117</v>
      </c>
      <c r="E75">
        <v>734.28983376682118</v>
      </c>
      <c r="F75">
        <v>811.3733063761731</v>
      </c>
      <c r="G75">
        <v>756.24024194285539</v>
      </c>
      <c r="I75" t="s">
        <v>117</v>
      </c>
      <c r="J75">
        <v>775.7075578499298</v>
      </c>
      <c r="K75">
        <v>987.65046574318762</v>
      </c>
      <c r="L75">
        <v>756.24024194285539</v>
      </c>
    </row>
    <row r="76" spans="4:12" x14ac:dyDescent="0.2">
      <c r="D76" t="s">
        <v>118</v>
      </c>
      <c r="E76">
        <v>741.75760488521996</v>
      </c>
      <c r="F76">
        <v>803.25145598841243</v>
      </c>
      <c r="G76">
        <v>733.64322436808595</v>
      </c>
      <c r="I76" t="s">
        <v>118</v>
      </c>
      <c r="J76">
        <v>790.31041977992118</v>
      </c>
      <c r="K76">
        <v>962.16270317879776</v>
      </c>
      <c r="L76">
        <v>733.64322436808595</v>
      </c>
    </row>
    <row r="77" spans="4:12" x14ac:dyDescent="0.2">
      <c r="D77" t="s">
        <v>119</v>
      </c>
      <c r="E77">
        <v>763.58843152776217</v>
      </c>
      <c r="F77">
        <v>827.01499743504633</v>
      </c>
      <c r="G77">
        <v>743.76685843879034</v>
      </c>
      <c r="I77" t="s">
        <v>119</v>
      </c>
      <c r="J77">
        <v>839.42285921296934</v>
      </c>
      <c r="K77">
        <v>1021.2813942936452</v>
      </c>
      <c r="L77">
        <v>743.76685843879034</v>
      </c>
    </row>
    <row r="78" spans="4:12" x14ac:dyDescent="0.2">
      <c r="D78" t="s">
        <v>120</v>
      </c>
      <c r="E78">
        <v>756.3058351238268</v>
      </c>
      <c r="F78">
        <v>821.4052928573584</v>
      </c>
      <c r="G78">
        <v>714.91766339157175</v>
      </c>
      <c r="I78" t="s">
        <v>120</v>
      </c>
      <c r="J78">
        <v>818.58556355567646</v>
      </c>
      <c r="K78">
        <v>1002.4594976913019</v>
      </c>
      <c r="L78">
        <v>714.91766339157175</v>
      </c>
    </row>
    <row r="79" spans="4:12" x14ac:dyDescent="0.2">
      <c r="D79" t="s">
        <v>121</v>
      </c>
      <c r="E79">
        <v>781.09945719778352</v>
      </c>
      <c r="F79">
        <v>875.16973958176163</v>
      </c>
      <c r="G79">
        <v>714.32700701692579</v>
      </c>
      <c r="I79" t="s">
        <v>121</v>
      </c>
      <c r="J79">
        <v>874.81660100529825</v>
      </c>
      <c r="K79">
        <v>1141.1842421330773</v>
      </c>
      <c r="L79">
        <v>714.32700701692579</v>
      </c>
    </row>
    <row r="80" spans="4:12" x14ac:dyDescent="0.2">
      <c r="E80" t="s">
        <v>122</v>
      </c>
      <c r="F80" t="s">
        <v>123</v>
      </c>
      <c r="J80" t="s">
        <v>2</v>
      </c>
      <c r="K80" t="s">
        <v>4</v>
      </c>
    </row>
    <row r="81" spans="5:11" x14ac:dyDescent="0.2">
      <c r="J81">
        <v>1.1199810637991321</v>
      </c>
      <c r="K81">
        <v>1.3039576101870733</v>
      </c>
    </row>
    <row r="82" spans="5:11" x14ac:dyDescent="0.2">
      <c r="J82" s="5">
        <v>0.3</v>
      </c>
      <c r="K82" s="5">
        <v>0.3</v>
      </c>
    </row>
    <row r="83" spans="5:11" x14ac:dyDescent="0.2">
      <c r="E83">
        <v>3.3279000000000001</v>
      </c>
      <c r="J83" s="12">
        <v>9.9836999999999999E-3</v>
      </c>
      <c r="K83" s="12">
        <v>9.9836999999999999E-3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ürünler</vt:lpstr>
      <vt:lpstr>petrol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2025-12-13T18:01:59Z</dcterms:created>
  <dcterms:modified xsi:type="dcterms:W3CDTF">2025-12-13T19:22:22Z</dcterms:modified>
</cp:coreProperties>
</file>