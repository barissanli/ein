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13_ncr:1_{578BBAC6-3BBA-3E4C-9911-ABEF0452132B}" xr6:coauthVersionLast="47" xr6:coauthVersionMax="47" xr10:uidLastSave="{00000000-0000-0000-0000-000000000000}"/>
  <bookViews>
    <workbookView xWindow="960" yWindow="620" windowWidth="30560" windowHeight="16180" activeTab="1" xr2:uid="{69A813A6-F54F-334E-B36B-CB460D6CD216}"/>
  </bookViews>
  <sheets>
    <sheet name="2500" sheetId="1" r:id="rId1"/>
    <sheet name="5000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2" l="1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45" i="2"/>
  <c r="D77" i="2"/>
  <c r="D78" i="2"/>
  <c r="D79" i="2"/>
  <c r="D80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45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F6" i="2"/>
  <c r="F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</calcChain>
</file>

<file path=xl/sharedStrings.xml><?xml version="1.0" encoding="utf-8"?>
<sst xmlns="http://schemas.openxmlformats.org/spreadsheetml/2006/main" count="208" uniqueCount="51">
  <si>
    <t>2025-S1</t>
  </si>
  <si>
    <t>2024-S2</t>
  </si>
  <si>
    <t>2024-S1</t>
  </si>
  <si>
    <t>2023-S2</t>
  </si>
  <si>
    <t>2023-S1</t>
  </si>
  <si>
    <t>2022-S2</t>
  </si>
  <si>
    <t>2022-S1</t>
  </si>
  <si>
    <t>2021-S2</t>
  </si>
  <si>
    <t>2021-S1</t>
  </si>
  <si>
    <t>2020-S2</t>
  </si>
  <si>
    <t>2020-S1</t>
  </si>
  <si>
    <t>2019-S2</t>
  </si>
  <si>
    <t>2019-S1</t>
  </si>
  <si>
    <t>2018-S2</t>
  </si>
  <si>
    <t>2018-S1</t>
  </si>
  <si>
    <t>2017-S2</t>
  </si>
  <si>
    <t>2017-S1</t>
  </si>
  <si>
    <t>2016-S2</t>
  </si>
  <si>
    <t>2016-S1</t>
  </si>
  <si>
    <t>2015-S2</t>
  </si>
  <si>
    <t>2015-S1</t>
  </si>
  <si>
    <t>2014-S2</t>
  </si>
  <si>
    <t>2014-S1</t>
  </si>
  <si>
    <t>2013-S2</t>
  </si>
  <si>
    <t>2013-S1</t>
  </si>
  <si>
    <t>2012-S2</t>
  </si>
  <si>
    <t>2012-S1</t>
  </si>
  <si>
    <t>2011-S2</t>
  </si>
  <si>
    <t>2011-S1</t>
  </si>
  <si>
    <t>2010-S2</t>
  </si>
  <si>
    <t>2010-S1</t>
  </si>
  <si>
    <t>2009-S2</t>
  </si>
  <si>
    <t>Euro</t>
  </si>
  <si>
    <t>2009-S1</t>
  </si>
  <si>
    <t>All taxes and levies included</t>
  </si>
  <si>
    <t>2008-S2</t>
  </si>
  <si>
    <t>Kilowatt-hour</t>
  </si>
  <si>
    <t>2008-S1</t>
  </si>
  <si>
    <t>Consumption from 1 000 kWh to 2 499 kWh - band DB</t>
  </si>
  <si>
    <t>2007-S2</t>
  </si>
  <si>
    <t>Electrical energy</t>
  </si>
  <si>
    <t>Half-yearly, semesterly</t>
  </si>
  <si>
    <t>Oran</t>
  </si>
  <si>
    <t>Türkiye</t>
  </si>
  <si>
    <t>AB</t>
  </si>
  <si>
    <t>Mesken elektrik fiyatları €/kWh</t>
  </si>
  <si>
    <t>21/10/2025 23:00</t>
  </si>
  <si>
    <t>https://ec.europa.eu/eurostat/databrowser/view/nrg_pc_204__custom_18696654/default/table?lang=en</t>
  </si>
  <si>
    <t>Electricity prices for household consumers - bi-annual data (from 2007 onwards) [nrg_pc_204__custom_18696654]</t>
  </si>
  <si>
    <t>2500-5000kWh</t>
  </si>
  <si>
    <t>1000-2500kWh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</si>
</sst>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9"/>
      <name val="Arial"/>
      <family val="2"/>
    </font>
    <font>
      <u/>
      <sz val="11"/>
      <color theme="10"/>
      <name val="Aptos Narrow"/>
      <family val="2"/>
      <scheme val="minor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1"/>
    <xf numFmtId="0" fontId="3" fillId="0" borderId="0" xfId="0" applyFont="1" applyAlignment="1">
      <alignment horizontal="left" vertical="center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AB ve Türkiye Konut Elektrik Fiyatları  1000-2500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'2500'!$D$5</c:f>
              <c:strCache>
                <c:ptCount val="1"/>
                <c:pt idx="0">
                  <c:v>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'2500'!$C$6:$C$42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'2500'!$D$6:$D$42</c:f>
              <c:numCache>
                <c:formatCode>General</c:formatCode>
                <c:ptCount val="37"/>
                <c:pt idx="0">
                  <c:v>0.17069999999999999</c:v>
                </c:pt>
                <c:pt idx="1">
                  <c:v>0.1714</c:v>
                </c:pt>
                <c:pt idx="2">
                  <c:v>0.1797</c:v>
                </c:pt>
                <c:pt idx="3">
                  <c:v>0.1782</c:v>
                </c:pt>
                <c:pt idx="4">
                  <c:v>0.1799</c:v>
                </c:pt>
                <c:pt idx="5">
                  <c:v>0.18479999999999999</c:v>
                </c:pt>
                <c:pt idx="6">
                  <c:v>0.19070000000000001</c:v>
                </c:pt>
                <c:pt idx="7">
                  <c:v>0.19769999999999999</c:v>
                </c:pt>
                <c:pt idx="8">
                  <c:v>0.20130000000000001</c:v>
                </c:pt>
                <c:pt idx="9">
                  <c:v>0.20430000000000001</c:v>
                </c:pt>
                <c:pt idx="10">
                  <c:v>0.2132</c:v>
                </c:pt>
                <c:pt idx="11">
                  <c:v>0.21809999999999999</c:v>
                </c:pt>
                <c:pt idx="12">
                  <c:v>0.22109999999999999</c:v>
                </c:pt>
                <c:pt idx="13">
                  <c:v>0.22070000000000001</c:v>
                </c:pt>
                <c:pt idx="14">
                  <c:v>0.22500000000000001</c:v>
                </c:pt>
                <c:pt idx="15">
                  <c:v>0.22459999999999999</c:v>
                </c:pt>
                <c:pt idx="16">
                  <c:v>0.22600000000000001</c:v>
                </c:pt>
                <c:pt idx="17">
                  <c:v>0.22359999999999999</c:v>
                </c:pt>
                <c:pt idx="18">
                  <c:v>0.22789999999999999</c:v>
                </c:pt>
                <c:pt idx="19">
                  <c:v>0.23330000000000001</c:v>
                </c:pt>
                <c:pt idx="20">
                  <c:v>0.23400000000000001</c:v>
                </c:pt>
                <c:pt idx="21">
                  <c:v>0.23710000000000001</c:v>
                </c:pt>
                <c:pt idx="22">
                  <c:v>0.24399999999999999</c:v>
                </c:pt>
                <c:pt idx="23">
                  <c:v>0.246</c:v>
                </c:pt>
                <c:pt idx="24">
                  <c:v>0.24660000000000001</c:v>
                </c:pt>
                <c:pt idx="25">
                  <c:v>0.24249999999999999</c:v>
                </c:pt>
                <c:pt idx="26">
                  <c:v>0.24479999999999999</c:v>
                </c:pt>
                <c:pt idx="27">
                  <c:v>0.2492</c:v>
                </c:pt>
                <c:pt idx="28">
                  <c:v>0.27189999999999998</c:v>
                </c:pt>
                <c:pt idx="29">
                  <c:v>0.27250000000000002</c:v>
                </c:pt>
                <c:pt idx="30">
                  <c:v>0.29809999999999998</c:v>
                </c:pt>
                <c:pt idx="31">
                  <c:v>0.31519999999999998</c:v>
                </c:pt>
                <c:pt idx="32">
                  <c:v>0.3135</c:v>
                </c:pt>
                <c:pt idx="33">
                  <c:v>0.32450000000000001</c:v>
                </c:pt>
                <c:pt idx="34">
                  <c:v>0.32450000000000001</c:v>
                </c:pt>
                <c:pt idx="35">
                  <c:v>0.32129999999999997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81-0E4A-9FC7-58155D52D30E}"/>
            </c:ext>
          </c:extLst>
        </c:ser>
        <c:ser>
          <c:idx val="1"/>
          <c:order val="1"/>
          <c:tx>
            <c:strRef>
              <c:f>'2500'!$E$5</c:f>
              <c:strCache>
                <c:ptCount val="1"/>
                <c:pt idx="0">
                  <c:v>Türkiye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'2500'!$C$6:$C$42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'2500'!$E$6:$E$42</c:f>
              <c:numCache>
                <c:formatCode>General</c:formatCode>
                <c:ptCount val="37"/>
                <c:pt idx="0">
                  <c:v>9.01E-2</c:v>
                </c:pt>
                <c:pt idx="1">
                  <c:v>9.98E-2</c:v>
                </c:pt>
                <c:pt idx="2">
                  <c:v>0.1222</c:v>
                </c:pt>
                <c:pt idx="3">
                  <c:v>0.1144</c:v>
                </c:pt>
                <c:pt idx="4">
                  <c:v>0.1179</c:v>
                </c:pt>
                <c:pt idx="5">
                  <c:v>0.1341</c:v>
                </c:pt>
                <c:pt idx="6">
                  <c:v>0.13739999999999999</c:v>
                </c:pt>
                <c:pt idx="7">
                  <c:v>0.12180000000000001</c:v>
                </c:pt>
                <c:pt idx="8">
                  <c:v>0.11459999999999999</c:v>
                </c:pt>
                <c:pt idx="9">
                  <c:v>0.1321</c:v>
                </c:pt>
                <c:pt idx="10">
                  <c:v>0.14810000000000001</c:v>
                </c:pt>
                <c:pt idx="11">
                  <c:v>0.14979999999999999</c:v>
                </c:pt>
                <c:pt idx="12">
                  <c:v>0.13150000000000001</c:v>
                </c:pt>
                <c:pt idx="13">
                  <c:v>0.1196</c:v>
                </c:pt>
                <c:pt idx="14">
                  <c:v>0.13089999999999999</c:v>
                </c:pt>
                <c:pt idx="15">
                  <c:v>0.1361</c:v>
                </c:pt>
                <c:pt idx="16">
                  <c:v>0.12239999999999999</c:v>
                </c:pt>
                <c:pt idx="17">
                  <c:v>0.12659999999999999</c:v>
                </c:pt>
                <c:pt idx="18">
                  <c:v>0.1206</c:v>
                </c:pt>
                <c:pt idx="19">
                  <c:v>0.1048</c:v>
                </c:pt>
                <c:pt idx="20">
                  <c:v>9.5899999999999999E-2</c:v>
                </c:pt>
                <c:pt idx="21">
                  <c:v>9.1300000000000006E-2</c:v>
                </c:pt>
                <c:pt idx="22">
                  <c:v>8.5900000000000004E-2</c:v>
                </c:pt>
                <c:pt idx="23">
                  <c:v>8.4699999999999998E-2</c:v>
                </c:pt>
                <c:pt idx="24">
                  <c:v>0.1045</c:v>
                </c:pt>
                <c:pt idx="25">
                  <c:v>9.9500000000000005E-2</c:v>
                </c:pt>
                <c:pt idx="26">
                  <c:v>8.2500000000000004E-2</c:v>
                </c:pt>
                <c:pt idx="27">
                  <c:v>8.3699999999999997E-2</c:v>
                </c:pt>
                <c:pt idx="28">
                  <c:v>7.8899999999999998E-2</c:v>
                </c:pt>
                <c:pt idx="29">
                  <c:v>8.0399999999999999E-2</c:v>
                </c:pt>
                <c:pt idx="30">
                  <c:v>8.8999999999999996E-2</c:v>
                </c:pt>
                <c:pt idx="31">
                  <c:v>7.7399999999999997E-2</c:v>
                </c:pt>
                <c:pt idx="32">
                  <c:v>5.1900000000000002E-2</c:v>
                </c:pt>
                <c:pt idx="33">
                  <c:v>4.53E-2</c:v>
                </c:pt>
                <c:pt idx="34">
                  <c:v>5.6599999999999998E-2</c:v>
                </c:pt>
                <c:pt idx="35">
                  <c:v>5.6800000000000003E-2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1-0E4A-9FC7-58155D52D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08704"/>
        <c:axId val="2110010496"/>
      </c:lineChart>
      <c:catAx>
        <c:axId val="21100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10496"/>
        <c:crosses val="autoZero"/>
        <c:auto val="1"/>
        <c:lblAlgn val="ctr"/>
        <c:lblOffset val="100"/>
        <c:noMultiLvlLbl val="0"/>
      </c:catAx>
      <c:valAx>
        <c:axId val="21100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€/kWh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17956983167097"/>
          <c:y val="0.14690466799954702"/>
          <c:w val="0.53696031750742679"/>
          <c:h val="5.7383468696457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Mesken</a:t>
            </a:r>
            <a:r>
              <a:rPr lang="en-US" baseline="0"/>
              <a:t> Fiyat Oranları (AB/Türkiye)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'2500'!$F$5</c:f>
              <c:strCache>
                <c:ptCount val="1"/>
                <c:pt idx="0">
                  <c:v>Oran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'2500'!$C$6:$C$42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'2500'!$F$6:$F$42</c:f>
              <c:numCache>
                <c:formatCode>General</c:formatCode>
                <c:ptCount val="37"/>
                <c:pt idx="0">
                  <c:v>1.8945615982241952</c:v>
                </c:pt>
                <c:pt idx="1">
                  <c:v>1.717434869739479</c:v>
                </c:pt>
                <c:pt idx="2">
                  <c:v>1.4705400981996726</c:v>
                </c:pt>
                <c:pt idx="3">
                  <c:v>1.5576923076923077</c:v>
                </c:pt>
                <c:pt idx="4">
                  <c:v>1.5258693808312129</c:v>
                </c:pt>
                <c:pt idx="5">
                  <c:v>1.378076062639821</c:v>
                </c:pt>
                <c:pt idx="6">
                  <c:v>1.3879184861717615</c:v>
                </c:pt>
                <c:pt idx="7">
                  <c:v>1.6231527093596056</c:v>
                </c:pt>
                <c:pt idx="8">
                  <c:v>1.7565445026178013</c:v>
                </c:pt>
                <c:pt idx="9">
                  <c:v>1.5465556396669191</c:v>
                </c:pt>
                <c:pt idx="10">
                  <c:v>1.4395678595543551</c:v>
                </c:pt>
                <c:pt idx="11">
                  <c:v>1.4559412550066757</c:v>
                </c:pt>
                <c:pt idx="12">
                  <c:v>1.6813688212927755</c:v>
                </c:pt>
                <c:pt idx="13">
                  <c:v>1.8453177257525084</c:v>
                </c:pt>
                <c:pt idx="14">
                  <c:v>1.7188693659281897</c:v>
                </c:pt>
                <c:pt idx="15">
                  <c:v>1.6502571638501102</c:v>
                </c:pt>
                <c:pt idx="16">
                  <c:v>1.84640522875817</c:v>
                </c:pt>
                <c:pt idx="17">
                  <c:v>1.7661927330173777</c:v>
                </c:pt>
                <c:pt idx="18">
                  <c:v>1.8897180762852404</c:v>
                </c:pt>
                <c:pt idx="19">
                  <c:v>2.2261450381679388</c:v>
                </c:pt>
                <c:pt idx="20">
                  <c:v>2.4400417101147029</c:v>
                </c:pt>
                <c:pt idx="21">
                  <c:v>2.5969331872946331</c:v>
                </c:pt>
                <c:pt idx="22">
                  <c:v>2.8405122235157156</c:v>
                </c:pt>
                <c:pt idx="23">
                  <c:v>2.9043683589138136</c:v>
                </c:pt>
                <c:pt idx="24">
                  <c:v>2.3598086124401916</c:v>
                </c:pt>
                <c:pt idx="25">
                  <c:v>2.437185929648241</c:v>
                </c:pt>
                <c:pt idx="26">
                  <c:v>2.9672727272727268</c:v>
                </c:pt>
                <c:pt idx="27">
                  <c:v>2.9772998805256869</c:v>
                </c:pt>
                <c:pt idx="28">
                  <c:v>3.4461343472750317</c:v>
                </c:pt>
                <c:pt idx="29">
                  <c:v>3.3893034825870649</c:v>
                </c:pt>
                <c:pt idx="30">
                  <c:v>3.3494382022471907</c:v>
                </c:pt>
                <c:pt idx="31">
                  <c:v>4.07235142118863</c:v>
                </c:pt>
                <c:pt idx="32">
                  <c:v>6.0404624277456644</c:v>
                </c:pt>
                <c:pt idx="33">
                  <c:v>7.1633554083885214</c:v>
                </c:pt>
                <c:pt idx="34">
                  <c:v>5.733215547703181</c:v>
                </c:pt>
                <c:pt idx="35">
                  <c:v>5.65669014084507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0-6746-941E-826043256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017024"/>
        <c:axId val="2087018816"/>
      </c:lineChart>
      <c:catAx>
        <c:axId val="20870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18816"/>
        <c:crosses val="autoZero"/>
        <c:auto val="1"/>
        <c:lblAlgn val="ctr"/>
        <c:lblOffset val="100"/>
        <c:noMultiLvlLbl val="0"/>
      </c:catAx>
      <c:valAx>
        <c:axId val="208701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AB ve Türkiye Konut Elektrik Fiyatları  2500-5000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'5000'!$D$5</c:f>
              <c:strCache>
                <c:ptCount val="1"/>
                <c:pt idx="0">
                  <c:v>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'5000'!$C$6:$C$42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'5000'!$D$6:$D$42</c:f>
              <c:numCache>
                <c:formatCode>General</c:formatCode>
                <c:ptCount val="37"/>
                <c:pt idx="0">
                  <c:v>0.1537</c:v>
                </c:pt>
                <c:pt idx="1">
                  <c:v>0.16039999999999999</c:v>
                </c:pt>
                <c:pt idx="2">
                  <c:v>0.1676</c:v>
                </c:pt>
                <c:pt idx="3">
                  <c:v>0.16700000000000001</c:v>
                </c:pt>
                <c:pt idx="4">
                  <c:v>0.16769999999999999</c:v>
                </c:pt>
                <c:pt idx="5">
                  <c:v>0.17249999999999999</c:v>
                </c:pt>
                <c:pt idx="6">
                  <c:v>0.1777</c:v>
                </c:pt>
                <c:pt idx="7">
                  <c:v>0.18579999999999999</c:v>
                </c:pt>
                <c:pt idx="8">
                  <c:v>0.18859999999999999</c:v>
                </c:pt>
                <c:pt idx="9">
                  <c:v>0.19159999999999999</c:v>
                </c:pt>
                <c:pt idx="10">
                  <c:v>0.1996</c:v>
                </c:pt>
                <c:pt idx="11">
                  <c:v>0.20419999999999999</c:v>
                </c:pt>
                <c:pt idx="12">
                  <c:v>0.20619999999999999</c:v>
                </c:pt>
                <c:pt idx="13">
                  <c:v>0.20580000000000001</c:v>
                </c:pt>
                <c:pt idx="14">
                  <c:v>0.2084</c:v>
                </c:pt>
                <c:pt idx="15">
                  <c:v>0.20830000000000001</c:v>
                </c:pt>
                <c:pt idx="16">
                  <c:v>0.2089</c:v>
                </c:pt>
                <c:pt idx="17">
                  <c:v>0.2051</c:v>
                </c:pt>
                <c:pt idx="18">
                  <c:v>0.2069</c:v>
                </c:pt>
                <c:pt idx="19">
                  <c:v>0.2089</c:v>
                </c:pt>
                <c:pt idx="20">
                  <c:v>0.2089</c:v>
                </c:pt>
                <c:pt idx="21">
                  <c:v>0.21029999999999999</c:v>
                </c:pt>
                <c:pt idx="22">
                  <c:v>0.2152</c:v>
                </c:pt>
                <c:pt idx="23">
                  <c:v>0.21679999999999999</c:v>
                </c:pt>
                <c:pt idx="24">
                  <c:v>0.21690000000000001</c:v>
                </c:pt>
                <c:pt idx="25">
                  <c:v>0.21390000000000001</c:v>
                </c:pt>
                <c:pt idx="26">
                  <c:v>0.21529999999999999</c:v>
                </c:pt>
                <c:pt idx="27">
                  <c:v>0.2203</c:v>
                </c:pt>
                <c:pt idx="28">
                  <c:v>0.24149999999999999</c:v>
                </c:pt>
                <c:pt idx="29">
                  <c:v>0.249</c:v>
                </c:pt>
                <c:pt idx="30">
                  <c:v>0.27679999999999999</c:v>
                </c:pt>
                <c:pt idx="31">
                  <c:v>0.28870000000000001</c:v>
                </c:pt>
                <c:pt idx="32">
                  <c:v>0.28470000000000001</c:v>
                </c:pt>
                <c:pt idx="33">
                  <c:v>0.29160000000000003</c:v>
                </c:pt>
                <c:pt idx="34">
                  <c:v>0.28870000000000001</c:v>
                </c:pt>
                <c:pt idx="35">
                  <c:v>0.28720000000000001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D-0849-B69E-86C177842ACD}"/>
            </c:ext>
          </c:extLst>
        </c:ser>
        <c:ser>
          <c:idx val="1"/>
          <c:order val="1"/>
          <c:tx>
            <c:strRef>
              <c:f>'5000'!$E$5</c:f>
              <c:strCache>
                <c:ptCount val="1"/>
                <c:pt idx="0">
                  <c:v>Türkiye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'5000'!$C$6:$C$42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'5000'!$E$6:$E$42</c:f>
              <c:numCache>
                <c:formatCode>General</c:formatCode>
                <c:ptCount val="37"/>
                <c:pt idx="0">
                  <c:v>9.01E-2</c:v>
                </c:pt>
                <c:pt idx="1">
                  <c:v>9.98E-2</c:v>
                </c:pt>
                <c:pt idx="2">
                  <c:v>0.1222</c:v>
                </c:pt>
                <c:pt idx="3">
                  <c:v>0.1144</c:v>
                </c:pt>
                <c:pt idx="4">
                  <c:v>0.1179</c:v>
                </c:pt>
                <c:pt idx="5">
                  <c:v>0.13420000000000001</c:v>
                </c:pt>
                <c:pt idx="6">
                  <c:v>0.13739999999999999</c:v>
                </c:pt>
                <c:pt idx="7">
                  <c:v>0.12180000000000001</c:v>
                </c:pt>
                <c:pt idx="8">
                  <c:v>0.1145</c:v>
                </c:pt>
                <c:pt idx="9">
                  <c:v>0.13100000000000001</c:v>
                </c:pt>
                <c:pt idx="10">
                  <c:v>0.14699999999999999</c:v>
                </c:pt>
                <c:pt idx="11">
                  <c:v>0.14949999999999999</c:v>
                </c:pt>
                <c:pt idx="12">
                  <c:v>0.13139999999999999</c:v>
                </c:pt>
                <c:pt idx="13">
                  <c:v>0.1192</c:v>
                </c:pt>
                <c:pt idx="14">
                  <c:v>0.13100000000000001</c:v>
                </c:pt>
                <c:pt idx="15">
                  <c:v>0.13600000000000001</c:v>
                </c:pt>
                <c:pt idx="16">
                  <c:v>0.1222</c:v>
                </c:pt>
                <c:pt idx="17">
                  <c:v>0.12670000000000001</c:v>
                </c:pt>
                <c:pt idx="18">
                  <c:v>0.1205</c:v>
                </c:pt>
                <c:pt idx="19">
                  <c:v>0.1048</c:v>
                </c:pt>
                <c:pt idx="20">
                  <c:v>9.5899999999999999E-2</c:v>
                </c:pt>
                <c:pt idx="21">
                  <c:v>9.0399999999999994E-2</c:v>
                </c:pt>
                <c:pt idx="22">
                  <c:v>8.5699999999999998E-2</c:v>
                </c:pt>
                <c:pt idx="23">
                  <c:v>8.4699999999999998E-2</c:v>
                </c:pt>
                <c:pt idx="24">
                  <c:v>0.1043</c:v>
                </c:pt>
                <c:pt idx="25">
                  <c:v>9.9500000000000005E-2</c:v>
                </c:pt>
                <c:pt idx="26">
                  <c:v>8.2199999999999995E-2</c:v>
                </c:pt>
                <c:pt idx="27">
                  <c:v>8.3400000000000002E-2</c:v>
                </c:pt>
                <c:pt idx="28">
                  <c:v>7.8799999999999995E-2</c:v>
                </c:pt>
                <c:pt idx="29">
                  <c:v>8.6599999999999996E-2</c:v>
                </c:pt>
                <c:pt idx="30">
                  <c:v>9.3200000000000005E-2</c:v>
                </c:pt>
                <c:pt idx="31">
                  <c:v>8.4199999999999997E-2</c:v>
                </c:pt>
                <c:pt idx="32">
                  <c:v>5.62E-2</c:v>
                </c:pt>
                <c:pt idx="33">
                  <c:v>4.8800000000000003E-2</c:v>
                </c:pt>
                <c:pt idx="34">
                  <c:v>6.2E-2</c:v>
                </c:pt>
                <c:pt idx="35">
                  <c:v>6.1699999999999998E-2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D-0849-B69E-86C177842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008704"/>
        <c:axId val="2110010496"/>
      </c:lineChart>
      <c:catAx>
        <c:axId val="21100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10496"/>
        <c:crosses val="autoZero"/>
        <c:auto val="1"/>
        <c:lblAlgn val="ctr"/>
        <c:lblOffset val="100"/>
        <c:noMultiLvlLbl val="0"/>
      </c:catAx>
      <c:valAx>
        <c:axId val="21100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€/kWh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317956983167097"/>
          <c:y val="0.14690466799954702"/>
          <c:w val="0.53696031750742679"/>
          <c:h val="5.73834686964575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Mesken</a:t>
            </a:r>
            <a:r>
              <a:rPr lang="en-US" baseline="0"/>
              <a:t> Fiyat Oranları (AB/Türkiye)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'5000'!$F$5</c:f>
              <c:strCache>
                <c:ptCount val="1"/>
                <c:pt idx="0">
                  <c:v>Oran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'5000'!$C$6:$C$42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'5000'!$F$6:$F$42</c:f>
              <c:numCache>
                <c:formatCode>General</c:formatCode>
                <c:ptCount val="37"/>
                <c:pt idx="0">
                  <c:v>1.7058823529411764</c:v>
                </c:pt>
                <c:pt idx="1">
                  <c:v>1.6072144288577153</c:v>
                </c:pt>
                <c:pt idx="2">
                  <c:v>1.3715220949263502</c:v>
                </c:pt>
                <c:pt idx="3">
                  <c:v>1.4597902097902098</c:v>
                </c:pt>
                <c:pt idx="4">
                  <c:v>1.4223918575063612</c:v>
                </c:pt>
                <c:pt idx="5">
                  <c:v>1.2853949329359162</c:v>
                </c:pt>
                <c:pt idx="6">
                  <c:v>1.2933042212518195</c:v>
                </c:pt>
                <c:pt idx="7">
                  <c:v>1.5254515599343184</c:v>
                </c:pt>
                <c:pt idx="8">
                  <c:v>1.6471615720524015</c:v>
                </c:pt>
                <c:pt idx="9">
                  <c:v>1.4625954198473281</c:v>
                </c:pt>
                <c:pt idx="10">
                  <c:v>1.3578231292517007</c:v>
                </c:pt>
                <c:pt idx="11">
                  <c:v>1.3658862876254181</c:v>
                </c:pt>
                <c:pt idx="12">
                  <c:v>1.5692541856925419</c:v>
                </c:pt>
                <c:pt idx="13">
                  <c:v>1.726510067114094</c:v>
                </c:pt>
                <c:pt idx="14">
                  <c:v>1.5908396946564884</c:v>
                </c:pt>
                <c:pt idx="15">
                  <c:v>1.5316176470588234</c:v>
                </c:pt>
                <c:pt idx="16">
                  <c:v>1.7094926350245498</c:v>
                </c:pt>
                <c:pt idx="17">
                  <c:v>1.6187845303867403</c:v>
                </c:pt>
                <c:pt idx="18">
                  <c:v>1.7170124481327802</c:v>
                </c:pt>
                <c:pt idx="19">
                  <c:v>1.9933206106870229</c:v>
                </c:pt>
                <c:pt idx="20">
                  <c:v>2.1783107403545361</c:v>
                </c:pt>
                <c:pt idx="21">
                  <c:v>2.3263274336283186</c:v>
                </c:pt>
                <c:pt idx="22">
                  <c:v>2.5110851808634775</c:v>
                </c:pt>
                <c:pt idx="23">
                  <c:v>2.5596221959858325</c:v>
                </c:pt>
                <c:pt idx="24">
                  <c:v>2.0795781399808244</c:v>
                </c:pt>
                <c:pt idx="25">
                  <c:v>2.1497487437185927</c:v>
                </c:pt>
                <c:pt idx="26">
                  <c:v>2.6192214111922141</c:v>
                </c:pt>
                <c:pt idx="27">
                  <c:v>2.6414868105515588</c:v>
                </c:pt>
                <c:pt idx="28">
                  <c:v>3.0647208121827414</c:v>
                </c:pt>
                <c:pt idx="29">
                  <c:v>2.8752886836027716</c:v>
                </c:pt>
                <c:pt idx="30">
                  <c:v>2.969957081545064</c:v>
                </c:pt>
                <c:pt idx="31">
                  <c:v>3.4287410926365798</c:v>
                </c:pt>
                <c:pt idx="32">
                  <c:v>5.0658362989323846</c:v>
                </c:pt>
                <c:pt idx="33">
                  <c:v>5.9754098360655741</c:v>
                </c:pt>
                <c:pt idx="34">
                  <c:v>4.6564516129032256</c:v>
                </c:pt>
                <c:pt idx="35">
                  <c:v>4.6547811993517021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2-A146-8EED-7C4C0F4F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017024"/>
        <c:axId val="2087018816"/>
      </c:lineChart>
      <c:catAx>
        <c:axId val="20870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18816"/>
        <c:crosses val="autoZero"/>
        <c:auto val="1"/>
        <c:lblAlgn val="ctr"/>
        <c:lblOffset val="100"/>
        <c:noMultiLvlLbl val="0"/>
      </c:catAx>
      <c:valAx>
        <c:axId val="208701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AB Mesken Elektrik Fiyatlarının</a:t>
            </a:r>
            <a:r>
              <a:rPr lang="en-GB" baseline="0"/>
              <a:t> Türkiye'ye Oranı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759351323175874E-2"/>
          <c:y val="0.17995520250370861"/>
          <c:w val="0.89812199181364594"/>
          <c:h val="0.62039947936186302"/>
        </c:manualLayout>
      </c:layout>
      <c:lineChart>
        <c:grouping val="standard"/>
        <c:varyColors val="0"/>
        <c:ser>
          <c:idx val="0"/>
          <c:order val="0"/>
          <c:tx>
            <c:strRef>
              <c:f>'5000'!$D$44</c:f>
              <c:strCache>
                <c:ptCount val="1"/>
                <c:pt idx="0">
                  <c:v>2500-5000kWh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'5000'!$C$45:$C$80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'5000'!$D$45:$D$80</c:f>
              <c:numCache>
                <c:formatCode>0.00</c:formatCode>
                <c:ptCount val="36"/>
                <c:pt idx="0">
                  <c:v>1.7058823529411764</c:v>
                </c:pt>
                <c:pt idx="1">
                  <c:v>1.6072144288577153</c:v>
                </c:pt>
                <c:pt idx="2">
                  <c:v>1.3715220949263502</c:v>
                </c:pt>
                <c:pt idx="3">
                  <c:v>1.4597902097902098</c:v>
                </c:pt>
                <c:pt idx="4">
                  <c:v>1.4223918575063612</c:v>
                </c:pt>
                <c:pt idx="5">
                  <c:v>1.2853949329359162</c:v>
                </c:pt>
                <c:pt idx="6">
                  <c:v>1.2933042212518195</c:v>
                </c:pt>
                <c:pt idx="7">
                  <c:v>1.5254515599343184</c:v>
                </c:pt>
                <c:pt idx="8">
                  <c:v>1.6471615720524015</c:v>
                </c:pt>
                <c:pt idx="9">
                  <c:v>1.4625954198473281</c:v>
                </c:pt>
                <c:pt idx="10">
                  <c:v>1.3578231292517007</c:v>
                </c:pt>
                <c:pt idx="11">
                  <c:v>1.3658862876254181</c:v>
                </c:pt>
                <c:pt idx="12">
                  <c:v>1.5692541856925419</c:v>
                </c:pt>
                <c:pt idx="13">
                  <c:v>1.726510067114094</c:v>
                </c:pt>
                <c:pt idx="14">
                  <c:v>1.5908396946564884</c:v>
                </c:pt>
                <c:pt idx="15">
                  <c:v>1.5316176470588234</c:v>
                </c:pt>
                <c:pt idx="16">
                  <c:v>1.7094926350245498</c:v>
                </c:pt>
                <c:pt idx="17">
                  <c:v>1.6187845303867403</c:v>
                </c:pt>
                <c:pt idx="18">
                  <c:v>1.7170124481327802</c:v>
                </c:pt>
                <c:pt idx="19">
                  <c:v>1.9933206106870229</c:v>
                </c:pt>
                <c:pt idx="20">
                  <c:v>2.1783107403545361</c:v>
                </c:pt>
                <c:pt idx="21">
                  <c:v>2.3263274336283186</c:v>
                </c:pt>
                <c:pt idx="22">
                  <c:v>2.5110851808634775</c:v>
                </c:pt>
                <c:pt idx="23">
                  <c:v>2.5596221959858325</c:v>
                </c:pt>
                <c:pt idx="24">
                  <c:v>2.0795781399808244</c:v>
                </c:pt>
                <c:pt idx="25">
                  <c:v>2.1497487437185927</c:v>
                </c:pt>
                <c:pt idx="26">
                  <c:v>2.6192214111922141</c:v>
                </c:pt>
                <c:pt idx="27">
                  <c:v>2.6414868105515588</c:v>
                </c:pt>
                <c:pt idx="28">
                  <c:v>3.0647208121827414</c:v>
                </c:pt>
                <c:pt idx="29">
                  <c:v>2.8752886836027716</c:v>
                </c:pt>
                <c:pt idx="30">
                  <c:v>2.969957081545064</c:v>
                </c:pt>
                <c:pt idx="31">
                  <c:v>3.4287410926365798</c:v>
                </c:pt>
                <c:pt idx="32">
                  <c:v>5.0658362989323846</c:v>
                </c:pt>
                <c:pt idx="33">
                  <c:v>5.9754098360655741</c:v>
                </c:pt>
                <c:pt idx="34">
                  <c:v>4.6564516129032256</c:v>
                </c:pt>
                <c:pt idx="35">
                  <c:v>4.6547811993517021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6-1042-B3DD-6120ED2F8099}"/>
            </c:ext>
          </c:extLst>
        </c:ser>
        <c:ser>
          <c:idx val="1"/>
          <c:order val="1"/>
          <c:tx>
            <c:strRef>
              <c:f>'5000'!$E$44</c:f>
              <c:strCache>
                <c:ptCount val="1"/>
                <c:pt idx="0">
                  <c:v>1000-2500kWh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'5000'!$C$45:$C$80</c:f>
              <c:strCache>
                <c:ptCount val="36"/>
                <c:pt idx="0">
                  <c:v>2007-S2</c:v>
                </c:pt>
                <c:pt idx="1">
                  <c:v>2008-S1</c:v>
                </c:pt>
                <c:pt idx="2">
                  <c:v>2008-S2</c:v>
                </c:pt>
                <c:pt idx="3">
                  <c:v>2009-S1</c:v>
                </c:pt>
                <c:pt idx="4">
                  <c:v>2009-S2</c:v>
                </c:pt>
                <c:pt idx="5">
                  <c:v>2010-S1</c:v>
                </c:pt>
                <c:pt idx="6">
                  <c:v>2010-S2</c:v>
                </c:pt>
                <c:pt idx="7">
                  <c:v>2011-S1</c:v>
                </c:pt>
                <c:pt idx="8">
                  <c:v>2011-S2</c:v>
                </c:pt>
                <c:pt idx="9">
                  <c:v>2012-S1</c:v>
                </c:pt>
                <c:pt idx="10">
                  <c:v>2012-S2</c:v>
                </c:pt>
                <c:pt idx="11">
                  <c:v>2013-S1</c:v>
                </c:pt>
                <c:pt idx="12">
                  <c:v>2013-S2</c:v>
                </c:pt>
                <c:pt idx="13">
                  <c:v>2014-S1</c:v>
                </c:pt>
                <c:pt idx="14">
                  <c:v>2014-S2</c:v>
                </c:pt>
                <c:pt idx="15">
                  <c:v>2015-S1</c:v>
                </c:pt>
                <c:pt idx="16">
                  <c:v>2015-S2</c:v>
                </c:pt>
                <c:pt idx="17">
                  <c:v>2016-S1</c:v>
                </c:pt>
                <c:pt idx="18">
                  <c:v>2016-S2</c:v>
                </c:pt>
                <c:pt idx="19">
                  <c:v>2017-S1</c:v>
                </c:pt>
                <c:pt idx="20">
                  <c:v>2017-S2</c:v>
                </c:pt>
                <c:pt idx="21">
                  <c:v>2018-S1</c:v>
                </c:pt>
                <c:pt idx="22">
                  <c:v>2018-S2</c:v>
                </c:pt>
                <c:pt idx="23">
                  <c:v>2019-S1</c:v>
                </c:pt>
                <c:pt idx="24">
                  <c:v>2019-S2</c:v>
                </c:pt>
                <c:pt idx="25">
                  <c:v>2020-S1</c:v>
                </c:pt>
                <c:pt idx="26">
                  <c:v>2020-S2</c:v>
                </c:pt>
                <c:pt idx="27">
                  <c:v>2021-S1</c:v>
                </c:pt>
                <c:pt idx="28">
                  <c:v>2021-S2</c:v>
                </c:pt>
                <c:pt idx="29">
                  <c:v>2022-S1</c:v>
                </c:pt>
                <c:pt idx="30">
                  <c:v>2022-S2</c:v>
                </c:pt>
                <c:pt idx="31">
                  <c:v>2023-S1</c:v>
                </c:pt>
                <c:pt idx="32">
                  <c:v>2023-S2</c:v>
                </c:pt>
                <c:pt idx="33">
                  <c:v>2024-S1</c:v>
                </c:pt>
                <c:pt idx="34">
                  <c:v>2024-S2</c:v>
                </c:pt>
                <c:pt idx="35">
                  <c:v>2025-S1</c:v>
                </c:pt>
              </c:strCache>
            </c:strRef>
          </c:cat>
          <c:val>
            <c:numRef>
              <c:f>'5000'!$E$45:$E$80</c:f>
              <c:numCache>
                <c:formatCode>0.00</c:formatCode>
                <c:ptCount val="36"/>
                <c:pt idx="0">
                  <c:v>1.8945615982241952</c:v>
                </c:pt>
                <c:pt idx="1">
                  <c:v>1.717434869739479</c:v>
                </c:pt>
                <c:pt idx="2">
                  <c:v>1.4705400981996726</c:v>
                </c:pt>
                <c:pt idx="3">
                  <c:v>1.5576923076923077</c:v>
                </c:pt>
                <c:pt idx="4">
                  <c:v>1.5258693808312129</c:v>
                </c:pt>
                <c:pt idx="5">
                  <c:v>1.378076062639821</c:v>
                </c:pt>
                <c:pt idx="6">
                  <c:v>1.3879184861717615</c:v>
                </c:pt>
                <c:pt idx="7">
                  <c:v>1.6231527093596056</c:v>
                </c:pt>
                <c:pt idx="8">
                  <c:v>1.7565445026178013</c:v>
                </c:pt>
                <c:pt idx="9">
                  <c:v>1.5465556396669191</c:v>
                </c:pt>
                <c:pt idx="10">
                  <c:v>1.4395678595543551</c:v>
                </c:pt>
                <c:pt idx="11">
                  <c:v>1.4559412550066757</c:v>
                </c:pt>
                <c:pt idx="12">
                  <c:v>1.6813688212927755</c:v>
                </c:pt>
                <c:pt idx="13">
                  <c:v>1.8453177257525084</c:v>
                </c:pt>
                <c:pt idx="14">
                  <c:v>1.7188693659281897</c:v>
                </c:pt>
                <c:pt idx="15">
                  <c:v>1.6502571638501102</c:v>
                </c:pt>
                <c:pt idx="16">
                  <c:v>1.84640522875817</c:v>
                </c:pt>
                <c:pt idx="17">
                  <c:v>1.7661927330173777</c:v>
                </c:pt>
                <c:pt idx="18">
                  <c:v>1.8897180762852404</c:v>
                </c:pt>
                <c:pt idx="19">
                  <c:v>2.2261450381679388</c:v>
                </c:pt>
                <c:pt idx="20">
                  <c:v>2.4400417101147029</c:v>
                </c:pt>
                <c:pt idx="21">
                  <c:v>2.5969331872946331</c:v>
                </c:pt>
                <c:pt idx="22">
                  <c:v>2.8405122235157156</c:v>
                </c:pt>
                <c:pt idx="23">
                  <c:v>2.9043683589138136</c:v>
                </c:pt>
                <c:pt idx="24">
                  <c:v>2.3598086124401916</c:v>
                </c:pt>
                <c:pt idx="25">
                  <c:v>2.437185929648241</c:v>
                </c:pt>
                <c:pt idx="26">
                  <c:v>2.9672727272727268</c:v>
                </c:pt>
                <c:pt idx="27">
                  <c:v>2.9772998805256869</c:v>
                </c:pt>
                <c:pt idx="28">
                  <c:v>3.4461343472750317</c:v>
                </c:pt>
                <c:pt idx="29">
                  <c:v>3.3893034825870649</c:v>
                </c:pt>
                <c:pt idx="30">
                  <c:v>3.3494382022471907</c:v>
                </c:pt>
                <c:pt idx="31">
                  <c:v>4.07235142118863</c:v>
                </c:pt>
                <c:pt idx="32">
                  <c:v>6.0404624277456644</c:v>
                </c:pt>
                <c:pt idx="33">
                  <c:v>7.1633554083885214</c:v>
                </c:pt>
                <c:pt idx="34">
                  <c:v>5.733215547703181</c:v>
                </c:pt>
                <c:pt idx="35">
                  <c:v>5.65669014084507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6-1042-B3DD-6120ED2F8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0828800"/>
        <c:axId val="1960824768"/>
      </c:lineChart>
      <c:catAx>
        <c:axId val="196082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24768"/>
        <c:crosses val="autoZero"/>
        <c:auto val="1"/>
        <c:lblAlgn val="ctr"/>
        <c:lblOffset val="100"/>
        <c:noMultiLvlLbl val="0"/>
      </c:catAx>
      <c:valAx>
        <c:axId val="19608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245781846726466"/>
          <c:y val="0.16796035807521237"/>
          <c:w val="0.43890181251154253"/>
          <c:h val="8.5357266324357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177703</xdr:colOff>
      <xdr:row>5</xdr:row>
      <xdr:rowOff>144740</xdr:rowOff>
    </xdr:from>
    <xdr:to>
      <xdr:col>17</xdr:col>
      <xdr:colOff>368395</xdr:colOff>
      <xdr:row>28</xdr:row>
      <xdr:rowOff>106641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CC143-EF1E-284F-8A1A-05484835F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330832</xdr:colOff>
      <xdr:row>29</xdr:row>
      <xdr:rowOff>110616</xdr:rowOff>
    </xdr:from>
    <xdr:to>
      <xdr:col>18</xdr:col>
      <xdr:colOff>155116</xdr:colOff>
      <xdr:row>46</xdr:row>
      <xdr:rowOff>126031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A059F9-07FF-7744-AFAF-58B67A725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119535</xdr:colOff>
      <xdr:row>5</xdr:row>
      <xdr:rowOff>29084</xdr:rowOff>
    </xdr:from>
    <xdr:to>
      <xdr:col>19</xdr:col>
      <xdr:colOff>717405</xdr:colOff>
      <xdr:row>27</xdr:row>
      <xdr:rowOff>77557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62186-AAE6-3B41-9F3E-A4F69DC22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330832</xdr:colOff>
      <xdr:row>29</xdr:row>
      <xdr:rowOff>110616</xdr:rowOff>
    </xdr:from>
    <xdr:to>
      <xdr:col>18</xdr:col>
      <xdr:colOff>155116</xdr:colOff>
      <xdr:row>46</xdr:row>
      <xdr:rowOff>126031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700DC7-D03B-9942-B189-7E6321A88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787205</xdr:colOff>
      <xdr:row>59</xdr:row>
      <xdr:rowOff>135725</xdr:rowOff>
    </xdr:from>
    <xdr:to>
      <xdr:col>12</xdr:col>
      <xdr:colOff>475037</xdr:colOff>
      <xdr:row>73</xdr:row>
      <xdr:rowOff>38779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C65007-8848-5DC8-5B1A-BA065F2E9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c.europa.eu/eurostat/databrowser/view/nrg_pc_204__custom_18696654/default/table?lang=e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ec.europa.eu/eurostat/databrowser/view/nrg_pc_204__custom_18696654/default/table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DA20-E097-1641-8D09-30F2BA078885}">
  <dimension ref="A2:V41"/>
  <sheetViews>
    <sheetView zoomScale="131" workbookViewId="0">
      <selection activeCell="J19" sqref="J19"/>
    </sheetView>
  </sheetViews>
  <sheetFormatPr baseColWidth="10" defaultRowHeight="15" x14ac:dyDescent="0.2"/>
  <sheetData>
    <row r="2" spans="1:22" x14ac:dyDescent="0.2">
      <c r="I2" s="3" t="s">
        <v>48</v>
      </c>
    </row>
    <row r="3" spans="1:22" x14ac:dyDescent="0.2">
      <c r="A3" s="2" t="s">
        <v>47</v>
      </c>
      <c r="I3" s="1" t="s">
        <v>46</v>
      </c>
    </row>
    <row r="4" spans="1:22" x14ac:dyDescent="0.2">
      <c r="C4" t="s">
        <v>45</v>
      </c>
    </row>
    <row r="5" spans="1:22" x14ac:dyDescent="0.2">
      <c r="D5" t="s">
        <v>44</v>
      </c>
      <c r="E5" t="s">
        <v>43</v>
      </c>
      <c r="F5" t="s">
        <v>42</v>
      </c>
      <c r="J5" s="1" t="s">
        <v>41</v>
      </c>
    </row>
    <row r="6" spans="1:22" x14ac:dyDescent="0.2">
      <c r="C6" t="s">
        <v>39</v>
      </c>
      <c r="D6">
        <v>0.17069999999999999</v>
      </c>
      <c r="E6">
        <v>9.01E-2</v>
      </c>
      <c r="F6">
        <f>D6/E6</f>
        <v>1.8945615982241952</v>
      </c>
      <c r="G6">
        <v>100</v>
      </c>
      <c r="J6" s="1" t="s">
        <v>40</v>
      </c>
      <c r="T6" t="s">
        <v>39</v>
      </c>
      <c r="U6">
        <v>0.17069999999999999</v>
      </c>
      <c r="V6">
        <v>9.01E-2</v>
      </c>
    </row>
    <row r="7" spans="1:22" x14ac:dyDescent="0.2">
      <c r="C7" t="s">
        <v>37</v>
      </c>
      <c r="D7">
        <v>0.1714</v>
      </c>
      <c r="E7">
        <v>9.98E-2</v>
      </c>
      <c r="F7">
        <f>D7/E7</f>
        <v>1.717434869739479</v>
      </c>
      <c r="G7">
        <f>100*E7/$E$6</f>
        <v>110.76581576026638</v>
      </c>
      <c r="J7" s="1" t="s">
        <v>38</v>
      </c>
      <c r="T7" t="s">
        <v>37</v>
      </c>
      <c r="U7">
        <v>0.1714</v>
      </c>
      <c r="V7">
        <v>9.98E-2</v>
      </c>
    </row>
    <row r="8" spans="1:22" x14ac:dyDescent="0.2">
      <c r="C8" t="s">
        <v>35</v>
      </c>
      <c r="D8">
        <v>0.1797</v>
      </c>
      <c r="E8">
        <v>0.1222</v>
      </c>
      <c r="F8">
        <f>D8/E8</f>
        <v>1.4705400981996726</v>
      </c>
      <c r="G8">
        <f>100*E8/$E$6</f>
        <v>135.62708102108769</v>
      </c>
      <c r="J8" s="1" t="s">
        <v>36</v>
      </c>
      <c r="T8" t="s">
        <v>35</v>
      </c>
      <c r="U8">
        <v>0.1797</v>
      </c>
      <c r="V8">
        <v>0.1222</v>
      </c>
    </row>
    <row r="9" spans="1:22" x14ac:dyDescent="0.2">
      <c r="C9" t="s">
        <v>33</v>
      </c>
      <c r="D9">
        <v>0.1782</v>
      </c>
      <c r="E9">
        <v>0.1144</v>
      </c>
      <c r="F9">
        <f>D9/E9</f>
        <v>1.5576923076923077</v>
      </c>
      <c r="G9">
        <f>100*E9/$E$6</f>
        <v>126.97003329633739</v>
      </c>
      <c r="J9" s="1" t="s">
        <v>34</v>
      </c>
      <c r="T9" t="s">
        <v>33</v>
      </c>
      <c r="U9">
        <v>0.1782</v>
      </c>
      <c r="V9">
        <v>0.1144</v>
      </c>
    </row>
    <row r="10" spans="1:22" x14ac:dyDescent="0.2">
      <c r="C10" t="s">
        <v>31</v>
      </c>
      <c r="D10">
        <v>0.1799</v>
      </c>
      <c r="E10">
        <v>0.1179</v>
      </c>
      <c r="F10">
        <f>D10/E10</f>
        <v>1.5258693808312129</v>
      </c>
      <c r="G10">
        <f>100*E10/$E$6</f>
        <v>130.85460599334075</v>
      </c>
      <c r="J10" s="1" t="s">
        <v>32</v>
      </c>
      <c r="T10" t="s">
        <v>31</v>
      </c>
      <c r="U10">
        <v>0.1799</v>
      </c>
      <c r="V10">
        <v>0.1179</v>
      </c>
    </row>
    <row r="11" spans="1:22" x14ac:dyDescent="0.2">
      <c r="C11" t="s">
        <v>30</v>
      </c>
      <c r="D11">
        <v>0.18479999999999999</v>
      </c>
      <c r="E11">
        <v>0.1341</v>
      </c>
      <c r="F11">
        <f>D11/E11</f>
        <v>1.378076062639821</v>
      </c>
      <c r="G11">
        <f>100*E11/$E$6</f>
        <v>148.834628190899</v>
      </c>
      <c r="T11" t="s">
        <v>30</v>
      </c>
      <c r="U11">
        <v>0.18479999999999999</v>
      </c>
      <c r="V11">
        <v>0.1341</v>
      </c>
    </row>
    <row r="12" spans="1:22" x14ac:dyDescent="0.2">
      <c r="C12" t="s">
        <v>29</v>
      </c>
      <c r="D12">
        <v>0.19070000000000001</v>
      </c>
      <c r="E12">
        <v>0.13739999999999999</v>
      </c>
      <c r="F12">
        <f>D12/E12</f>
        <v>1.3879184861717615</v>
      </c>
      <c r="G12">
        <f>100*E12/$E$6</f>
        <v>152.49722530521643</v>
      </c>
      <c r="T12" t="s">
        <v>29</v>
      </c>
      <c r="U12">
        <v>0.19070000000000001</v>
      </c>
      <c r="V12">
        <v>0.13739999999999999</v>
      </c>
    </row>
    <row r="13" spans="1:22" x14ac:dyDescent="0.2">
      <c r="C13" t="s">
        <v>28</v>
      </c>
      <c r="D13">
        <v>0.19769999999999999</v>
      </c>
      <c r="E13">
        <v>0.12180000000000001</v>
      </c>
      <c r="F13">
        <f>D13/E13</f>
        <v>1.6231527093596056</v>
      </c>
      <c r="G13">
        <f>100*E13/$E$6</f>
        <v>135.18312985571586</v>
      </c>
      <c r="T13" t="s">
        <v>28</v>
      </c>
      <c r="U13">
        <v>0.19769999999999999</v>
      </c>
      <c r="V13">
        <v>0.12180000000000001</v>
      </c>
    </row>
    <row r="14" spans="1:22" x14ac:dyDescent="0.2">
      <c r="C14" t="s">
        <v>27</v>
      </c>
      <c r="D14">
        <v>0.20130000000000001</v>
      </c>
      <c r="E14">
        <v>0.11459999999999999</v>
      </c>
      <c r="F14">
        <f>D14/E14</f>
        <v>1.7565445026178013</v>
      </c>
      <c r="G14">
        <f>100*E14/$E$6</f>
        <v>127.19200887902329</v>
      </c>
      <c r="T14" t="s">
        <v>27</v>
      </c>
      <c r="U14">
        <v>0.20130000000000001</v>
      </c>
      <c r="V14">
        <v>0.11459999999999999</v>
      </c>
    </row>
    <row r="15" spans="1:22" x14ac:dyDescent="0.2">
      <c r="C15" t="s">
        <v>26</v>
      </c>
      <c r="D15">
        <v>0.20430000000000001</v>
      </c>
      <c r="E15">
        <v>0.1321</v>
      </c>
      <c r="F15">
        <f>D15/E15</f>
        <v>1.5465556396669191</v>
      </c>
      <c r="G15">
        <f>100*E15/$E$6</f>
        <v>146.61487236403994</v>
      </c>
      <c r="T15" t="s">
        <v>26</v>
      </c>
      <c r="U15">
        <v>0.20430000000000001</v>
      </c>
      <c r="V15">
        <v>0.1321</v>
      </c>
    </row>
    <row r="16" spans="1:22" x14ac:dyDescent="0.2">
      <c r="C16" t="s">
        <v>25</v>
      </c>
      <c r="D16">
        <v>0.2132</v>
      </c>
      <c r="E16">
        <v>0.14810000000000001</v>
      </c>
      <c r="F16">
        <f>D16/E16</f>
        <v>1.4395678595543551</v>
      </c>
      <c r="G16">
        <f>100*E16/$E$6</f>
        <v>164.37291897891234</v>
      </c>
      <c r="T16" t="s">
        <v>25</v>
      </c>
      <c r="U16">
        <v>0.2132</v>
      </c>
      <c r="V16">
        <v>0.14810000000000001</v>
      </c>
    </row>
    <row r="17" spans="3:22" x14ac:dyDescent="0.2">
      <c r="C17" t="s">
        <v>24</v>
      </c>
      <c r="D17">
        <v>0.21809999999999999</v>
      </c>
      <c r="E17">
        <v>0.14979999999999999</v>
      </c>
      <c r="F17">
        <f>D17/E17</f>
        <v>1.4559412550066757</v>
      </c>
      <c r="G17">
        <f>100*E17/$E$6</f>
        <v>166.25971143174249</v>
      </c>
      <c r="T17" t="s">
        <v>24</v>
      </c>
      <c r="U17">
        <v>0.21809999999999999</v>
      </c>
      <c r="V17">
        <v>0.14979999999999999</v>
      </c>
    </row>
    <row r="18" spans="3:22" x14ac:dyDescent="0.2">
      <c r="C18" t="s">
        <v>23</v>
      </c>
      <c r="D18">
        <v>0.22109999999999999</v>
      </c>
      <c r="E18">
        <v>0.13150000000000001</v>
      </c>
      <c r="F18">
        <f>D18/E18</f>
        <v>1.6813688212927755</v>
      </c>
      <c r="G18">
        <f>100*E18/$E$6</f>
        <v>145.94894561598224</v>
      </c>
      <c r="T18" t="s">
        <v>23</v>
      </c>
      <c r="U18">
        <v>0.22109999999999999</v>
      </c>
      <c r="V18">
        <v>0.13150000000000001</v>
      </c>
    </row>
    <row r="19" spans="3:22" x14ac:dyDescent="0.2">
      <c r="C19" t="s">
        <v>22</v>
      </c>
      <c r="D19">
        <v>0.22070000000000001</v>
      </c>
      <c r="E19">
        <v>0.1196</v>
      </c>
      <c r="F19">
        <f>D19/E19</f>
        <v>1.8453177257525084</v>
      </c>
      <c r="G19">
        <f>100*E19/$E$6</f>
        <v>132.7413984461709</v>
      </c>
      <c r="T19" t="s">
        <v>22</v>
      </c>
      <c r="U19">
        <v>0.22070000000000001</v>
      </c>
      <c r="V19">
        <v>0.1196</v>
      </c>
    </row>
    <row r="20" spans="3:22" x14ac:dyDescent="0.2">
      <c r="C20" t="s">
        <v>21</v>
      </c>
      <c r="D20">
        <v>0.22500000000000001</v>
      </c>
      <c r="E20">
        <v>0.13089999999999999</v>
      </c>
      <c r="F20">
        <f>D20/E20</f>
        <v>1.7188693659281897</v>
      </c>
      <c r="G20">
        <f>100*E20/$E$6</f>
        <v>145.28301886792451</v>
      </c>
      <c r="T20" t="s">
        <v>21</v>
      </c>
      <c r="U20">
        <v>0.22500000000000001</v>
      </c>
      <c r="V20">
        <v>0.13089999999999999</v>
      </c>
    </row>
    <row r="21" spans="3:22" x14ac:dyDescent="0.2">
      <c r="C21" t="s">
        <v>20</v>
      </c>
      <c r="D21">
        <v>0.22459999999999999</v>
      </c>
      <c r="E21">
        <v>0.1361</v>
      </c>
      <c r="F21">
        <f>D21/E21</f>
        <v>1.6502571638501102</v>
      </c>
      <c r="G21">
        <f>100*E21/$E$6</f>
        <v>151.05438401775805</v>
      </c>
      <c r="T21" t="s">
        <v>20</v>
      </c>
      <c r="U21">
        <v>0.22459999999999999</v>
      </c>
      <c r="V21">
        <v>0.1361</v>
      </c>
    </row>
    <row r="22" spans="3:22" x14ac:dyDescent="0.2">
      <c r="C22" t="s">
        <v>19</v>
      </c>
      <c r="D22">
        <v>0.22600000000000001</v>
      </c>
      <c r="E22">
        <v>0.12239999999999999</v>
      </c>
      <c r="F22">
        <f>D22/E22</f>
        <v>1.84640522875817</v>
      </c>
      <c r="G22">
        <f>100*E22/$E$6</f>
        <v>135.84905660377359</v>
      </c>
      <c r="T22" t="s">
        <v>19</v>
      </c>
      <c r="U22">
        <v>0.22600000000000001</v>
      </c>
      <c r="V22">
        <v>0.12239999999999999</v>
      </c>
    </row>
    <row r="23" spans="3:22" x14ac:dyDescent="0.2">
      <c r="C23" t="s">
        <v>18</v>
      </c>
      <c r="D23">
        <v>0.22359999999999999</v>
      </c>
      <c r="E23">
        <v>0.12659999999999999</v>
      </c>
      <c r="F23">
        <f>D23/E23</f>
        <v>1.7661927330173777</v>
      </c>
      <c r="G23">
        <f>100*E23/$E$6</f>
        <v>140.51054384017758</v>
      </c>
      <c r="T23" t="s">
        <v>18</v>
      </c>
      <c r="U23">
        <v>0.22359999999999999</v>
      </c>
      <c r="V23">
        <v>0.12659999999999999</v>
      </c>
    </row>
    <row r="24" spans="3:22" x14ac:dyDescent="0.2">
      <c r="C24" t="s">
        <v>17</v>
      </c>
      <c r="D24">
        <v>0.22789999999999999</v>
      </c>
      <c r="E24">
        <v>0.1206</v>
      </c>
      <c r="F24">
        <f>D24/E24</f>
        <v>1.8897180762852404</v>
      </c>
      <c r="G24">
        <f>100*E24/$E$6</f>
        <v>133.85127635960046</v>
      </c>
      <c r="T24" t="s">
        <v>17</v>
      </c>
      <c r="U24">
        <v>0.22789999999999999</v>
      </c>
      <c r="V24">
        <v>0.1206</v>
      </c>
    </row>
    <row r="25" spans="3:22" x14ac:dyDescent="0.2">
      <c r="C25" t="s">
        <v>16</v>
      </c>
      <c r="D25">
        <v>0.23330000000000001</v>
      </c>
      <c r="E25">
        <v>0.1048</v>
      </c>
      <c r="F25">
        <f>D25/E25</f>
        <v>2.2261450381679388</v>
      </c>
      <c r="G25">
        <f>100*E25/$E$6</f>
        <v>116.31520532741399</v>
      </c>
      <c r="T25" t="s">
        <v>16</v>
      </c>
      <c r="U25">
        <v>0.23330000000000001</v>
      </c>
      <c r="V25">
        <v>0.1048</v>
      </c>
    </row>
    <row r="26" spans="3:22" x14ac:dyDescent="0.2">
      <c r="C26" t="s">
        <v>15</v>
      </c>
      <c r="D26">
        <v>0.23400000000000001</v>
      </c>
      <c r="E26">
        <v>9.5899999999999999E-2</v>
      </c>
      <c r="F26">
        <f>D26/E26</f>
        <v>2.4400417101147029</v>
      </c>
      <c r="G26">
        <f>100*E26/$E$6</f>
        <v>106.43729189789123</v>
      </c>
      <c r="T26" t="s">
        <v>15</v>
      </c>
      <c r="U26">
        <v>0.23400000000000001</v>
      </c>
      <c r="V26">
        <v>9.5899999999999999E-2</v>
      </c>
    </row>
    <row r="27" spans="3:22" x14ac:dyDescent="0.2">
      <c r="C27" t="s">
        <v>14</v>
      </c>
      <c r="D27">
        <v>0.23710000000000001</v>
      </c>
      <c r="E27">
        <v>9.1300000000000006E-2</v>
      </c>
      <c r="F27">
        <f>D27/E27</f>
        <v>2.5969331872946331</v>
      </c>
      <c r="G27">
        <f>100*E27/$E$6</f>
        <v>101.33185349611544</v>
      </c>
      <c r="T27" t="s">
        <v>14</v>
      </c>
      <c r="U27">
        <v>0.23710000000000001</v>
      </c>
      <c r="V27">
        <v>9.1300000000000006E-2</v>
      </c>
    </row>
    <row r="28" spans="3:22" x14ac:dyDescent="0.2">
      <c r="C28" t="s">
        <v>13</v>
      </c>
      <c r="D28">
        <v>0.24399999999999999</v>
      </c>
      <c r="E28">
        <v>8.5900000000000004E-2</v>
      </c>
      <c r="F28">
        <f>D28/E28</f>
        <v>2.8405122235157156</v>
      </c>
      <c r="G28">
        <f>100*E28/$E$6</f>
        <v>95.338512763596</v>
      </c>
      <c r="T28" t="s">
        <v>13</v>
      </c>
      <c r="U28">
        <v>0.24399999999999999</v>
      </c>
      <c r="V28">
        <v>8.5900000000000004E-2</v>
      </c>
    </row>
    <row r="29" spans="3:22" x14ac:dyDescent="0.2">
      <c r="C29" t="s">
        <v>12</v>
      </c>
      <c r="D29">
        <v>0.246</v>
      </c>
      <c r="E29">
        <v>8.4699999999999998E-2</v>
      </c>
      <c r="F29">
        <f>D29/E29</f>
        <v>2.9043683589138136</v>
      </c>
      <c r="G29">
        <f>100*E29/$E$6</f>
        <v>94.006659267480572</v>
      </c>
      <c r="T29" t="s">
        <v>12</v>
      </c>
      <c r="U29">
        <v>0.246</v>
      </c>
      <c r="V29">
        <v>8.4699999999999998E-2</v>
      </c>
    </row>
    <row r="30" spans="3:22" x14ac:dyDescent="0.2">
      <c r="C30" t="s">
        <v>11</v>
      </c>
      <c r="D30">
        <v>0.24660000000000001</v>
      </c>
      <c r="E30">
        <v>0.1045</v>
      </c>
      <c r="F30">
        <f>D30/E30</f>
        <v>2.3598086124401916</v>
      </c>
      <c r="G30">
        <f>100*E30/$E$6</f>
        <v>115.98224195338513</v>
      </c>
      <c r="T30" t="s">
        <v>11</v>
      </c>
      <c r="U30">
        <v>0.24660000000000001</v>
      </c>
      <c r="V30">
        <v>0.1045</v>
      </c>
    </row>
    <row r="31" spans="3:22" x14ac:dyDescent="0.2">
      <c r="C31" t="s">
        <v>10</v>
      </c>
      <c r="D31">
        <v>0.24249999999999999</v>
      </c>
      <c r="E31">
        <v>9.9500000000000005E-2</v>
      </c>
      <c r="F31">
        <f>D31/E31</f>
        <v>2.437185929648241</v>
      </c>
      <c r="G31">
        <f>100*E31/$E$6</f>
        <v>110.43285238623753</v>
      </c>
      <c r="T31" t="s">
        <v>10</v>
      </c>
      <c r="U31">
        <v>0.24249999999999999</v>
      </c>
      <c r="V31">
        <v>9.9500000000000005E-2</v>
      </c>
    </row>
    <row r="32" spans="3:22" x14ac:dyDescent="0.2">
      <c r="C32" t="s">
        <v>9</v>
      </c>
      <c r="D32">
        <v>0.24479999999999999</v>
      </c>
      <c r="E32">
        <v>8.2500000000000004E-2</v>
      </c>
      <c r="F32">
        <f>D32/E32</f>
        <v>2.9672727272727268</v>
      </c>
      <c r="G32">
        <f>100*E32/$E$6</f>
        <v>91.564927857935629</v>
      </c>
      <c r="T32" t="s">
        <v>9</v>
      </c>
      <c r="U32">
        <v>0.24479999999999999</v>
      </c>
      <c r="V32">
        <v>8.2500000000000004E-2</v>
      </c>
    </row>
    <row r="33" spans="3:22" x14ac:dyDescent="0.2">
      <c r="C33" t="s">
        <v>8</v>
      </c>
      <c r="D33">
        <v>0.2492</v>
      </c>
      <c r="E33">
        <v>8.3699999999999997E-2</v>
      </c>
      <c r="F33">
        <f>D33/E33</f>
        <v>2.9772998805256869</v>
      </c>
      <c r="G33">
        <f>100*E33/$E$6</f>
        <v>92.896781354051043</v>
      </c>
      <c r="T33" t="s">
        <v>8</v>
      </c>
      <c r="U33">
        <v>0.2492</v>
      </c>
      <c r="V33">
        <v>8.3699999999999997E-2</v>
      </c>
    </row>
    <row r="34" spans="3:22" x14ac:dyDescent="0.2">
      <c r="C34" t="s">
        <v>7</v>
      </c>
      <c r="D34">
        <v>0.27189999999999998</v>
      </c>
      <c r="E34">
        <v>7.8899999999999998E-2</v>
      </c>
      <c r="F34">
        <f>D34/E34</f>
        <v>3.4461343472750317</v>
      </c>
      <c r="G34">
        <f>100*E34/$E$6</f>
        <v>87.569367369589344</v>
      </c>
      <c r="T34" t="s">
        <v>7</v>
      </c>
      <c r="U34">
        <v>0.27189999999999998</v>
      </c>
      <c r="V34">
        <v>7.8899999999999998E-2</v>
      </c>
    </row>
    <row r="35" spans="3:22" x14ac:dyDescent="0.2">
      <c r="C35" t="s">
        <v>6</v>
      </c>
      <c r="D35">
        <v>0.27250000000000002</v>
      </c>
      <c r="E35">
        <v>8.0399999999999999E-2</v>
      </c>
      <c r="F35">
        <f>D35/E35</f>
        <v>3.3893034825870649</v>
      </c>
      <c r="G35">
        <f>100*E35/$E$6</f>
        <v>89.234184239733622</v>
      </c>
      <c r="T35" t="s">
        <v>6</v>
      </c>
      <c r="U35">
        <v>0.27250000000000002</v>
      </c>
      <c r="V35">
        <v>8.0399999999999999E-2</v>
      </c>
    </row>
    <row r="36" spans="3:22" x14ac:dyDescent="0.2">
      <c r="C36" t="s">
        <v>5</v>
      </c>
      <c r="D36">
        <v>0.29809999999999998</v>
      </c>
      <c r="E36">
        <v>8.8999999999999996E-2</v>
      </c>
      <c r="F36">
        <f>D36/E36</f>
        <v>3.3494382022471907</v>
      </c>
      <c r="G36">
        <f>100*E36/$E$6</f>
        <v>98.779134295227536</v>
      </c>
      <c r="T36" t="s">
        <v>5</v>
      </c>
      <c r="U36">
        <v>0.29809999999999998</v>
      </c>
      <c r="V36">
        <v>8.8999999999999996E-2</v>
      </c>
    </row>
    <row r="37" spans="3:22" x14ac:dyDescent="0.2">
      <c r="C37" t="s">
        <v>4</v>
      </c>
      <c r="D37">
        <v>0.31519999999999998</v>
      </c>
      <c r="E37">
        <v>7.7399999999999997E-2</v>
      </c>
      <c r="F37">
        <f>D37/E37</f>
        <v>4.07235142118863</v>
      </c>
      <c r="G37">
        <f>100*E37/$E$6</f>
        <v>85.904550499445051</v>
      </c>
      <c r="T37" t="s">
        <v>4</v>
      </c>
      <c r="U37">
        <v>0.31519999999999998</v>
      </c>
      <c r="V37">
        <v>7.7399999999999997E-2</v>
      </c>
    </row>
    <row r="38" spans="3:22" x14ac:dyDescent="0.2">
      <c r="C38" t="s">
        <v>3</v>
      </c>
      <c r="D38">
        <v>0.3135</v>
      </c>
      <c r="E38">
        <v>5.1900000000000002E-2</v>
      </c>
      <c r="F38">
        <f>D38/E38</f>
        <v>6.0404624277456644</v>
      </c>
      <c r="G38">
        <f>100*E38/$E$6</f>
        <v>57.602663706992239</v>
      </c>
      <c r="T38" t="s">
        <v>3</v>
      </c>
      <c r="U38">
        <v>0.3135</v>
      </c>
      <c r="V38">
        <v>5.1900000000000002E-2</v>
      </c>
    </row>
    <row r="39" spans="3:22" x14ac:dyDescent="0.2">
      <c r="C39" t="s">
        <v>2</v>
      </c>
      <c r="D39">
        <v>0.32450000000000001</v>
      </c>
      <c r="E39">
        <v>4.53E-2</v>
      </c>
      <c r="F39">
        <f>D39/E39</f>
        <v>7.1633554083885214</v>
      </c>
      <c r="G39">
        <f>100*E39/$E$6</f>
        <v>50.277469478357382</v>
      </c>
      <c r="T39" t="s">
        <v>2</v>
      </c>
      <c r="U39">
        <v>0.32450000000000001</v>
      </c>
      <c r="V39">
        <v>4.53E-2</v>
      </c>
    </row>
    <row r="40" spans="3:22" x14ac:dyDescent="0.2">
      <c r="C40" t="s">
        <v>1</v>
      </c>
      <c r="D40">
        <v>0.32450000000000001</v>
      </c>
      <c r="E40">
        <v>5.6599999999999998E-2</v>
      </c>
      <c r="F40">
        <f>D40/E40</f>
        <v>5.733215547703181</v>
      </c>
      <c r="G40">
        <f>100*E40/$E$6</f>
        <v>62.819089900110988</v>
      </c>
      <c r="T40" t="s">
        <v>1</v>
      </c>
      <c r="U40">
        <v>0.32450000000000001</v>
      </c>
      <c r="V40">
        <v>5.6599999999999998E-2</v>
      </c>
    </row>
    <row r="41" spans="3:22" x14ac:dyDescent="0.2">
      <c r="C41" t="s">
        <v>0</v>
      </c>
      <c r="D41">
        <v>0.32129999999999997</v>
      </c>
      <c r="E41">
        <v>5.6800000000000003E-2</v>
      </c>
      <c r="F41">
        <f>D41/E41</f>
        <v>5.65669014084507</v>
      </c>
      <c r="T41" t="s">
        <v>0</v>
      </c>
      <c r="U41">
        <v>0.32129999999999997</v>
      </c>
      <c r="V41">
        <v>5.6800000000000003E-2</v>
      </c>
    </row>
  </sheetData>
  <hyperlinks>
    <hyperlink ref="A3" r:id="rId1" xr:uid="{48356716-8D0A-0546-9A9D-87C75BDDA05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85F6-F0A4-A64E-AD0E-466442448E42}">
  <dimension ref="A2:V80"/>
  <sheetViews>
    <sheetView tabSelected="1" topLeftCell="A3" zoomScale="75" workbookViewId="0">
      <selection activeCell="L58" sqref="L58"/>
    </sheetView>
  </sheetViews>
  <sheetFormatPr baseColWidth="10" defaultRowHeight="15" x14ac:dyDescent="0.2"/>
  <sheetData>
    <row r="2" spans="1:22" x14ac:dyDescent="0.2">
      <c r="I2" s="3" t="s">
        <v>48</v>
      </c>
    </row>
    <row r="3" spans="1:22" x14ac:dyDescent="0.2">
      <c r="A3" s="2" t="s">
        <v>47</v>
      </c>
      <c r="I3" s="1" t="s">
        <v>46</v>
      </c>
    </row>
    <row r="4" spans="1:22" x14ac:dyDescent="0.2">
      <c r="C4" t="s">
        <v>45</v>
      </c>
    </row>
    <row r="5" spans="1:22" x14ac:dyDescent="0.2">
      <c r="D5" t="s">
        <v>44</v>
      </c>
      <c r="E5" t="s">
        <v>43</v>
      </c>
      <c r="F5" t="s">
        <v>42</v>
      </c>
      <c r="J5" s="1" t="s">
        <v>41</v>
      </c>
    </row>
    <row r="6" spans="1:22" x14ac:dyDescent="0.2">
      <c r="C6" t="s">
        <v>39</v>
      </c>
      <c r="D6">
        <v>0.1537</v>
      </c>
      <c r="E6">
        <v>9.01E-2</v>
      </c>
      <c r="F6">
        <f>D6/E6</f>
        <v>1.7058823529411764</v>
      </c>
      <c r="G6">
        <v>100</v>
      </c>
      <c r="J6" s="1" t="s">
        <v>40</v>
      </c>
      <c r="T6" t="s">
        <v>39</v>
      </c>
      <c r="U6">
        <v>0.17069999999999999</v>
      </c>
      <c r="V6">
        <v>9.01E-2</v>
      </c>
    </row>
    <row r="7" spans="1:22" x14ac:dyDescent="0.2">
      <c r="C7" t="s">
        <v>37</v>
      </c>
      <c r="D7">
        <v>0.16039999999999999</v>
      </c>
      <c r="E7">
        <v>9.98E-2</v>
      </c>
      <c r="F7">
        <f>D7/E7</f>
        <v>1.6072144288577153</v>
      </c>
      <c r="G7">
        <f>100*E7/$E$6</f>
        <v>110.76581576026638</v>
      </c>
      <c r="J7" s="1" t="s">
        <v>38</v>
      </c>
      <c r="T7" t="s">
        <v>37</v>
      </c>
      <c r="U7">
        <v>0.1714</v>
      </c>
      <c r="V7">
        <v>9.98E-2</v>
      </c>
    </row>
    <row r="8" spans="1:22" x14ac:dyDescent="0.2">
      <c r="C8" t="s">
        <v>35</v>
      </c>
      <c r="D8">
        <v>0.1676</v>
      </c>
      <c r="E8">
        <v>0.1222</v>
      </c>
      <c r="F8">
        <f>D8/E8</f>
        <v>1.3715220949263502</v>
      </c>
      <c r="G8">
        <f>100*E8/$E$6</f>
        <v>135.62708102108769</v>
      </c>
      <c r="J8" s="1" t="s">
        <v>36</v>
      </c>
      <c r="T8" t="s">
        <v>35</v>
      </c>
      <c r="U8">
        <v>0.1797</v>
      </c>
      <c r="V8">
        <v>0.1222</v>
      </c>
    </row>
    <row r="9" spans="1:22" x14ac:dyDescent="0.2">
      <c r="C9" t="s">
        <v>33</v>
      </c>
      <c r="D9">
        <v>0.16700000000000001</v>
      </c>
      <c r="E9">
        <v>0.1144</v>
      </c>
      <c r="F9">
        <f>D9/E9</f>
        <v>1.4597902097902098</v>
      </c>
      <c r="G9">
        <f>100*E9/$E$6</f>
        <v>126.97003329633739</v>
      </c>
      <c r="J9" s="1" t="s">
        <v>34</v>
      </c>
      <c r="T9" t="s">
        <v>33</v>
      </c>
      <c r="U9">
        <v>0.1782</v>
      </c>
      <c r="V9">
        <v>0.1144</v>
      </c>
    </row>
    <row r="10" spans="1:22" x14ac:dyDescent="0.2">
      <c r="C10" t="s">
        <v>31</v>
      </c>
      <c r="D10">
        <v>0.16769999999999999</v>
      </c>
      <c r="E10">
        <v>0.1179</v>
      </c>
      <c r="F10">
        <f>D10/E10</f>
        <v>1.4223918575063612</v>
      </c>
      <c r="G10">
        <f>100*E10/$E$6</f>
        <v>130.85460599334075</v>
      </c>
      <c r="J10" s="1" t="s">
        <v>32</v>
      </c>
      <c r="T10" t="s">
        <v>31</v>
      </c>
      <c r="U10">
        <v>0.1799</v>
      </c>
      <c r="V10">
        <v>0.1179</v>
      </c>
    </row>
    <row r="11" spans="1:22" x14ac:dyDescent="0.2">
      <c r="C11" t="s">
        <v>30</v>
      </c>
      <c r="D11">
        <v>0.17249999999999999</v>
      </c>
      <c r="E11">
        <v>0.13420000000000001</v>
      </c>
      <c r="F11">
        <f>D11/E11</f>
        <v>1.2853949329359162</v>
      </c>
      <c r="G11">
        <f>100*E11/$E$6</f>
        <v>148.94561598224197</v>
      </c>
      <c r="T11" t="s">
        <v>30</v>
      </c>
      <c r="U11">
        <v>0.18479999999999999</v>
      </c>
      <c r="V11">
        <v>0.1341</v>
      </c>
    </row>
    <row r="12" spans="1:22" x14ac:dyDescent="0.2">
      <c r="C12" t="s">
        <v>29</v>
      </c>
      <c r="D12">
        <v>0.1777</v>
      </c>
      <c r="E12">
        <v>0.13739999999999999</v>
      </c>
      <c r="F12">
        <f>D12/E12</f>
        <v>1.2933042212518195</v>
      </c>
      <c r="G12">
        <f>100*E12/$E$6</f>
        <v>152.49722530521643</v>
      </c>
      <c r="T12" t="s">
        <v>29</v>
      </c>
      <c r="U12">
        <v>0.19070000000000001</v>
      </c>
      <c r="V12">
        <v>0.13739999999999999</v>
      </c>
    </row>
    <row r="13" spans="1:22" x14ac:dyDescent="0.2">
      <c r="C13" t="s">
        <v>28</v>
      </c>
      <c r="D13">
        <v>0.18579999999999999</v>
      </c>
      <c r="E13">
        <v>0.12180000000000001</v>
      </c>
      <c r="F13">
        <f>D13/E13</f>
        <v>1.5254515599343184</v>
      </c>
      <c r="G13">
        <f>100*E13/$E$6</f>
        <v>135.18312985571586</v>
      </c>
      <c r="T13" t="s">
        <v>28</v>
      </c>
      <c r="U13">
        <v>0.19769999999999999</v>
      </c>
      <c r="V13">
        <v>0.12180000000000001</v>
      </c>
    </row>
    <row r="14" spans="1:22" x14ac:dyDescent="0.2">
      <c r="C14" t="s">
        <v>27</v>
      </c>
      <c r="D14">
        <v>0.18859999999999999</v>
      </c>
      <c r="E14">
        <v>0.1145</v>
      </c>
      <c r="F14">
        <f>D14/E14</f>
        <v>1.6471615720524015</v>
      </c>
      <c r="G14">
        <f>100*E14/$E$6</f>
        <v>127.08102108768037</v>
      </c>
      <c r="T14" t="s">
        <v>27</v>
      </c>
      <c r="U14">
        <v>0.20130000000000001</v>
      </c>
      <c r="V14">
        <v>0.11459999999999999</v>
      </c>
    </row>
    <row r="15" spans="1:22" x14ac:dyDescent="0.2">
      <c r="C15" t="s">
        <v>26</v>
      </c>
      <c r="D15">
        <v>0.19159999999999999</v>
      </c>
      <c r="E15">
        <v>0.13100000000000001</v>
      </c>
      <c r="F15">
        <f>D15/E15</f>
        <v>1.4625954198473281</v>
      </c>
      <c r="G15">
        <f>100*E15/$E$6</f>
        <v>145.39400665926749</v>
      </c>
      <c r="T15" t="s">
        <v>26</v>
      </c>
      <c r="U15">
        <v>0.20430000000000001</v>
      </c>
      <c r="V15">
        <v>0.1321</v>
      </c>
    </row>
    <row r="16" spans="1:22" x14ac:dyDescent="0.2">
      <c r="C16" t="s">
        <v>25</v>
      </c>
      <c r="D16">
        <v>0.1996</v>
      </c>
      <c r="E16">
        <v>0.14699999999999999</v>
      </c>
      <c r="F16">
        <f>D16/E16</f>
        <v>1.3578231292517007</v>
      </c>
      <c r="G16">
        <f>100*E16/$E$6</f>
        <v>163.15205327413983</v>
      </c>
      <c r="T16" t="s">
        <v>25</v>
      </c>
      <c r="U16">
        <v>0.2132</v>
      </c>
      <c r="V16">
        <v>0.14810000000000001</v>
      </c>
    </row>
    <row r="17" spans="3:22" x14ac:dyDescent="0.2">
      <c r="C17" t="s">
        <v>24</v>
      </c>
      <c r="D17">
        <v>0.20419999999999999</v>
      </c>
      <c r="E17">
        <v>0.14949999999999999</v>
      </c>
      <c r="F17">
        <f>D17/E17</f>
        <v>1.3658862876254181</v>
      </c>
      <c r="G17">
        <f>100*E17/$E$6</f>
        <v>165.92674805771364</v>
      </c>
      <c r="T17" t="s">
        <v>24</v>
      </c>
      <c r="U17">
        <v>0.21809999999999999</v>
      </c>
      <c r="V17">
        <v>0.14979999999999999</v>
      </c>
    </row>
    <row r="18" spans="3:22" x14ac:dyDescent="0.2">
      <c r="C18" t="s">
        <v>23</v>
      </c>
      <c r="D18">
        <v>0.20619999999999999</v>
      </c>
      <c r="E18">
        <v>0.13139999999999999</v>
      </c>
      <c r="F18">
        <f>D18/E18</f>
        <v>1.5692541856925419</v>
      </c>
      <c r="G18">
        <f>100*E18/$E$6</f>
        <v>145.83795782463929</v>
      </c>
      <c r="T18" t="s">
        <v>23</v>
      </c>
      <c r="U18">
        <v>0.22109999999999999</v>
      </c>
      <c r="V18">
        <v>0.13150000000000001</v>
      </c>
    </row>
    <row r="19" spans="3:22" x14ac:dyDescent="0.2">
      <c r="C19" t="s">
        <v>22</v>
      </c>
      <c r="D19">
        <v>0.20580000000000001</v>
      </c>
      <c r="E19">
        <v>0.1192</v>
      </c>
      <c r="F19">
        <f>D19/E19</f>
        <v>1.726510067114094</v>
      </c>
      <c r="G19">
        <f>100*E19/$E$6</f>
        <v>132.2974472807991</v>
      </c>
      <c r="T19" t="s">
        <v>22</v>
      </c>
      <c r="U19">
        <v>0.22070000000000001</v>
      </c>
      <c r="V19">
        <v>0.1196</v>
      </c>
    </row>
    <row r="20" spans="3:22" x14ac:dyDescent="0.2">
      <c r="C20" t="s">
        <v>21</v>
      </c>
      <c r="D20">
        <v>0.2084</v>
      </c>
      <c r="E20">
        <v>0.13100000000000001</v>
      </c>
      <c r="F20">
        <f>D20/E20</f>
        <v>1.5908396946564884</v>
      </c>
      <c r="G20">
        <f>100*E20/$E$6</f>
        <v>145.39400665926749</v>
      </c>
      <c r="T20" t="s">
        <v>21</v>
      </c>
      <c r="U20">
        <v>0.22500000000000001</v>
      </c>
      <c r="V20">
        <v>0.13089999999999999</v>
      </c>
    </row>
    <row r="21" spans="3:22" x14ac:dyDescent="0.2">
      <c r="C21" t="s">
        <v>20</v>
      </c>
      <c r="D21">
        <v>0.20830000000000001</v>
      </c>
      <c r="E21">
        <v>0.13600000000000001</v>
      </c>
      <c r="F21">
        <f>D21/E21</f>
        <v>1.5316176470588234</v>
      </c>
      <c r="G21">
        <f>100*E21/$E$6</f>
        <v>150.9433962264151</v>
      </c>
      <c r="T21" t="s">
        <v>20</v>
      </c>
      <c r="U21">
        <v>0.22459999999999999</v>
      </c>
      <c r="V21">
        <v>0.1361</v>
      </c>
    </row>
    <row r="22" spans="3:22" x14ac:dyDescent="0.2">
      <c r="C22" t="s">
        <v>19</v>
      </c>
      <c r="D22">
        <v>0.2089</v>
      </c>
      <c r="E22">
        <v>0.1222</v>
      </c>
      <c r="F22">
        <f>D22/E22</f>
        <v>1.7094926350245498</v>
      </c>
      <c r="G22">
        <f>100*E22/$E$6</f>
        <v>135.62708102108769</v>
      </c>
      <c r="T22" t="s">
        <v>19</v>
      </c>
      <c r="U22">
        <v>0.22600000000000001</v>
      </c>
      <c r="V22">
        <v>0.12239999999999999</v>
      </c>
    </row>
    <row r="23" spans="3:22" x14ac:dyDescent="0.2">
      <c r="C23" t="s">
        <v>18</v>
      </c>
      <c r="D23">
        <v>0.2051</v>
      </c>
      <c r="E23">
        <v>0.12670000000000001</v>
      </c>
      <c r="F23">
        <f>D23/E23</f>
        <v>1.6187845303867403</v>
      </c>
      <c r="G23">
        <f>100*E23/$E$6</f>
        <v>140.62153163152053</v>
      </c>
      <c r="T23" t="s">
        <v>18</v>
      </c>
      <c r="U23">
        <v>0.22359999999999999</v>
      </c>
      <c r="V23">
        <v>0.12659999999999999</v>
      </c>
    </row>
    <row r="24" spans="3:22" x14ac:dyDescent="0.2">
      <c r="C24" t="s">
        <v>17</v>
      </c>
      <c r="D24">
        <v>0.2069</v>
      </c>
      <c r="E24">
        <v>0.1205</v>
      </c>
      <c r="F24">
        <f>D24/E24</f>
        <v>1.7170124481327802</v>
      </c>
      <c r="G24">
        <f>100*E24/$E$6</f>
        <v>133.74028856825748</v>
      </c>
      <c r="T24" t="s">
        <v>17</v>
      </c>
      <c r="U24">
        <v>0.22789999999999999</v>
      </c>
      <c r="V24">
        <v>0.1206</v>
      </c>
    </row>
    <row r="25" spans="3:22" x14ac:dyDescent="0.2">
      <c r="C25" t="s">
        <v>16</v>
      </c>
      <c r="D25">
        <v>0.2089</v>
      </c>
      <c r="E25">
        <v>0.1048</v>
      </c>
      <c r="F25">
        <f>D25/E25</f>
        <v>1.9933206106870229</v>
      </c>
      <c r="G25">
        <f>100*E25/$E$6</f>
        <v>116.31520532741399</v>
      </c>
      <c r="T25" t="s">
        <v>16</v>
      </c>
      <c r="U25">
        <v>0.23330000000000001</v>
      </c>
      <c r="V25">
        <v>0.1048</v>
      </c>
    </row>
    <row r="26" spans="3:22" x14ac:dyDescent="0.2">
      <c r="C26" t="s">
        <v>15</v>
      </c>
      <c r="D26">
        <v>0.2089</v>
      </c>
      <c r="E26">
        <v>9.5899999999999999E-2</v>
      </c>
      <c r="F26">
        <f>D26/E26</f>
        <v>2.1783107403545361</v>
      </c>
      <c r="G26">
        <f>100*E26/$E$6</f>
        <v>106.43729189789123</v>
      </c>
      <c r="T26" t="s">
        <v>15</v>
      </c>
      <c r="U26">
        <v>0.23400000000000001</v>
      </c>
      <c r="V26">
        <v>9.5899999999999999E-2</v>
      </c>
    </row>
    <row r="27" spans="3:22" x14ac:dyDescent="0.2">
      <c r="C27" t="s">
        <v>14</v>
      </c>
      <c r="D27">
        <v>0.21029999999999999</v>
      </c>
      <c r="E27">
        <v>9.0399999999999994E-2</v>
      </c>
      <c r="F27">
        <f>D27/E27</f>
        <v>2.3263274336283186</v>
      </c>
      <c r="G27">
        <f>100*E27/$E$6</f>
        <v>100.33296337402885</v>
      </c>
      <c r="T27" t="s">
        <v>14</v>
      </c>
      <c r="U27">
        <v>0.23710000000000001</v>
      </c>
      <c r="V27">
        <v>9.1300000000000006E-2</v>
      </c>
    </row>
    <row r="28" spans="3:22" x14ac:dyDescent="0.2">
      <c r="C28" t="s">
        <v>13</v>
      </c>
      <c r="D28">
        <v>0.2152</v>
      </c>
      <c r="E28">
        <v>8.5699999999999998E-2</v>
      </c>
      <c r="F28">
        <f>D28/E28</f>
        <v>2.5110851808634775</v>
      </c>
      <c r="G28">
        <f>100*E28/$E$6</f>
        <v>95.1165371809101</v>
      </c>
      <c r="T28" t="s">
        <v>13</v>
      </c>
      <c r="U28">
        <v>0.24399999999999999</v>
      </c>
      <c r="V28">
        <v>8.5900000000000004E-2</v>
      </c>
    </row>
    <row r="29" spans="3:22" x14ac:dyDescent="0.2">
      <c r="C29" t="s">
        <v>12</v>
      </c>
      <c r="D29">
        <v>0.21679999999999999</v>
      </c>
      <c r="E29">
        <v>8.4699999999999998E-2</v>
      </c>
      <c r="F29">
        <f>D29/E29</f>
        <v>2.5596221959858325</v>
      </c>
      <c r="G29">
        <f>100*E29/$E$6</f>
        <v>94.006659267480572</v>
      </c>
      <c r="T29" t="s">
        <v>12</v>
      </c>
      <c r="U29">
        <v>0.246</v>
      </c>
      <c r="V29">
        <v>8.4699999999999998E-2</v>
      </c>
    </row>
    <row r="30" spans="3:22" x14ac:dyDescent="0.2">
      <c r="C30" t="s">
        <v>11</v>
      </c>
      <c r="D30">
        <v>0.21690000000000001</v>
      </c>
      <c r="E30">
        <v>0.1043</v>
      </c>
      <c r="F30">
        <f>D30/E30</f>
        <v>2.0795781399808244</v>
      </c>
      <c r="G30">
        <f>100*E30/$E$6</f>
        <v>115.76026637069923</v>
      </c>
      <c r="T30" t="s">
        <v>11</v>
      </c>
      <c r="U30">
        <v>0.24660000000000001</v>
      </c>
      <c r="V30">
        <v>0.1045</v>
      </c>
    </row>
    <row r="31" spans="3:22" x14ac:dyDescent="0.2">
      <c r="C31" t="s">
        <v>10</v>
      </c>
      <c r="D31">
        <v>0.21390000000000001</v>
      </c>
      <c r="E31">
        <v>9.9500000000000005E-2</v>
      </c>
      <c r="F31">
        <f>D31/E31</f>
        <v>2.1497487437185927</v>
      </c>
      <c r="G31">
        <f>100*E31/$E$6</f>
        <v>110.43285238623753</v>
      </c>
      <c r="T31" t="s">
        <v>10</v>
      </c>
      <c r="U31">
        <v>0.24249999999999999</v>
      </c>
      <c r="V31">
        <v>9.9500000000000005E-2</v>
      </c>
    </row>
    <row r="32" spans="3:22" x14ac:dyDescent="0.2">
      <c r="C32" t="s">
        <v>9</v>
      </c>
      <c r="D32">
        <v>0.21529999999999999</v>
      </c>
      <c r="E32">
        <v>8.2199999999999995E-2</v>
      </c>
      <c r="F32">
        <f>D32/E32</f>
        <v>2.6192214111922141</v>
      </c>
      <c r="G32">
        <f>100*E32/$E$6</f>
        <v>91.231964483906765</v>
      </c>
      <c r="T32" t="s">
        <v>9</v>
      </c>
      <c r="U32">
        <v>0.24479999999999999</v>
      </c>
      <c r="V32">
        <v>8.2500000000000004E-2</v>
      </c>
    </row>
    <row r="33" spans="3:22" x14ac:dyDescent="0.2">
      <c r="C33" t="s">
        <v>8</v>
      </c>
      <c r="D33">
        <v>0.2203</v>
      </c>
      <c r="E33">
        <v>8.3400000000000002E-2</v>
      </c>
      <c r="F33">
        <f>D33/E33</f>
        <v>2.6414868105515588</v>
      </c>
      <c r="G33">
        <f>100*E33/$E$6</f>
        <v>92.563817980022193</v>
      </c>
      <c r="T33" t="s">
        <v>8</v>
      </c>
      <c r="U33">
        <v>0.2492</v>
      </c>
      <c r="V33">
        <v>8.3699999999999997E-2</v>
      </c>
    </row>
    <row r="34" spans="3:22" x14ac:dyDescent="0.2">
      <c r="C34" t="s">
        <v>7</v>
      </c>
      <c r="D34">
        <v>0.24149999999999999</v>
      </c>
      <c r="E34">
        <v>7.8799999999999995E-2</v>
      </c>
      <c r="F34">
        <f>D34/E34</f>
        <v>3.0647208121827414</v>
      </c>
      <c r="G34">
        <f>100*E34/$E$6</f>
        <v>87.458379578246394</v>
      </c>
      <c r="T34" t="s">
        <v>7</v>
      </c>
      <c r="U34">
        <v>0.27189999999999998</v>
      </c>
      <c r="V34">
        <v>7.8899999999999998E-2</v>
      </c>
    </row>
    <row r="35" spans="3:22" x14ac:dyDescent="0.2">
      <c r="C35" t="s">
        <v>6</v>
      </c>
      <c r="D35">
        <v>0.249</v>
      </c>
      <c r="E35">
        <v>8.6599999999999996E-2</v>
      </c>
      <c r="F35">
        <f>D35/E35</f>
        <v>2.8752886836027716</v>
      </c>
      <c r="G35">
        <f>100*E35/$E$6</f>
        <v>96.115427302996679</v>
      </c>
      <c r="T35" t="s">
        <v>6</v>
      </c>
      <c r="U35">
        <v>0.27250000000000002</v>
      </c>
      <c r="V35">
        <v>8.0399999999999999E-2</v>
      </c>
    </row>
    <row r="36" spans="3:22" x14ac:dyDescent="0.2">
      <c r="C36" t="s">
        <v>5</v>
      </c>
      <c r="D36">
        <v>0.27679999999999999</v>
      </c>
      <c r="E36">
        <v>9.3200000000000005E-2</v>
      </c>
      <c r="F36">
        <f>D36/E36</f>
        <v>2.969957081545064</v>
      </c>
      <c r="G36">
        <f>100*E36/$E$6</f>
        <v>103.44062153163152</v>
      </c>
      <c r="T36" t="s">
        <v>5</v>
      </c>
      <c r="U36">
        <v>0.29809999999999998</v>
      </c>
      <c r="V36">
        <v>8.8999999999999996E-2</v>
      </c>
    </row>
    <row r="37" spans="3:22" x14ac:dyDescent="0.2">
      <c r="C37" t="s">
        <v>4</v>
      </c>
      <c r="D37">
        <v>0.28870000000000001</v>
      </c>
      <c r="E37">
        <v>8.4199999999999997E-2</v>
      </c>
      <c r="F37">
        <f>D37/E37</f>
        <v>3.4287410926365798</v>
      </c>
      <c r="G37">
        <f>100*E37/$E$6</f>
        <v>93.451720310765822</v>
      </c>
      <c r="T37" t="s">
        <v>4</v>
      </c>
      <c r="U37">
        <v>0.31519999999999998</v>
      </c>
      <c r="V37">
        <v>7.7399999999999997E-2</v>
      </c>
    </row>
    <row r="38" spans="3:22" x14ac:dyDescent="0.2">
      <c r="C38" t="s">
        <v>3</v>
      </c>
      <c r="D38">
        <v>0.28470000000000001</v>
      </c>
      <c r="E38">
        <v>5.62E-2</v>
      </c>
      <c r="F38">
        <f>D38/E38</f>
        <v>5.0658362989323846</v>
      </c>
      <c r="G38">
        <f>100*E38/$E$6</f>
        <v>62.375138734739181</v>
      </c>
      <c r="T38" t="s">
        <v>3</v>
      </c>
      <c r="U38">
        <v>0.3135</v>
      </c>
      <c r="V38">
        <v>5.1900000000000002E-2</v>
      </c>
    </row>
    <row r="39" spans="3:22" x14ac:dyDescent="0.2">
      <c r="C39" t="s">
        <v>2</v>
      </c>
      <c r="D39">
        <v>0.29160000000000003</v>
      </c>
      <c r="E39">
        <v>4.8800000000000003E-2</v>
      </c>
      <c r="F39">
        <f>D39/E39</f>
        <v>5.9754098360655741</v>
      </c>
      <c r="G39">
        <f>100*E39/$E$6</f>
        <v>54.16204217536071</v>
      </c>
      <c r="T39" t="s">
        <v>2</v>
      </c>
      <c r="U39">
        <v>0.32450000000000001</v>
      </c>
      <c r="V39">
        <v>4.53E-2</v>
      </c>
    </row>
    <row r="40" spans="3:22" x14ac:dyDescent="0.2">
      <c r="C40" t="s">
        <v>1</v>
      </c>
      <c r="D40">
        <v>0.28870000000000001</v>
      </c>
      <c r="E40">
        <v>6.2E-2</v>
      </c>
      <c r="F40">
        <f>D40/E40</f>
        <v>4.6564516129032256</v>
      </c>
      <c r="G40">
        <f>100*E40/$E$6</f>
        <v>68.812430632630409</v>
      </c>
      <c r="T40" t="s">
        <v>1</v>
      </c>
      <c r="U40">
        <v>0.32450000000000001</v>
      </c>
      <c r="V40">
        <v>5.6599999999999998E-2</v>
      </c>
    </row>
    <row r="41" spans="3:22" x14ac:dyDescent="0.2">
      <c r="C41" t="s">
        <v>0</v>
      </c>
      <c r="D41">
        <v>0.28720000000000001</v>
      </c>
      <c r="E41">
        <v>6.1699999999999998E-2</v>
      </c>
      <c r="F41">
        <f>D41/E41</f>
        <v>4.6547811993517021</v>
      </c>
      <c r="T41" t="s">
        <v>0</v>
      </c>
      <c r="U41">
        <v>0.32129999999999997</v>
      </c>
      <c r="V41">
        <v>5.6800000000000003E-2</v>
      </c>
    </row>
    <row r="44" spans="3:22" x14ac:dyDescent="0.2">
      <c r="D44" t="s">
        <v>49</v>
      </c>
      <c r="E44" t="s">
        <v>50</v>
      </c>
    </row>
    <row r="45" spans="3:22" x14ac:dyDescent="0.2">
      <c r="C45" t="s">
        <v>39</v>
      </c>
      <c r="D45" s="4">
        <f>F6</f>
        <v>1.7058823529411764</v>
      </c>
      <c r="E45" s="4">
        <f>'2500'!$F6</f>
        <v>1.8945615982241952</v>
      </c>
    </row>
    <row r="46" spans="3:22" x14ac:dyDescent="0.2">
      <c r="C46" t="s">
        <v>37</v>
      </c>
      <c r="D46" s="4">
        <f t="shared" ref="D46:D76" si="0">F7</f>
        <v>1.6072144288577153</v>
      </c>
      <c r="E46" s="4">
        <f>'2500'!$F7</f>
        <v>1.717434869739479</v>
      </c>
    </row>
    <row r="47" spans="3:22" x14ac:dyDescent="0.2">
      <c r="C47" t="s">
        <v>35</v>
      </c>
      <c r="D47" s="4">
        <f t="shared" si="0"/>
        <v>1.3715220949263502</v>
      </c>
      <c r="E47" s="4">
        <f>'2500'!$F8</f>
        <v>1.4705400981996726</v>
      </c>
    </row>
    <row r="48" spans="3:22" x14ac:dyDescent="0.2">
      <c r="C48" t="s">
        <v>33</v>
      </c>
      <c r="D48" s="4">
        <f t="shared" si="0"/>
        <v>1.4597902097902098</v>
      </c>
      <c r="E48" s="4">
        <f>'2500'!$F9</f>
        <v>1.5576923076923077</v>
      </c>
    </row>
    <row r="49" spans="3:5" x14ac:dyDescent="0.2">
      <c r="C49" t="s">
        <v>31</v>
      </c>
      <c r="D49" s="4">
        <f t="shared" si="0"/>
        <v>1.4223918575063612</v>
      </c>
      <c r="E49" s="4">
        <f>'2500'!$F10</f>
        <v>1.5258693808312129</v>
      </c>
    </row>
    <row r="50" spans="3:5" x14ac:dyDescent="0.2">
      <c r="C50" t="s">
        <v>30</v>
      </c>
      <c r="D50" s="4">
        <f t="shared" si="0"/>
        <v>1.2853949329359162</v>
      </c>
      <c r="E50" s="4">
        <f>'2500'!$F11</f>
        <v>1.378076062639821</v>
      </c>
    </row>
    <row r="51" spans="3:5" x14ac:dyDescent="0.2">
      <c r="C51" t="s">
        <v>29</v>
      </c>
      <c r="D51" s="4">
        <f t="shared" si="0"/>
        <v>1.2933042212518195</v>
      </c>
      <c r="E51" s="4">
        <f>'2500'!$F12</f>
        <v>1.3879184861717615</v>
      </c>
    </row>
    <row r="52" spans="3:5" x14ac:dyDescent="0.2">
      <c r="C52" t="s">
        <v>28</v>
      </c>
      <c r="D52" s="4">
        <f t="shared" si="0"/>
        <v>1.5254515599343184</v>
      </c>
      <c r="E52" s="4">
        <f>'2500'!$F13</f>
        <v>1.6231527093596056</v>
      </c>
    </row>
    <row r="53" spans="3:5" x14ac:dyDescent="0.2">
      <c r="C53" t="s">
        <v>27</v>
      </c>
      <c r="D53" s="4">
        <f t="shared" si="0"/>
        <v>1.6471615720524015</v>
      </c>
      <c r="E53" s="4">
        <f>'2500'!$F14</f>
        <v>1.7565445026178013</v>
      </c>
    </row>
    <row r="54" spans="3:5" x14ac:dyDescent="0.2">
      <c r="C54" t="s">
        <v>26</v>
      </c>
      <c r="D54" s="4">
        <f t="shared" si="0"/>
        <v>1.4625954198473281</v>
      </c>
      <c r="E54" s="4">
        <f>'2500'!$F15</f>
        <v>1.5465556396669191</v>
      </c>
    </row>
    <row r="55" spans="3:5" x14ac:dyDescent="0.2">
      <c r="C55" t="s">
        <v>25</v>
      </c>
      <c r="D55" s="4">
        <f t="shared" si="0"/>
        <v>1.3578231292517007</v>
      </c>
      <c r="E55" s="4">
        <f>'2500'!$F16</f>
        <v>1.4395678595543551</v>
      </c>
    </row>
    <row r="56" spans="3:5" x14ac:dyDescent="0.2">
      <c r="C56" t="s">
        <v>24</v>
      </c>
      <c r="D56" s="4">
        <f t="shared" si="0"/>
        <v>1.3658862876254181</v>
      </c>
      <c r="E56" s="4">
        <f>'2500'!$F17</f>
        <v>1.4559412550066757</v>
      </c>
    </row>
    <row r="57" spans="3:5" x14ac:dyDescent="0.2">
      <c r="C57" t="s">
        <v>23</v>
      </c>
      <c r="D57" s="4">
        <f t="shared" si="0"/>
        <v>1.5692541856925419</v>
      </c>
      <c r="E57" s="4">
        <f>'2500'!$F18</f>
        <v>1.6813688212927755</v>
      </c>
    </row>
    <row r="58" spans="3:5" x14ac:dyDescent="0.2">
      <c r="C58" t="s">
        <v>22</v>
      </c>
      <c r="D58" s="4">
        <f t="shared" si="0"/>
        <v>1.726510067114094</v>
      </c>
      <c r="E58" s="4">
        <f>'2500'!$F19</f>
        <v>1.8453177257525084</v>
      </c>
    </row>
    <row r="59" spans="3:5" x14ac:dyDescent="0.2">
      <c r="C59" t="s">
        <v>21</v>
      </c>
      <c r="D59" s="4">
        <f t="shared" si="0"/>
        <v>1.5908396946564884</v>
      </c>
      <c r="E59" s="4">
        <f>'2500'!$F20</f>
        <v>1.7188693659281897</v>
      </c>
    </row>
    <row r="60" spans="3:5" x14ac:dyDescent="0.2">
      <c r="C60" t="s">
        <v>20</v>
      </c>
      <c r="D60" s="4">
        <f t="shared" si="0"/>
        <v>1.5316176470588234</v>
      </c>
      <c r="E60" s="4">
        <f>'2500'!$F21</f>
        <v>1.6502571638501102</v>
      </c>
    </row>
    <row r="61" spans="3:5" x14ac:dyDescent="0.2">
      <c r="C61" t="s">
        <v>19</v>
      </c>
      <c r="D61" s="4">
        <f t="shared" si="0"/>
        <v>1.7094926350245498</v>
      </c>
      <c r="E61" s="4">
        <f>'2500'!$F22</f>
        <v>1.84640522875817</v>
      </c>
    </row>
    <row r="62" spans="3:5" x14ac:dyDescent="0.2">
      <c r="C62" t="s">
        <v>18</v>
      </c>
      <c r="D62" s="4">
        <f t="shared" si="0"/>
        <v>1.6187845303867403</v>
      </c>
      <c r="E62" s="4">
        <f>'2500'!$F23</f>
        <v>1.7661927330173777</v>
      </c>
    </row>
    <row r="63" spans="3:5" x14ac:dyDescent="0.2">
      <c r="C63" t="s">
        <v>17</v>
      </c>
      <c r="D63" s="4">
        <f t="shared" si="0"/>
        <v>1.7170124481327802</v>
      </c>
      <c r="E63" s="4">
        <f>'2500'!$F24</f>
        <v>1.8897180762852404</v>
      </c>
    </row>
    <row r="64" spans="3:5" x14ac:dyDescent="0.2">
      <c r="C64" t="s">
        <v>16</v>
      </c>
      <c r="D64" s="4">
        <f t="shared" si="0"/>
        <v>1.9933206106870229</v>
      </c>
      <c r="E64" s="4">
        <f>'2500'!$F25</f>
        <v>2.2261450381679388</v>
      </c>
    </row>
    <row r="65" spans="3:5" x14ac:dyDescent="0.2">
      <c r="C65" t="s">
        <v>15</v>
      </c>
      <c r="D65" s="4">
        <f t="shared" si="0"/>
        <v>2.1783107403545361</v>
      </c>
      <c r="E65" s="4">
        <f>'2500'!$F26</f>
        <v>2.4400417101147029</v>
      </c>
    </row>
    <row r="66" spans="3:5" x14ac:dyDescent="0.2">
      <c r="C66" t="s">
        <v>14</v>
      </c>
      <c r="D66" s="4">
        <f t="shared" si="0"/>
        <v>2.3263274336283186</v>
      </c>
      <c r="E66" s="4">
        <f>'2500'!$F27</f>
        <v>2.5969331872946331</v>
      </c>
    </row>
    <row r="67" spans="3:5" x14ac:dyDescent="0.2">
      <c r="C67" t="s">
        <v>13</v>
      </c>
      <c r="D67" s="4">
        <f t="shared" si="0"/>
        <v>2.5110851808634775</v>
      </c>
      <c r="E67" s="4">
        <f>'2500'!$F28</f>
        <v>2.8405122235157156</v>
      </c>
    </row>
    <row r="68" spans="3:5" x14ac:dyDescent="0.2">
      <c r="C68" t="s">
        <v>12</v>
      </c>
      <c r="D68" s="4">
        <f t="shared" si="0"/>
        <v>2.5596221959858325</v>
      </c>
      <c r="E68" s="4">
        <f>'2500'!$F29</f>
        <v>2.9043683589138136</v>
      </c>
    </row>
    <row r="69" spans="3:5" x14ac:dyDescent="0.2">
      <c r="C69" t="s">
        <v>11</v>
      </c>
      <c r="D69" s="4">
        <f t="shared" si="0"/>
        <v>2.0795781399808244</v>
      </c>
      <c r="E69" s="4">
        <f>'2500'!$F30</f>
        <v>2.3598086124401916</v>
      </c>
    </row>
    <row r="70" spans="3:5" x14ac:dyDescent="0.2">
      <c r="C70" t="s">
        <v>10</v>
      </c>
      <c r="D70" s="4">
        <f t="shared" si="0"/>
        <v>2.1497487437185927</v>
      </c>
      <c r="E70" s="4">
        <f>'2500'!$F31</f>
        <v>2.437185929648241</v>
      </c>
    </row>
    <row r="71" spans="3:5" x14ac:dyDescent="0.2">
      <c r="C71" t="s">
        <v>9</v>
      </c>
      <c r="D71" s="4">
        <f t="shared" si="0"/>
        <v>2.6192214111922141</v>
      </c>
      <c r="E71" s="4">
        <f>'2500'!$F32</f>
        <v>2.9672727272727268</v>
      </c>
    </row>
    <row r="72" spans="3:5" x14ac:dyDescent="0.2">
      <c r="C72" t="s">
        <v>8</v>
      </c>
      <c r="D72" s="4">
        <f t="shared" si="0"/>
        <v>2.6414868105515588</v>
      </c>
      <c r="E72" s="4">
        <f>'2500'!$F33</f>
        <v>2.9772998805256869</v>
      </c>
    </row>
    <row r="73" spans="3:5" x14ac:dyDescent="0.2">
      <c r="C73" t="s">
        <v>7</v>
      </c>
      <c r="D73" s="4">
        <f t="shared" si="0"/>
        <v>3.0647208121827414</v>
      </c>
      <c r="E73" s="4">
        <f>'2500'!$F34</f>
        <v>3.4461343472750317</v>
      </c>
    </row>
    <row r="74" spans="3:5" x14ac:dyDescent="0.2">
      <c r="C74" t="s">
        <v>6</v>
      </c>
      <c r="D74" s="4">
        <f t="shared" si="0"/>
        <v>2.8752886836027716</v>
      </c>
      <c r="E74" s="4">
        <f>'2500'!$F35</f>
        <v>3.3893034825870649</v>
      </c>
    </row>
    <row r="75" spans="3:5" x14ac:dyDescent="0.2">
      <c r="C75" t="s">
        <v>5</v>
      </c>
      <c r="D75" s="4">
        <f t="shared" si="0"/>
        <v>2.969957081545064</v>
      </c>
      <c r="E75" s="4">
        <f>'2500'!$F36</f>
        <v>3.3494382022471907</v>
      </c>
    </row>
    <row r="76" spans="3:5" x14ac:dyDescent="0.2">
      <c r="C76" t="s">
        <v>4</v>
      </c>
      <c r="D76" s="4">
        <f t="shared" si="0"/>
        <v>3.4287410926365798</v>
      </c>
      <c r="E76" s="4">
        <f>'2500'!$F37</f>
        <v>4.07235142118863</v>
      </c>
    </row>
    <row r="77" spans="3:5" x14ac:dyDescent="0.2">
      <c r="C77" t="s">
        <v>3</v>
      </c>
      <c r="D77" s="4">
        <f>F38</f>
        <v>5.0658362989323846</v>
      </c>
      <c r="E77" s="4">
        <f>'2500'!$F38</f>
        <v>6.0404624277456644</v>
      </c>
    </row>
    <row r="78" spans="3:5" x14ac:dyDescent="0.2">
      <c r="C78" t="s">
        <v>2</v>
      </c>
      <c r="D78" s="4">
        <f t="shared" ref="D78:D80" si="1">F39</f>
        <v>5.9754098360655741</v>
      </c>
      <c r="E78" s="4">
        <f>'2500'!$F39</f>
        <v>7.1633554083885214</v>
      </c>
    </row>
    <row r="79" spans="3:5" x14ac:dyDescent="0.2">
      <c r="C79" t="s">
        <v>1</v>
      </c>
      <c r="D79" s="4">
        <f t="shared" si="1"/>
        <v>4.6564516129032256</v>
      </c>
      <c r="E79" s="4">
        <f>'2500'!$F40</f>
        <v>5.733215547703181</v>
      </c>
    </row>
    <row r="80" spans="3:5" x14ac:dyDescent="0.2">
      <c r="C80" t="s">
        <v>0</v>
      </c>
      <c r="D80" s="4">
        <f t="shared" si="1"/>
        <v>4.6547811993517021</v>
      </c>
      <c r="E80" s="4">
        <f>'2500'!$F41</f>
        <v>5.65669014084507</v>
      </c>
    </row>
  </sheetData>
  <hyperlinks>
    <hyperlink ref="A3" r:id="rId1" xr:uid="{FC319ADE-C777-154E-A88B-499ECAC5FBD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2500</vt:lpstr>
      <vt:lpstr>5000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Sanli</dc:creator>
  <cp:lastModifiedBy>B Sanli</cp:lastModifiedBy>
  <dcterms:created xsi:type="dcterms:W3CDTF">2025-10-31T18:16:12Z</dcterms:created>
  <dcterms:modified xsi:type="dcterms:W3CDTF">2025-10-31T18:54:59Z</dcterms:modified>
</cp:coreProperties>
</file>